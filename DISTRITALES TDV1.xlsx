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500"/>
  </bookViews>
  <sheets>
    <sheet name="TD" sheetId="11" r:id="rId1"/>
    <sheet name="BD" sheetId="1" r:id="rId2"/>
    <sheet name="CAJAS" sheetId="8" r:id="rId3"/>
    <sheet name="RUTAS" sheetId="7" r:id="rId4"/>
    <sheet name="DIAS" sheetId="10" r:id="rId5"/>
    <sheet name="ST" sheetId="2" state="hidden" r:id="rId6"/>
    <sheet name="CONCAT" sheetId="3" state="hidden" r:id="rId7"/>
    <sheet name="BESE TOTAL CAJA" sheetId="4" state="hidden" r:id="rId8"/>
    <sheet name="BASE" sheetId="5" state="hidden" r:id="rId9"/>
    <sheet name="HORARIOS" sheetId="6" state="hidden" r:id="rId10"/>
  </sheets>
  <externalReferences>
    <externalReference r:id="rId11"/>
  </externalReferences>
  <definedNames>
    <definedName name="_xlnm._FilterDatabase" localSheetId="8" hidden="1">BASE!$A$1:$B$1</definedName>
    <definedName name="_xlnm._FilterDatabase" localSheetId="1" hidden="1">BD!$A$5:$P$601</definedName>
    <definedName name="_xlnm._FilterDatabase" localSheetId="9" hidden="1">HORARIOS!$A$1:$I$46</definedName>
    <definedName name="_xlnm._FilterDatabase" localSheetId="3" hidden="1">RUTAS!$A$8:$F$53</definedName>
    <definedName name="_xlnm.Print_Area" localSheetId="3">RUTAS!$A$1:$G$59</definedName>
    <definedName name="SegmentaciónDeDatos_DIA">#N/A</definedName>
    <definedName name="_xlnm.Print_Titles" localSheetId="3">RUTAS!$3:$8</definedName>
  </definedNames>
  <calcPr calcId="162913"/>
  <pivotCaches>
    <pivotCache cacheId="46" r:id="rId12"/>
    <pivotCache cacheId="51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O601" i="1" l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A1199" i="8" l="1"/>
  <c r="A1172" i="8"/>
  <c r="A1146" i="8"/>
  <c r="A1119" i="8"/>
  <c r="A1093" i="8"/>
  <c r="A1067" i="8"/>
  <c r="A1041" i="8"/>
  <c r="A1015" i="8"/>
  <c r="A988" i="8"/>
  <c r="A961" i="8"/>
  <c r="A934" i="8"/>
  <c r="A908" i="8"/>
  <c r="A882" i="8"/>
  <c r="A857" i="8"/>
  <c r="A826" i="8"/>
  <c r="A801" i="8" l="1"/>
  <c r="A772" i="8"/>
  <c r="A746" i="8"/>
  <c r="A719" i="8"/>
  <c r="A692" i="8"/>
  <c r="A665" i="8"/>
  <c r="A638" i="8"/>
  <c r="A610" i="8"/>
  <c r="A584" i="8"/>
  <c r="A557" i="8"/>
  <c r="A530" i="8"/>
  <c r="A502" i="8"/>
  <c r="A476" i="8"/>
  <c r="A448" i="8"/>
  <c r="A420" i="8"/>
  <c r="A393" i="8"/>
  <c r="A368" i="8"/>
  <c r="A340" i="8"/>
  <c r="A314" i="8"/>
  <c r="A288" i="8"/>
  <c r="A262" i="8"/>
  <c r="A231" i="8"/>
  <c r="A200" i="8"/>
  <c r="A170" i="8"/>
  <c r="A142" i="8"/>
  <c r="A116" i="8"/>
  <c r="A91" i="8"/>
  <c r="A60" i="8"/>
  <c r="A35" i="8"/>
  <c r="A6" i="8"/>
  <c r="A46" i="6" l="1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D3" i="3"/>
  <c r="E3" i="3" s="1"/>
  <c r="D2" i="3"/>
  <c r="E2" i="3" s="1"/>
  <c r="D1" i="3"/>
  <c r="E1" i="3" s="1"/>
  <c r="E4" i="2"/>
  <c r="N601" i="1"/>
  <c r="A601" i="1" s="1"/>
  <c r="M601" i="1"/>
  <c r="N600" i="1"/>
  <c r="A600" i="1" s="1"/>
  <c r="M600" i="1"/>
  <c r="N599" i="1"/>
  <c r="A599" i="1" s="1"/>
  <c r="M599" i="1"/>
  <c r="N598" i="1"/>
  <c r="A598" i="1" s="1"/>
  <c r="M598" i="1"/>
  <c r="N597" i="1"/>
  <c r="A597" i="1" s="1"/>
  <c r="M597" i="1"/>
  <c r="N596" i="1"/>
  <c r="A596" i="1" s="1"/>
  <c r="M596" i="1"/>
  <c r="N595" i="1"/>
  <c r="A595" i="1" s="1"/>
  <c r="M595" i="1"/>
  <c r="N594" i="1"/>
  <c r="A594" i="1" s="1"/>
  <c r="M594" i="1"/>
  <c r="N593" i="1"/>
  <c r="A593" i="1" s="1"/>
  <c r="M593" i="1"/>
  <c r="N592" i="1"/>
  <c r="A592" i="1" s="1"/>
  <c r="M592" i="1"/>
  <c r="N591" i="1"/>
  <c r="A591" i="1" s="1"/>
  <c r="M591" i="1"/>
  <c r="N590" i="1"/>
  <c r="A590" i="1" s="1"/>
  <c r="M590" i="1"/>
  <c r="N589" i="1"/>
  <c r="A589" i="1" s="1"/>
  <c r="M589" i="1"/>
  <c r="N588" i="1"/>
  <c r="A588" i="1" s="1"/>
  <c r="M588" i="1"/>
  <c r="N587" i="1"/>
  <c r="A587" i="1" s="1"/>
  <c r="M587" i="1"/>
  <c r="N586" i="1"/>
  <c r="A586" i="1" s="1"/>
  <c r="M586" i="1"/>
  <c r="N585" i="1"/>
  <c r="A585" i="1" s="1"/>
  <c r="M585" i="1"/>
  <c r="N584" i="1"/>
  <c r="A584" i="1" s="1"/>
  <c r="M584" i="1"/>
  <c r="N583" i="1"/>
  <c r="A583" i="1" s="1"/>
  <c r="M583" i="1"/>
  <c r="N582" i="1"/>
  <c r="A582" i="1" s="1"/>
  <c r="M582" i="1"/>
  <c r="N581" i="1"/>
  <c r="A581" i="1" s="1"/>
  <c r="M581" i="1"/>
  <c r="N580" i="1"/>
  <c r="A580" i="1" s="1"/>
  <c r="M580" i="1"/>
  <c r="N579" i="1"/>
  <c r="A579" i="1" s="1"/>
  <c r="M579" i="1"/>
  <c r="N578" i="1"/>
  <c r="A578" i="1" s="1"/>
  <c r="M578" i="1"/>
  <c r="N577" i="1"/>
  <c r="A577" i="1" s="1"/>
  <c r="M577" i="1"/>
  <c r="N576" i="1"/>
  <c r="A576" i="1" s="1"/>
  <c r="M576" i="1"/>
  <c r="N575" i="1"/>
  <c r="A575" i="1" s="1"/>
  <c r="M575" i="1"/>
  <c r="N574" i="1"/>
  <c r="A574" i="1" s="1"/>
  <c r="M574" i="1"/>
  <c r="N573" i="1"/>
  <c r="A573" i="1" s="1"/>
  <c r="M573" i="1"/>
  <c r="N572" i="1"/>
  <c r="A572" i="1" s="1"/>
  <c r="M572" i="1"/>
  <c r="N571" i="1"/>
  <c r="A571" i="1" s="1"/>
  <c r="M571" i="1"/>
  <c r="N570" i="1"/>
  <c r="A570" i="1" s="1"/>
  <c r="M570" i="1"/>
  <c r="N569" i="1"/>
  <c r="A569" i="1" s="1"/>
  <c r="M569" i="1"/>
  <c r="N568" i="1"/>
  <c r="A568" i="1" s="1"/>
  <c r="M568" i="1"/>
  <c r="N567" i="1"/>
  <c r="A567" i="1" s="1"/>
  <c r="M567" i="1"/>
  <c r="N566" i="1"/>
  <c r="A566" i="1" s="1"/>
  <c r="M566" i="1"/>
  <c r="N565" i="1"/>
  <c r="A565" i="1" s="1"/>
  <c r="M565" i="1"/>
  <c r="N564" i="1"/>
  <c r="A564" i="1" s="1"/>
  <c r="M564" i="1"/>
  <c r="N563" i="1"/>
  <c r="A563" i="1" s="1"/>
  <c r="M563" i="1"/>
  <c r="N562" i="1"/>
  <c r="A562" i="1" s="1"/>
  <c r="M562" i="1"/>
  <c r="N561" i="1"/>
  <c r="A561" i="1" s="1"/>
  <c r="M561" i="1"/>
  <c r="N560" i="1"/>
  <c r="A560" i="1" s="1"/>
  <c r="M560" i="1"/>
  <c r="N559" i="1"/>
  <c r="A559" i="1" s="1"/>
  <c r="M559" i="1"/>
  <c r="N558" i="1"/>
  <c r="A558" i="1" s="1"/>
  <c r="M558" i="1"/>
  <c r="N557" i="1"/>
  <c r="A557" i="1" s="1"/>
  <c r="M557" i="1"/>
  <c r="N556" i="1"/>
  <c r="A556" i="1" s="1"/>
  <c r="M556" i="1"/>
  <c r="N555" i="1"/>
  <c r="A555" i="1" s="1"/>
  <c r="M555" i="1"/>
  <c r="N554" i="1"/>
  <c r="A554" i="1" s="1"/>
  <c r="M554" i="1"/>
  <c r="N553" i="1"/>
  <c r="A553" i="1" s="1"/>
  <c r="M553" i="1"/>
  <c r="N552" i="1"/>
  <c r="A552" i="1" s="1"/>
  <c r="M552" i="1"/>
  <c r="N551" i="1"/>
  <c r="A551" i="1" s="1"/>
  <c r="M551" i="1"/>
  <c r="N550" i="1"/>
  <c r="A550" i="1" s="1"/>
  <c r="M550" i="1"/>
  <c r="N549" i="1"/>
  <c r="A549" i="1" s="1"/>
  <c r="M549" i="1"/>
  <c r="N548" i="1"/>
  <c r="A548" i="1" s="1"/>
  <c r="M548" i="1"/>
  <c r="N547" i="1"/>
  <c r="A547" i="1" s="1"/>
  <c r="M547" i="1"/>
  <c r="N546" i="1"/>
  <c r="A546" i="1" s="1"/>
  <c r="M546" i="1"/>
  <c r="N545" i="1"/>
  <c r="A545" i="1" s="1"/>
  <c r="M545" i="1"/>
  <c r="N544" i="1"/>
  <c r="A544" i="1" s="1"/>
  <c r="M544" i="1"/>
  <c r="N543" i="1"/>
  <c r="A543" i="1" s="1"/>
  <c r="M543" i="1"/>
  <c r="N542" i="1"/>
  <c r="A542" i="1" s="1"/>
  <c r="M542" i="1"/>
  <c r="N541" i="1"/>
  <c r="A541" i="1" s="1"/>
  <c r="M541" i="1"/>
  <c r="N540" i="1"/>
  <c r="A540" i="1" s="1"/>
  <c r="M540" i="1"/>
  <c r="N539" i="1"/>
  <c r="A539" i="1" s="1"/>
  <c r="M539" i="1"/>
  <c r="N538" i="1"/>
  <c r="A538" i="1" s="1"/>
  <c r="M538" i="1"/>
  <c r="N537" i="1"/>
  <c r="A537" i="1" s="1"/>
  <c r="M537" i="1"/>
  <c r="N536" i="1"/>
  <c r="A536" i="1" s="1"/>
  <c r="M536" i="1"/>
  <c r="N535" i="1"/>
  <c r="A535" i="1" s="1"/>
  <c r="M535" i="1"/>
  <c r="N534" i="1"/>
  <c r="A534" i="1" s="1"/>
  <c r="M534" i="1"/>
  <c r="N533" i="1"/>
  <c r="A533" i="1" s="1"/>
  <c r="M533" i="1"/>
  <c r="N532" i="1"/>
  <c r="A532" i="1" s="1"/>
  <c r="M532" i="1"/>
  <c r="N531" i="1"/>
  <c r="A531" i="1" s="1"/>
  <c r="M531" i="1"/>
  <c r="N530" i="1"/>
  <c r="A530" i="1" s="1"/>
  <c r="M530" i="1"/>
  <c r="N529" i="1"/>
  <c r="A529" i="1" s="1"/>
  <c r="M529" i="1"/>
  <c r="N528" i="1"/>
  <c r="A528" i="1" s="1"/>
  <c r="M528" i="1"/>
  <c r="N527" i="1"/>
  <c r="A527" i="1" s="1"/>
  <c r="M527" i="1"/>
  <c r="N526" i="1"/>
  <c r="A526" i="1" s="1"/>
  <c r="M526" i="1"/>
  <c r="N525" i="1"/>
  <c r="A525" i="1" s="1"/>
  <c r="M525" i="1"/>
  <c r="N524" i="1"/>
  <c r="A524" i="1" s="1"/>
  <c r="M524" i="1"/>
  <c r="N523" i="1"/>
  <c r="A523" i="1" s="1"/>
  <c r="M523" i="1"/>
  <c r="N522" i="1"/>
  <c r="A522" i="1" s="1"/>
  <c r="M522" i="1"/>
  <c r="N521" i="1"/>
  <c r="A521" i="1" s="1"/>
  <c r="M521" i="1"/>
  <c r="N520" i="1"/>
  <c r="A520" i="1" s="1"/>
  <c r="M520" i="1"/>
  <c r="N519" i="1"/>
  <c r="A519" i="1" s="1"/>
  <c r="M519" i="1"/>
  <c r="N518" i="1"/>
  <c r="A518" i="1" s="1"/>
  <c r="M518" i="1"/>
  <c r="N517" i="1"/>
  <c r="A517" i="1" s="1"/>
  <c r="M517" i="1"/>
  <c r="N516" i="1"/>
  <c r="A516" i="1" s="1"/>
  <c r="M516" i="1"/>
  <c r="N515" i="1"/>
  <c r="A515" i="1" s="1"/>
  <c r="M515" i="1"/>
  <c r="N514" i="1"/>
  <c r="A514" i="1" s="1"/>
  <c r="M514" i="1"/>
  <c r="N513" i="1"/>
  <c r="A513" i="1" s="1"/>
  <c r="M513" i="1"/>
  <c r="N512" i="1"/>
  <c r="A512" i="1" s="1"/>
  <c r="M512" i="1"/>
  <c r="N511" i="1"/>
  <c r="A511" i="1" s="1"/>
  <c r="M511" i="1"/>
  <c r="N510" i="1"/>
  <c r="A510" i="1" s="1"/>
  <c r="M510" i="1"/>
  <c r="N509" i="1"/>
  <c r="A509" i="1" s="1"/>
  <c r="M509" i="1"/>
  <c r="N508" i="1"/>
  <c r="A508" i="1" s="1"/>
  <c r="M508" i="1"/>
  <c r="N507" i="1"/>
  <c r="A507" i="1" s="1"/>
  <c r="M507" i="1"/>
  <c r="N506" i="1"/>
  <c r="A506" i="1" s="1"/>
  <c r="M506" i="1"/>
  <c r="N505" i="1"/>
  <c r="A505" i="1" s="1"/>
  <c r="M505" i="1"/>
  <c r="N504" i="1"/>
  <c r="A504" i="1" s="1"/>
  <c r="M504" i="1"/>
  <c r="N503" i="1"/>
  <c r="A503" i="1" s="1"/>
  <c r="M503" i="1"/>
  <c r="N502" i="1"/>
  <c r="A502" i="1" s="1"/>
  <c r="M502" i="1"/>
  <c r="N501" i="1"/>
  <c r="A501" i="1" s="1"/>
  <c r="M501" i="1"/>
  <c r="N500" i="1"/>
  <c r="A500" i="1" s="1"/>
  <c r="M500" i="1"/>
  <c r="N499" i="1"/>
  <c r="A499" i="1" s="1"/>
  <c r="M499" i="1"/>
  <c r="N498" i="1"/>
  <c r="A498" i="1" s="1"/>
  <c r="M498" i="1"/>
  <c r="N497" i="1"/>
  <c r="A497" i="1" s="1"/>
  <c r="M497" i="1"/>
  <c r="N496" i="1"/>
  <c r="A496" i="1" s="1"/>
  <c r="M496" i="1"/>
  <c r="N495" i="1"/>
  <c r="A495" i="1" s="1"/>
  <c r="M495" i="1"/>
  <c r="N494" i="1"/>
  <c r="A494" i="1" s="1"/>
  <c r="M494" i="1"/>
  <c r="N493" i="1"/>
  <c r="A493" i="1" s="1"/>
  <c r="M493" i="1"/>
  <c r="N492" i="1"/>
  <c r="A492" i="1" s="1"/>
  <c r="M492" i="1"/>
  <c r="N491" i="1"/>
  <c r="A491" i="1" s="1"/>
  <c r="M491" i="1"/>
  <c r="N490" i="1"/>
  <c r="A490" i="1" s="1"/>
  <c r="M490" i="1"/>
  <c r="N489" i="1"/>
  <c r="A489" i="1" s="1"/>
  <c r="M489" i="1"/>
  <c r="N488" i="1"/>
  <c r="A488" i="1" s="1"/>
  <c r="M488" i="1"/>
  <c r="N487" i="1"/>
  <c r="A487" i="1" s="1"/>
  <c r="M487" i="1"/>
  <c r="N486" i="1"/>
  <c r="A486" i="1" s="1"/>
  <c r="M486" i="1"/>
  <c r="N485" i="1"/>
  <c r="A485" i="1" s="1"/>
  <c r="M485" i="1"/>
  <c r="N484" i="1"/>
  <c r="A484" i="1" s="1"/>
  <c r="M484" i="1"/>
  <c r="N483" i="1"/>
  <c r="A483" i="1" s="1"/>
  <c r="M483" i="1"/>
  <c r="N482" i="1"/>
  <c r="A482" i="1" s="1"/>
  <c r="M482" i="1"/>
  <c r="N481" i="1"/>
  <c r="A481" i="1" s="1"/>
  <c r="M481" i="1"/>
  <c r="N480" i="1"/>
  <c r="A480" i="1" s="1"/>
  <c r="M480" i="1"/>
  <c r="N479" i="1"/>
  <c r="A479" i="1" s="1"/>
  <c r="M479" i="1"/>
  <c r="N478" i="1"/>
  <c r="A478" i="1" s="1"/>
  <c r="M478" i="1"/>
  <c r="N477" i="1"/>
  <c r="A477" i="1" s="1"/>
  <c r="M477" i="1"/>
  <c r="N476" i="1"/>
  <c r="A476" i="1" s="1"/>
  <c r="M476" i="1"/>
  <c r="N475" i="1"/>
  <c r="A475" i="1" s="1"/>
  <c r="M475" i="1"/>
  <c r="N474" i="1"/>
  <c r="A474" i="1" s="1"/>
  <c r="M474" i="1"/>
  <c r="N473" i="1"/>
  <c r="A473" i="1" s="1"/>
  <c r="M473" i="1"/>
  <c r="N472" i="1"/>
  <c r="A472" i="1" s="1"/>
  <c r="M472" i="1"/>
  <c r="N471" i="1"/>
  <c r="A471" i="1" s="1"/>
  <c r="M471" i="1"/>
  <c r="N470" i="1"/>
  <c r="A470" i="1" s="1"/>
  <c r="M470" i="1"/>
  <c r="N469" i="1"/>
  <c r="A469" i="1" s="1"/>
  <c r="M469" i="1"/>
  <c r="N468" i="1"/>
  <c r="A468" i="1" s="1"/>
  <c r="M468" i="1"/>
  <c r="N467" i="1"/>
  <c r="A467" i="1" s="1"/>
  <c r="M467" i="1"/>
  <c r="N466" i="1"/>
  <c r="A466" i="1" s="1"/>
  <c r="M466" i="1"/>
  <c r="N465" i="1"/>
  <c r="A465" i="1" s="1"/>
  <c r="M465" i="1"/>
  <c r="N464" i="1"/>
  <c r="A464" i="1" s="1"/>
  <c r="M464" i="1"/>
  <c r="N463" i="1"/>
  <c r="A463" i="1" s="1"/>
  <c r="M463" i="1"/>
  <c r="N462" i="1"/>
  <c r="A462" i="1" s="1"/>
  <c r="M462" i="1"/>
  <c r="N461" i="1"/>
  <c r="A461" i="1" s="1"/>
  <c r="M461" i="1"/>
  <c r="N460" i="1"/>
  <c r="A460" i="1" s="1"/>
  <c r="M460" i="1"/>
  <c r="N459" i="1"/>
  <c r="A459" i="1" s="1"/>
  <c r="M459" i="1"/>
  <c r="N458" i="1"/>
  <c r="A458" i="1" s="1"/>
  <c r="M458" i="1"/>
  <c r="N457" i="1"/>
  <c r="A457" i="1" s="1"/>
  <c r="M457" i="1"/>
  <c r="N456" i="1"/>
  <c r="A456" i="1" s="1"/>
  <c r="M456" i="1"/>
  <c r="N455" i="1"/>
  <c r="A455" i="1" s="1"/>
  <c r="M455" i="1"/>
  <c r="N454" i="1"/>
  <c r="A454" i="1" s="1"/>
  <c r="M454" i="1"/>
  <c r="N453" i="1"/>
  <c r="A453" i="1" s="1"/>
  <c r="M453" i="1"/>
  <c r="N452" i="1"/>
  <c r="A452" i="1" s="1"/>
  <c r="M452" i="1"/>
  <c r="N451" i="1"/>
  <c r="A451" i="1" s="1"/>
  <c r="M451" i="1"/>
  <c r="N450" i="1"/>
  <c r="A450" i="1" s="1"/>
  <c r="M450" i="1"/>
  <c r="N449" i="1"/>
  <c r="A449" i="1" s="1"/>
  <c r="M449" i="1"/>
  <c r="N448" i="1"/>
  <c r="A448" i="1" s="1"/>
  <c r="M448" i="1"/>
  <c r="N447" i="1"/>
  <c r="A447" i="1" s="1"/>
  <c r="M447" i="1"/>
  <c r="N446" i="1"/>
  <c r="A446" i="1" s="1"/>
  <c r="M446" i="1"/>
  <c r="N445" i="1"/>
  <c r="A445" i="1" s="1"/>
  <c r="M445" i="1"/>
  <c r="N444" i="1"/>
  <c r="A444" i="1" s="1"/>
  <c r="M444" i="1"/>
  <c r="N443" i="1"/>
  <c r="A443" i="1" s="1"/>
  <c r="M443" i="1"/>
  <c r="N442" i="1"/>
  <c r="A442" i="1" s="1"/>
  <c r="M442" i="1"/>
  <c r="N441" i="1"/>
  <c r="A441" i="1" s="1"/>
  <c r="M441" i="1"/>
  <c r="N440" i="1"/>
  <c r="A440" i="1" s="1"/>
  <c r="M440" i="1"/>
  <c r="N439" i="1"/>
  <c r="A439" i="1" s="1"/>
  <c r="M439" i="1"/>
  <c r="N438" i="1"/>
  <c r="A438" i="1" s="1"/>
  <c r="M438" i="1"/>
  <c r="N437" i="1"/>
  <c r="A437" i="1" s="1"/>
  <c r="M437" i="1"/>
  <c r="N436" i="1"/>
  <c r="A436" i="1" s="1"/>
  <c r="M436" i="1"/>
  <c r="N435" i="1"/>
  <c r="A435" i="1" s="1"/>
  <c r="M435" i="1"/>
  <c r="N434" i="1"/>
  <c r="A434" i="1" s="1"/>
  <c r="M434" i="1"/>
  <c r="N433" i="1"/>
  <c r="A433" i="1" s="1"/>
  <c r="M433" i="1"/>
  <c r="N432" i="1"/>
  <c r="A432" i="1" s="1"/>
  <c r="M432" i="1"/>
  <c r="N431" i="1"/>
  <c r="A431" i="1" s="1"/>
  <c r="M431" i="1"/>
  <c r="N430" i="1"/>
  <c r="A430" i="1" s="1"/>
  <c r="M430" i="1"/>
  <c r="N429" i="1"/>
  <c r="A429" i="1" s="1"/>
  <c r="M429" i="1"/>
  <c r="N428" i="1"/>
  <c r="A428" i="1" s="1"/>
  <c r="M428" i="1"/>
  <c r="N427" i="1"/>
  <c r="A427" i="1" s="1"/>
  <c r="M427" i="1"/>
  <c r="N426" i="1"/>
  <c r="A426" i="1" s="1"/>
  <c r="M426" i="1"/>
  <c r="N425" i="1"/>
  <c r="A425" i="1" s="1"/>
  <c r="M425" i="1"/>
  <c r="N424" i="1"/>
  <c r="A424" i="1" s="1"/>
  <c r="M424" i="1"/>
  <c r="N423" i="1"/>
  <c r="A423" i="1" s="1"/>
  <c r="M423" i="1"/>
  <c r="N422" i="1"/>
  <c r="A422" i="1" s="1"/>
  <c r="M422" i="1"/>
  <c r="N421" i="1"/>
  <c r="A421" i="1" s="1"/>
  <c r="M421" i="1"/>
  <c r="N420" i="1"/>
  <c r="A420" i="1" s="1"/>
  <c r="M420" i="1"/>
  <c r="N419" i="1"/>
  <c r="A419" i="1" s="1"/>
  <c r="M419" i="1"/>
  <c r="N418" i="1"/>
  <c r="A418" i="1" s="1"/>
  <c r="M418" i="1"/>
  <c r="N417" i="1"/>
  <c r="A417" i="1" s="1"/>
  <c r="M417" i="1"/>
  <c r="N416" i="1"/>
  <c r="A416" i="1" s="1"/>
  <c r="M416" i="1"/>
  <c r="N415" i="1"/>
  <c r="A415" i="1" s="1"/>
  <c r="M415" i="1"/>
  <c r="N414" i="1"/>
  <c r="A414" i="1" s="1"/>
  <c r="M414" i="1"/>
  <c r="N413" i="1"/>
  <c r="A413" i="1" s="1"/>
  <c r="M413" i="1"/>
  <c r="N412" i="1"/>
  <c r="A412" i="1" s="1"/>
  <c r="M412" i="1"/>
  <c r="N411" i="1"/>
  <c r="A411" i="1" s="1"/>
  <c r="M411" i="1"/>
  <c r="N410" i="1"/>
  <c r="A410" i="1" s="1"/>
  <c r="M410" i="1"/>
  <c r="N409" i="1"/>
  <c r="A409" i="1" s="1"/>
  <c r="M409" i="1"/>
  <c r="N408" i="1"/>
  <c r="A408" i="1" s="1"/>
  <c r="M408" i="1"/>
  <c r="N407" i="1"/>
  <c r="A407" i="1" s="1"/>
  <c r="M407" i="1"/>
  <c r="N406" i="1"/>
  <c r="A406" i="1" s="1"/>
  <c r="M406" i="1"/>
  <c r="N405" i="1"/>
  <c r="A405" i="1" s="1"/>
  <c r="M405" i="1"/>
  <c r="N404" i="1"/>
  <c r="A404" i="1" s="1"/>
  <c r="M404" i="1"/>
  <c r="N403" i="1"/>
  <c r="A403" i="1" s="1"/>
  <c r="M403" i="1"/>
  <c r="N402" i="1"/>
  <c r="A402" i="1" s="1"/>
  <c r="M402" i="1"/>
  <c r="N401" i="1"/>
  <c r="A401" i="1" s="1"/>
  <c r="M401" i="1"/>
  <c r="N400" i="1"/>
  <c r="A400" i="1" s="1"/>
  <c r="M400" i="1"/>
  <c r="N399" i="1"/>
  <c r="A399" i="1" s="1"/>
  <c r="M399" i="1"/>
  <c r="N398" i="1"/>
  <c r="A398" i="1" s="1"/>
  <c r="M398" i="1"/>
  <c r="N397" i="1"/>
  <c r="A397" i="1" s="1"/>
  <c r="M397" i="1"/>
  <c r="N396" i="1"/>
  <c r="A396" i="1" s="1"/>
  <c r="M396" i="1"/>
  <c r="N395" i="1"/>
  <c r="A395" i="1" s="1"/>
  <c r="M395" i="1"/>
  <c r="N394" i="1"/>
  <c r="A394" i="1" s="1"/>
  <c r="M394" i="1"/>
  <c r="N393" i="1"/>
  <c r="A393" i="1" s="1"/>
  <c r="M393" i="1"/>
  <c r="N392" i="1"/>
  <c r="A392" i="1" s="1"/>
  <c r="M392" i="1"/>
  <c r="N391" i="1"/>
  <c r="A391" i="1" s="1"/>
  <c r="M391" i="1"/>
  <c r="N390" i="1"/>
  <c r="A390" i="1" s="1"/>
  <c r="M390" i="1"/>
  <c r="N389" i="1"/>
  <c r="A389" i="1" s="1"/>
  <c r="M389" i="1"/>
  <c r="N388" i="1"/>
  <c r="A388" i="1" s="1"/>
  <c r="M388" i="1"/>
  <c r="N387" i="1"/>
  <c r="A387" i="1" s="1"/>
  <c r="M387" i="1"/>
  <c r="N386" i="1"/>
  <c r="A386" i="1" s="1"/>
  <c r="M386" i="1"/>
  <c r="N385" i="1"/>
  <c r="A385" i="1" s="1"/>
  <c r="M385" i="1"/>
  <c r="N384" i="1"/>
  <c r="A384" i="1" s="1"/>
  <c r="M384" i="1"/>
  <c r="N383" i="1"/>
  <c r="A383" i="1" s="1"/>
  <c r="M383" i="1"/>
  <c r="N382" i="1"/>
  <c r="A382" i="1" s="1"/>
  <c r="M382" i="1"/>
  <c r="N381" i="1"/>
  <c r="A381" i="1" s="1"/>
  <c r="M381" i="1"/>
  <c r="N380" i="1"/>
  <c r="A380" i="1" s="1"/>
  <c r="M380" i="1"/>
  <c r="N379" i="1"/>
  <c r="A379" i="1" s="1"/>
  <c r="M379" i="1"/>
  <c r="N378" i="1"/>
  <c r="A378" i="1" s="1"/>
  <c r="M378" i="1"/>
  <c r="N377" i="1"/>
  <c r="A377" i="1" s="1"/>
  <c r="M377" i="1"/>
  <c r="N376" i="1"/>
  <c r="A376" i="1" s="1"/>
  <c r="M376" i="1"/>
  <c r="N375" i="1"/>
  <c r="A375" i="1" s="1"/>
  <c r="M375" i="1"/>
  <c r="N374" i="1"/>
  <c r="A374" i="1" s="1"/>
  <c r="M374" i="1"/>
  <c r="N373" i="1"/>
  <c r="A373" i="1" s="1"/>
  <c r="M373" i="1"/>
  <c r="N372" i="1"/>
  <c r="A372" i="1" s="1"/>
  <c r="M372" i="1"/>
  <c r="N371" i="1"/>
  <c r="A371" i="1" s="1"/>
  <c r="M371" i="1"/>
  <c r="N370" i="1"/>
  <c r="A370" i="1" s="1"/>
  <c r="M370" i="1"/>
  <c r="N369" i="1"/>
  <c r="A369" i="1" s="1"/>
  <c r="M369" i="1"/>
  <c r="N368" i="1"/>
  <c r="A368" i="1" s="1"/>
  <c r="M368" i="1"/>
  <c r="N367" i="1"/>
  <c r="A367" i="1" s="1"/>
  <c r="M367" i="1"/>
  <c r="N366" i="1"/>
  <c r="A366" i="1" s="1"/>
  <c r="M366" i="1"/>
  <c r="N365" i="1"/>
  <c r="A365" i="1" s="1"/>
  <c r="M365" i="1"/>
  <c r="N364" i="1"/>
  <c r="A364" i="1" s="1"/>
  <c r="M364" i="1"/>
  <c r="N363" i="1"/>
  <c r="A363" i="1" s="1"/>
  <c r="M363" i="1"/>
  <c r="N362" i="1"/>
  <c r="A362" i="1" s="1"/>
  <c r="M362" i="1"/>
  <c r="N361" i="1"/>
  <c r="A361" i="1" s="1"/>
  <c r="M361" i="1"/>
  <c r="N360" i="1"/>
  <c r="A360" i="1" s="1"/>
  <c r="M360" i="1"/>
  <c r="N359" i="1"/>
  <c r="A359" i="1" s="1"/>
  <c r="M359" i="1"/>
  <c r="N358" i="1"/>
  <c r="A358" i="1" s="1"/>
  <c r="M358" i="1"/>
  <c r="N357" i="1"/>
  <c r="A357" i="1" s="1"/>
  <c r="M357" i="1"/>
  <c r="N356" i="1"/>
  <c r="A356" i="1" s="1"/>
  <c r="M356" i="1"/>
  <c r="N355" i="1"/>
  <c r="A355" i="1" s="1"/>
  <c r="M355" i="1"/>
  <c r="N354" i="1"/>
  <c r="A354" i="1" s="1"/>
  <c r="M354" i="1"/>
  <c r="N353" i="1"/>
  <c r="A353" i="1" s="1"/>
  <c r="M353" i="1"/>
  <c r="N352" i="1"/>
  <c r="A352" i="1" s="1"/>
  <c r="M352" i="1"/>
  <c r="N351" i="1"/>
  <c r="A351" i="1" s="1"/>
  <c r="M351" i="1"/>
  <c r="N350" i="1"/>
  <c r="A350" i="1" s="1"/>
  <c r="M350" i="1"/>
  <c r="N349" i="1"/>
  <c r="A349" i="1" s="1"/>
  <c r="M349" i="1"/>
  <c r="N348" i="1"/>
  <c r="A348" i="1" s="1"/>
  <c r="M348" i="1"/>
  <c r="N347" i="1"/>
  <c r="A347" i="1" s="1"/>
  <c r="M347" i="1"/>
  <c r="N346" i="1"/>
  <c r="A346" i="1" s="1"/>
  <c r="M346" i="1"/>
  <c r="N345" i="1"/>
  <c r="A345" i="1" s="1"/>
  <c r="M345" i="1"/>
  <c r="N344" i="1"/>
  <c r="A344" i="1" s="1"/>
  <c r="M344" i="1"/>
  <c r="N343" i="1"/>
  <c r="A343" i="1" s="1"/>
  <c r="M343" i="1"/>
  <c r="N342" i="1"/>
  <c r="A342" i="1" s="1"/>
  <c r="M342" i="1"/>
  <c r="N341" i="1"/>
  <c r="A341" i="1" s="1"/>
  <c r="M341" i="1"/>
  <c r="N340" i="1"/>
  <c r="A340" i="1" s="1"/>
  <c r="M340" i="1"/>
  <c r="N339" i="1"/>
  <c r="A339" i="1" s="1"/>
  <c r="M339" i="1"/>
  <c r="N338" i="1"/>
  <c r="A338" i="1" s="1"/>
  <c r="M338" i="1"/>
  <c r="N337" i="1"/>
  <c r="A337" i="1" s="1"/>
  <c r="M337" i="1"/>
  <c r="N336" i="1"/>
  <c r="A336" i="1" s="1"/>
  <c r="M336" i="1"/>
  <c r="N335" i="1"/>
  <c r="A335" i="1" s="1"/>
  <c r="M335" i="1"/>
  <c r="N334" i="1"/>
  <c r="A334" i="1" s="1"/>
  <c r="M334" i="1"/>
  <c r="N333" i="1"/>
  <c r="A333" i="1" s="1"/>
  <c r="M333" i="1"/>
  <c r="N332" i="1"/>
  <c r="A332" i="1" s="1"/>
  <c r="M332" i="1"/>
  <c r="N331" i="1"/>
  <c r="A331" i="1" s="1"/>
  <c r="M331" i="1"/>
  <c r="N330" i="1"/>
  <c r="A330" i="1" s="1"/>
  <c r="M330" i="1"/>
  <c r="N329" i="1"/>
  <c r="A329" i="1" s="1"/>
  <c r="M329" i="1"/>
  <c r="N328" i="1"/>
  <c r="A328" i="1" s="1"/>
  <c r="M328" i="1"/>
  <c r="N327" i="1"/>
  <c r="A327" i="1" s="1"/>
  <c r="M327" i="1"/>
  <c r="N326" i="1"/>
  <c r="A326" i="1" s="1"/>
  <c r="M326" i="1"/>
  <c r="N325" i="1"/>
  <c r="A325" i="1" s="1"/>
  <c r="M325" i="1"/>
  <c r="N324" i="1"/>
  <c r="A324" i="1" s="1"/>
  <c r="M324" i="1"/>
  <c r="N323" i="1"/>
  <c r="A323" i="1" s="1"/>
  <c r="M323" i="1"/>
  <c r="N322" i="1"/>
  <c r="A322" i="1" s="1"/>
  <c r="M322" i="1"/>
  <c r="N321" i="1"/>
  <c r="A321" i="1" s="1"/>
  <c r="M321" i="1"/>
  <c r="N320" i="1"/>
  <c r="A320" i="1" s="1"/>
  <c r="M320" i="1"/>
  <c r="N319" i="1"/>
  <c r="A319" i="1" s="1"/>
  <c r="M319" i="1"/>
  <c r="N318" i="1"/>
  <c r="A318" i="1" s="1"/>
  <c r="M318" i="1"/>
  <c r="N317" i="1"/>
  <c r="A317" i="1" s="1"/>
  <c r="M317" i="1"/>
  <c r="N316" i="1"/>
  <c r="A316" i="1" s="1"/>
  <c r="M316" i="1"/>
  <c r="N315" i="1"/>
  <c r="A315" i="1" s="1"/>
  <c r="M315" i="1"/>
  <c r="N314" i="1"/>
  <c r="A314" i="1" s="1"/>
  <c r="M314" i="1"/>
  <c r="N313" i="1"/>
  <c r="A313" i="1" s="1"/>
  <c r="M313" i="1"/>
  <c r="N312" i="1"/>
  <c r="A312" i="1" s="1"/>
  <c r="M312" i="1"/>
  <c r="N311" i="1"/>
  <c r="A311" i="1" s="1"/>
  <c r="M311" i="1"/>
  <c r="N310" i="1"/>
  <c r="A310" i="1" s="1"/>
  <c r="M310" i="1"/>
  <c r="N309" i="1"/>
  <c r="A309" i="1" s="1"/>
  <c r="M309" i="1"/>
  <c r="N308" i="1"/>
  <c r="A308" i="1" s="1"/>
  <c r="M308" i="1"/>
  <c r="N307" i="1"/>
  <c r="A307" i="1" s="1"/>
  <c r="M307" i="1"/>
  <c r="N306" i="1"/>
  <c r="A306" i="1" s="1"/>
  <c r="M306" i="1"/>
  <c r="N305" i="1"/>
  <c r="A305" i="1" s="1"/>
  <c r="M305" i="1"/>
  <c r="N304" i="1"/>
  <c r="A304" i="1" s="1"/>
  <c r="M304" i="1"/>
  <c r="N303" i="1"/>
  <c r="A303" i="1" s="1"/>
  <c r="M303" i="1"/>
  <c r="N302" i="1"/>
  <c r="A302" i="1" s="1"/>
  <c r="M302" i="1"/>
  <c r="N301" i="1"/>
  <c r="A301" i="1" s="1"/>
  <c r="M301" i="1"/>
  <c r="N300" i="1"/>
  <c r="A300" i="1" s="1"/>
  <c r="M300" i="1"/>
  <c r="N299" i="1"/>
  <c r="A299" i="1" s="1"/>
  <c r="M299" i="1"/>
  <c r="N298" i="1"/>
  <c r="A298" i="1" s="1"/>
  <c r="M298" i="1"/>
  <c r="N297" i="1"/>
  <c r="A297" i="1" s="1"/>
  <c r="M297" i="1"/>
  <c r="N296" i="1"/>
  <c r="A296" i="1" s="1"/>
  <c r="M296" i="1"/>
  <c r="N295" i="1"/>
  <c r="A295" i="1" s="1"/>
  <c r="M295" i="1"/>
  <c r="N294" i="1"/>
  <c r="A294" i="1" s="1"/>
  <c r="M294" i="1"/>
  <c r="N293" i="1"/>
  <c r="A293" i="1" s="1"/>
  <c r="M293" i="1"/>
  <c r="N292" i="1"/>
  <c r="A292" i="1" s="1"/>
  <c r="M292" i="1"/>
  <c r="N291" i="1"/>
  <c r="A291" i="1" s="1"/>
  <c r="M291" i="1"/>
  <c r="N290" i="1"/>
  <c r="A290" i="1" s="1"/>
  <c r="M290" i="1"/>
  <c r="N289" i="1"/>
  <c r="A289" i="1" s="1"/>
  <c r="M289" i="1"/>
  <c r="N288" i="1"/>
  <c r="A288" i="1" s="1"/>
  <c r="M288" i="1"/>
  <c r="N287" i="1"/>
  <c r="A287" i="1" s="1"/>
  <c r="M287" i="1"/>
  <c r="N286" i="1"/>
  <c r="A286" i="1" s="1"/>
  <c r="M286" i="1"/>
  <c r="N285" i="1"/>
  <c r="A285" i="1" s="1"/>
  <c r="M285" i="1"/>
  <c r="N284" i="1"/>
  <c r="A284" i="1" s="1"/>
  <c r="M284" i="1"/>
  <c r="N283" i="1"/>
  <c r="A283" i="1" s="1"/>
  <c r="M283" i="1"/>
  <c r="N282" i="1"/>
  <c r="A282" i="1" s="1"/>
  <c r="M282" i="1"/>
  <c r="N281" i="1"/>
  <c r="A281" i="1" s="1"/>
  <c r="M281" i="1"/>
  <c r="N280" i="1"/>
  <c r="A280" i="1" s="1"/>
  <c r="M280" i="1"/>
  <c r="N279" i="1"/>
  <c r="A279" i="1" s="1"/>
  <c r="M279" i="1"/>
  <c r="N278" i="1"/>
  <c r="A278" i="1" s="1"/>
  <c r="M278" i="1"/>
  <c r="N277" i="1"/>
  <c r="A277" i="1" s="1"/>
  <c r="M277" i="1"/>
  <c r="N276" i="1"/>
  <c r="A276" i="1" s="1"/>
  <c r="M276" i="1"/>
  <c r="N275" i="1"/>
  <c r="A275" i="1" s="1"/>
  <c r="M275" i="1"/>
  <c r="N274" i="1"/>
  <c r="A274" i="1" s="1"/>
  <c r="M274" i="1"/>
  <c r="N273" i="1"/>
  <c r="A273" i="1" s="1"/>
  <c r="M273" i="1"/>
  <c r="N272" i="1"/>
  <c r="A272" i="1" s="1"/>
  <c r="M272" i="1"/>
  <c r="N271" i="1"/>
  <c r="A271" i="1" s="1"/>
  <c r="M271" i="1"/>
  <c r="N270" i="1"/>
  <c r="A270" i="1" s="1"/>
  <c r="M270" i="1"/>
  <c r="N269" i="1"/>
  <c r="A269" i="1" s="1"/>
  <c r="M269" i="1"/>
  <c r="N268" i="1"/>
  <c r="A268" i="1" s="1"/>
  <c r="M268" i="1"/>
  <c r="N267" i="1"/>
  <c r="A267" i="1" s="1"/>
  <c r="M267" i="1"/>
  <c r="N266" i="1"/>
  <c r="A266" i="1" s="1"/>
  <c r="M266" i="1"/>
  <c r="N265" i="1"/>
  <c r="A265" i="1" s="1"/>
  <c r="M265" i="1"/>
  <c r="N264" i="1"/>
  <c r="A264" i="1" s="1"/>
  <c r="M264" i="1"/>
  <c r="N263" i="1"/>
  <c r="A263" i="1" s="1"/>
  <c r="M263" i="1"/>
  <c r="N262" i="1"/>
  <c r="A262" i="1" s="1"/>
  <c r="M262" i="1"/>
  <c r="N261" i="1"/>
  <c r="A261" i="1" s="1"/>
  <c r="M261" i="1"/>
  <c r="N260" i="1"/>
  <c r="A260" i="1" s="1"/>
  <c r="M260" i="1"/>
  <c r="N259" i="1"/>
  <c r="A259" i="1" s="1"/>
  <c r="M259" i="1"/>
  <c r="N258" i="1"/>
  <c r="A258" i="1" s="1"/>
  <c r="M258" i="1"/>
  <c r="N257" i="1"/>
  <c r="A257" i="1" s="1"/>
  <c r="M257" i="1"/>
  <c r="N256" i="1"/>
  <c r="A256" i="1" s="1"/>
  <c r="M256" i="1"/>
  <c r="N255" i="1"/>
  <c r="A255" i="1" s="1"/>
  <c r="M255" i="1"/>
  <c r="N254" i="1"/>
  <c r="A254" i="1" s="1"/>
  <c r="M254" i="1"/>
  <c r="N253" i="1"/>
  <c r="A253" i="1" s="1"/>
  <c r="M253" i="1"/>
  <c r="N252" i="1"/>
  <c r="A252" i="1" s="1"/>
  <c r="M252" i="1"/>
  <c r="N251" i="1"/>
  <c r="A251" i="1" s="1"/>
  <c r="M251" i="1"/>
  <c r="N250" i="1"/>
  <c r="A250" i="1" s="1"/>
  <c r="M250" i="1"/>
  <c r="N249" i="1"/>
  <c r="A249" i="1" s="1"/>
  <c r="M249" i="1"/>
  <c r="N248" i="1"/>
  <c r="A248" i="1" s="1"/>
  <c r="M248" i="1"/>
  <c r="N247" i="1"/>
  <c r="A247" i="1" s="1"/>
  <c r="M247" i="1"/>
  <c r="N246" i="1"/>
  <c r="A246" i="1" s="1"/>
  <c r="M246" i="1"/>
  <c r="N245" i="1"/>
  <c r="A245" i="1" s="1"/>
  <c r="M245" i="1"/>
  <c r="N244" i="1"/>
  <c r="A244" i="1" s="1"/>
  <c r="M244" i="1"/>
  <c r="N243" i="1"/>
  <c r="A243" i="1" s="1"/>
  <c r="M243" i="1"/>
  <c r="N242" i="1"/>
  <c r="A242" i="1" s="1"/>
  <c r="M242" i="1"/>
  <c r="N241" i="1"/>
  <c r="A241" i="1" s="1"/>
  <c r="M241" i="1"/>
  <c r="N240" i="1"/>
  <c r="A240" i="1" s="1"/>
  <c r="M240" i="1"/>
  <c r="N239" i="1"/>
  <c r="A239" i="1" s="1"/>
  <c r="M239" i="1"/>
  <c r="N238" i="1"/>
  <c r="A238" i="1" s="1"/>
  <c r="M238" i="1"/>
  <c r="N237" i="1"/>
  <c r="A237" i="1" s="1"/>
  <c r="M237" i="1"/>
  <c r="N236" i="1"/>
  <c r="A236" i="1" s="1"/>
  <c r="M236" i="1"/>
  <c r="N235" i="1"/>
  <c r="A235" i="1" s="1"/>
  <c r="M235" i="1"/>
  <c r="N234" i="1"/>
  <c r="A234" i="1" s="1"/>
  <c r="M234" i="1"/>
  <c r="N233" i="1"/>
  <c r="A233" i="1" s="1"/>
  <c r="M233" i="1"/>
  <c r="N232" i="1"/>
  <c r="A232" i="1" s="1"/>
  <c r="M232" i="1"/>
  <c r="N231" i="1"/>
  <c r="A231" i="1" s="1"/>
  <c r="M231" i="1"/>
  <c r="N230" i="1"/>
  <c r="A230" i="1" s="1"/>
  <c r="M230" i="1"/>
  <c r="N229" i="1"/>
  <c r="A229" i="1" s="1"/>
  <c r="M229" i="1"/>
  <c r="N228" i="1"/>
  <c r="A228" i="1" s="1"/>
  <c r="M228" i="1"/>
  <c r="N227" i="1"/>
  <c r="A227" i="1" s="1"/>
  <c r="M227" i="1"/>
  <c r="N226" i="1"/>
  <c r="A226" i="1" s="1"/>
  <c r="M226" i="1"/>
  <c r="N225" i="1"/>
  <c r="A225" i="1" s="1"/>
  <c r="M225" i="1"/>
  <c r="N224" i="1"/>
  <c r="A224" i="1" s="1"/>
  <c r="M224" i="1"/>
  <c r="N223" i="1"/>
  <c r="A223" i="1" s="1"/>
  <c r="M223" i="1"/>
  <c r="N222" i="1"/>
  <c r="A222" i="1" s="1"/>
  <c r="M222" i="1"/>
  <c r="N221" i="1"/>
  <c r="A221" i="1" s="1"/>
  <c r="M221" i="1"/>
  <c r="N220" i="1"/>
  <c r="A220" i="1" s="1"/>
  <c r="M220" i="1"/>
  <c r="N219" i="1"/>
  <c r="A219" i="1" s="1"/>
  <c r="M219" i="1"/>
  <c r="N218" i="1"/>
  <c r="A218" i="1" s="1"/>
  <c r="M218" i="1"/>
  <c r="N217" i="1"/>
  <c r="A217" i="1" s="1"/>
  <c r="M217" i="1"/>
  <c r="N216" i="1"/>
  <c r="A216" i="1" s="1"/>
  <c r="M216" i="1"/>
  <c r="N215" i="1"/>
  <c r="A215" i="1" s="1"/>
  <c r="M215" i="1"/>
  <c r="N214" i="1"/>
  <c r="A214" i="1" s="1"/>
  <c r="M214" i="1"/>
  <c r="N213" i="1"/>
  <c r="A213" i="1" s="1"/>
  <c r="M213" i="1"/>
  <c r="N212" i="1"/>
  <c r="A212" i="1" s="1"/>
  <c r="M212" i="1"/>
  <c r="N211" i="1"/>
  <c r="A211" i="1" s="1"/>
  <c r="M211" i="1"/>
  <c r="N210" i="1"/>
  <c r="A210" i="1" s="1"/>
  <c r="M210" i="1"/>
  <c r="N209" i="1"/>
  <c r="A209" i="1" s="1"/>
  <c r="M209" i="1"/>
  <c r="N208" i="1"/>
  <c r="A208" i="1" s="1"/>
  <c r="M208" i="1"/>
  <c r="N207" i="1"/>
  <c r="A207" i="1" s="1"/>
  <c r="M207" i="1"/>
  <c r="N206" i="1"/>
  <c r="A206" i="1" s="1"/>
  <c r="M206" i="1"/>
  <c r="N205" i="1"/>
  <c r="A205" i="1" s="1"/>
  <c r="M205" i="1"/>
  <c r="N204" i="1"/>
  <c r="A204" i="1" s="1"/>
  <c r="M204" i="1"/>
  <c r="N203" i="1"/>
  <c r="A203" i="1" s="1"/>
  <c r="M203" i="1"/>
  <c r="N202" i="1"/>
  <c r="A202" i="1" s="1"/>
  <c r="M202" i="1"/>
  <c r="N201" i="1"/>
  <c r="A201" i="1" s="1"/>
  <c r="M201" i="1"/>
  <c r="N200" i="1"/>
  <c r="A200" i="1" s="1"/>
  <c r="M200" i="1"/>
  <c r="N199" i="1"/>
  <c r="A199" i="1" s="1"/>
  <c r="M199" i="1"/>
  <c r="N198" i="1"/>
  <c r="A198" i="1" s="1"/>
  <c r="M198" i="1"/>
  <c r="N197" i="1"/>
  <c r="A197" i="1" s="1"/>
  <c r="M197" i="1"/>
  <c r="N196" i="1"/>
  <c r="A196" i="1" s="1"/>
  <c r="M196" i="1"/>
  <c r="N195" i="1"/>
  <c r="A195" i="1" s="1"/>
  <c r="M195" i="1"/>
  <c r="N194" i="1"/>
  <c r="A194" i="1" s="1"/>
  <c r="M194" i="1"/>
  <c r="N193" i="1"/>
  <c r="A193" i="1" s="1"/>
  <c r="M193" i="1"/>
  <c r="N192" i="1"/>
  <c r="A192" i="1" s="1"/>
  <c r="M192" i="1"/>
  <c r="N191" i="1"/>
  <c r="A191" i="1" s="1"/>
  <c r="M191" i="1"/>
  <c r="N190" i="1"/>
  <c r="A190" i="1" s="1"/>
  <c r="M190" i="1"/>
  <c r="N189" i="1"/>
  <c r="A189" i="1" s="1"/>
  <c r="M189" i="1"/>
  <c r="N188" i="1"/>
  <c r="A188" i="1" s="1"/>
  <c r="M188" i="1"/>
  <c r="N187" i="1"/>
  <c r="A187" i="1" s="1"/>
  <c r="M187" i="1"/>
  <c r="N186" i="1"/>
  <c r="A186" i="1" s="1"/>
  <c r="M186" i="1"/>
  <c r="N185" i="1"/>
  <c r="A185" i="1" s="1"/>
  <c r="M185" i="1"/>
  <c r="N184" i="1"/>
  <c r="A184" i="1" s="1"/>
  <c r="M184" i="1"/>
  <c r="N183" i="1"/>
  <c r="A183" i="1" s="1"/>
  <c r="M183" i="1"/>
  <c r="N182" i="1"/>
  <c r="A182" i="1" s="1"/>
  <c r="M182" i="1"/>
  <c r="N181" i="1"/>
  <c r="A181" i="1" s="1"/>
  <c r="M181" i="1"/>
  <c r="N180" i="1"/>
  <c r="A180" i="1" s="1"/>
  <c r="M180" i="1"/>
  <c r="N179" i="1"/>
  <c r="A179" i="1" s="1"/>
  <c r="M179" i="1"/>
  <c r="N178" i="1"/>
  <c r="A178" i="1" s="1"/>
  <c r="M178" i="1"/>
  <c r="N177" i="1"/>
  <c r="A177" i="1" s="1"/>
  <c r="M177" i="1"/>
  <c r="N176" i="1"/>
  <c r="A176" i="1" s="1"/>
  <c r="M176" i="1"/>
  <c r="N175" i="1"/>
  <c r="A175" i="1" s="1"/>
  <c r="M175" i="1"/>
  <c r="N174" i="1"/>
  <c r="A174" i="1" s="1"/>
  <c r="M174" i="1"/>
  <c r="N173" i="1"/>
  <c r="A173" i="1" s="1"/>
  <c r="M173" i="1"/>
  <c r="N172" i="1"/>
  <c r="A172" i="1" s="1"/>
  <c r="M172" i="1"/>
  <c r="N171" i="1"/>
  <c r="A171" i="1" s="1"/>
  <c r="M171" i="1"/>
  <c r="N170" i="1"/>
  <c r="A170" i="1" s="1"/>
  <c r="M170" i="1"/>
  <c r="N169" i="1"/>
  <c r="A169" i="1" s="1"/>
  <c r="M169" i="1"/>
  <c r="N168" i="1"/>
  <c r="A168" i="1" s="1"/>
  <c r="M168" i="1"/>
  <c r="N167" i="1"/>
  <c r="A167" i="1" s="1"/>
  <c r="M167" i="1"/>
  <c r="N166" i="1"/>
  <c r="A166" i="1" s="1"/>
  <c r="M166" i="1"/>
  <c r="N165" i="1"/>
  <c r="A165" i="1" s="1"/>
  <c r="M165" i="1"/>
  <c r="N164" i="1"/>
  <c r="A164" i="1" s="1"/>
  <c r="M164" i="1"/>
  <c r="N163" i="1"/>
  <c r="A163" i="1" s="1"/>
  <c r="M163" i="1"/>
  <c r="N162" i="1"/>
  <c r="A162" i="1" s="1"/>
  <c r="M162" i="1"/>
  <c r="N161" i="1"/>
  <c r="A161" i="1" s="1"/>
  <c r="M161" i="1"/>
  <c r="N160" i="1"/>
  <c r="A160" i="1" s="1"/>
  <c r="M160" i="1"/>
  <c r="N159" i="1"/>
  <c r="A159" i="1" s="1"/>
  <c r="M159" i="1"/>
  <c r="N158" i="1"/>
  <c r="A158" i="1" s="1"/>
  <c r="M158" i="1"/>
  <c r="N157" i="1"/>
  <c r="A157" i="1" s="1"/>
  <c r="M157" i="1"/>
  <c r="N156" i="1"/>
  <c r="A156" i="1" s="1"/>
  <c r="M156" i="1"/>
  <c r="N155" i="1"/>
  <c r="A155" i="1" s="1"/>
  <c r="M155" i="1"/>
  <c r="N154" i="1"/>
  <c r="A154" i="1" s="1"/>
  <c r="M154" i="1"/>
  <c r="N153" i="1"/>
  <c r="A153" i="1" s="1"/>
  <c r="M153" i="1"/>
  <c r="N152" i="1"/>
  <c r="A152" i="1" s="1"/>
  <c r="M152" i="1"/>
  <c r="N151" i="1"/>
  <c r="A151" i="1" s="1"/>
  <c r="M151" i="1"/>
  <c r="N150" i="1"/>
  <c r="A150" i="1" s="1"/>
  <c r="M150" i="1"/>
  <c r="N149" i="1"/>
  <c r="A149" i="1" s="1"/>
  <c r="M149" i="1"/>
  <c r="N148" i="1"/>
  <c r="A148" i="1" s="1"/>
  <c r="M148" i="1"/>
  <c r="N147" i="1"/>
  <c r="A147" i="1" s="1"/>
  <c r="M147" i="1"/>
  <c r="N146" i="1"/>
  <c r="A146" i="1" s="1"/>
  <c r="M146" i="1"/>
  <c r="N145" i="1"/>
  <c r="A145" i="1" s="1"/>
  <c r="M145" i="1"/>
  <c r="N144" i="1"/>
  <c r="A144" i="1" s="1"/>
  <c r="M144" i="1"/>
  <c r="N143" i="1"/>
  <c r="A143" i="1" s="1"/>
  <c r="M143" i="1"/>
  <c r="N142" i="1"/>
  <c r="A142" i="1" s="1"/>
  <c r="M142" i="1"/>
  <c r="N141" i="1"/>
  <c r="A141" i="1" s="1"/>
  <c r="M141" i="1"/>
  <c r="N140" i="1"/>
  <c r="A140" i="1" s="1"/>
  <c r="M140" i="1"/>
  <c r="N139" i="1"/>
  <c r="A139" i="1" s="1"/>
  <c r="M139" i="1"/>
  <c r="N138" i="1"/>
  <c r="A138" i="1" s="1"/>
  <c r="M138" i="1"/>
  <c r="N137" i="1"/>
  <c r="A137" i="1" s="1"/>
  <c r="M137" i="1"/>
  <c r="N136" i="1"/>
  <c r="A136" i="1" s="1"/>
  <c r="M136" i="1"/>
  <c r="N135" i="1"/>
  <c r="A135" i="1" s="1"/>
  <c r="M135" i="1"/>
  <c r="N134" i="1"/>
  <c r="A134" i="1" s="1"/>
  <c r="M134" i="1"/>
  <c r="N133" i="1"/>
  <c r="A133" i="1" s="1"/>
  <c r="M133" i="1"/>
  <c r="N132" i="1"/>
  <c r="A132" i="1" s="1"/>
  <c r="M132" i="1"/>
  <c r="N131" i="1"/>
  <c r="A131" i="1" s="1"/>
  <c r="M131" i="1"/>
  <c r="N130" i="1"/>
  <c r="A130" i="1" s="1"/>
  <c r="M130" i="1"/>
  <c r="N129" i="1"/>
  <c r="A129" i="1" s="1"/>
  <c r="M129" i="1"/>
  <c r="N128" i="1"/>
  <c r="A128" i="1" s="1"/>
  <c r="M128" i="1"/>
  <c r="N127" i="1"/>
  <c r="A127" i="1" s="1"/>
  <c r="M127" i="1"/>
  <c r="N126" i="1"/>
  <c r="A126" i="1" s="1"/>
  <c r="M126" i="1"/>
  <c r="N125" i="1"/>
  <c r="A125" i="1" s="1"/>
  <c r="M125" i="1"/>
  <c r="N124" i="1"/>
  <c r="A124" i="1" s="1"/>
  <c r="M124" i="1"/>
  <c r="N123" i="1"/>
  <c r="A123" i="1" s="1"/>
  <c r="M123" i="1"/>
  <c r="N122" i="1"/>
  <c r="A122" i="1" s="1"/>
  <c r="M122" i="1"/>
  <c r="N121" i="1"/>
  <c r="A121" i="1" s="1"/>
  <c r="M121" i="1"/>
  <c r="N120" i="1"/>
  <c r="A120" i="1" s="1"/>
  <c r="M120" i="1"/>
  <c r="N119" i="1"/>
  <c r="A119" i="1" s="1"/>
  <c r="M119" i="1"/>
  <c r="N118" i="1"/>
  <c r="A118" i="1" s="1"/>
  <c r="M118" i="1"/>
  <c r="N117" i="1"/>
  <c r="A117" i="1" s="1"/>
  <c r="M117" i="1"/>
  <c r="N116" i="1"/>
  <c r="A116" i="1" s="1"/>
  <c r="M116" i="1"/>
  <c r="N115" i="1"/>
  <c r="A115" i="1" s="1"/>
  <c r="M115" i="1"/>
  <c r="N114" i="1"/>
  <c r="A114" i="1" s="1"/>
  <c r="M114" i="1"/>
  <c r="N113" i="1"/>
  <c r="A113" i="1" s="1"/>
  <c r="M113" i="1"/>
  <c r="N112" i="1"/>
  <c r="A112" i="1" s="1"/>
  <c r="M112" i="1"/>
  <c r="N111" i="1"/>
  <c r="A111" i="1" s="1"/>
  <c r="M111" i="1"/>
  <c r="N110" i="1"/>
  <c r="A110" i="1" s="1"/>
  <c r="M110" i="1"/>
  <c r="N109" i="1"/>
  <c r="A109" i="1" s="1"/>
  <c r="M109" i="1"/>
  <c r="N108" i="1"/>
  <c r="A108" i="1" s="1"/>
  <c r="M108" i="1"/>
  <c r="N107" i="1"/>
  <c r="A107" i="1" s="1"/>
  <c r="M107" i="1"/>
  <c r="N106" i="1"/>
  <c r="A106" i="1" s="1"/>
  <c r="M106" i="1"/>
  <c r="N105" i="1"/>
  <c r="A105" i="1" s="1"/>
  <c r="M105" i="1"/>
  <c r="N104" i="1"/>
  <c r="A104" i="1" s="1"/>
  <c r="M104" i="1"/>
  <c r="N103" i="1"/>
  <c r="A103" i="1" s="1"/>
  <c r="M103" i="1"/>
  <c r="N102" i="1"/>
  <c r="A102" i="1" s="1"/>
  <c r="M102" i="1"/>
  <c r="N101" i="1"/>
  <c r="A101" i="1" s="1"/>
  <c r="M101" i="1"/>
  <c r="N100" i="1"/>
  <c r="A100" i="1" s="1"/>
  <c r="M100" i="1"/>
  <c r="N99" i="1"/>
  <c r="A99" i="1" s="1"/>
  <c r="M99" i="1"/>
  <c r="N98" i="1"/>
  <c r="A98" i="1" s="1"/>
  <c r="M98" i="1"/>
  <c r="N97" i="1"/>
  <c r="A97" i="1" s="1"/>
  <c r="M97" i="1"/>
  <c r="N96" i="1"/>
  <c r="A96" i="1" s="1"/>
  <c r="M96" i="1"/>
  <c r="N95" i="1"/>
  <c r="A95" i="1" s="1"/>
  <c r="M95" i="1"/>
  <c r="N94" i="1"/>
  <c r="A94" i="1" s="1"/>
  <c r="M94" i="1"/>
  <c r="N93" i="1"/>
  <c r="A93" i="1" s="1"/>
  <c r="M93" i="1"/>
  <c r="N92" i="1"/>
  <c r="A92" i="1" s="1"/>
  <c r="M92" i="1"/>
  <c r="N91" i="1"/>
  <c r="A91" i="1" s="1"/>
  <c r="M91" i="1"/>
  <c r="N90" i="1"/>
  <c r="A90" i="1" s="1"/>
  <c r="M90" i="1"/>
  <c r="N89" i="1"/>
  <c r="A89" i="1" s="1"/>
  <c r="M89" i="1"/>
  <c r="N88" i="1"/>
  <c r="A88" i="1" s="1"/>
  <c r="M88" i="1"/>
  <c r="N87" i="1"/>
  <c r="A87" i="1" s="1"/>
  <c r="M87" i="1"/>
  <c r="N86" i="1"/>
  <c r="A86" i="1" s="1"/>
  <c r="M86" i="1"/>
  <c r="N85" i="1"/>
  <c r="A85" i="1" s="1"/>
  <c r="M85" i="1"/>
  <c r="N84" i="1"/>
  <c r="A84" i="1" s="1"/>
  <c r="M84" i="1"/>
  <c r="N83" i="1"/>
  <c r="A83" i="1" s="1"/>
  <c r="M83" i="1"/>
  <c r="N82" i="1"/>
  <c r="A82" i="1" s="1"/>
  <c r="M82" i="1"/>
  <c r="N81" i="1"/>
  <c r="A81" i="1" s="1"/>
  <c r="M81" i="1"/>
  <c r="N80" i="1"/>
  <c r="A80" i="1" s="1"/>
  <c r="M80" i="1"/>
  <c r="N79" i="1"/>
  <c r="A79" i="1" s="1"/>
  <c r="M79" i="1"/>
  <c r="N78" i="1"/>
  <c r="A78" i="1" s="1"/>
  <c r="M78" i="1"/>
  <c r="N77" i="1"/>
  <c r="A77" i="1" s="1"/>
  <c r="M77" i="1"/>
  <c r="N76" i="1"/>
  <c r="A76" i="1" s="1"/>
  <c r="M76" i="1"/>
  <c r="N75" i="1"/>
  <c r="A75" i="1" s="1"/>
  <c r="M75" i="1"/>
  <c r="N74" i="1"/>
  <c r="A74" i="1" s="1"/>
  <c r="M74" i="1"/>
  <c r="N73" i="1"/>
  <c r="A73" i="1" s="1"/>
  <c r="M73" i="1"/>
  <c r="N72" i="1"/>
  <c r="A72" i="1" s="1"/>
  <c r="M72" i="1"/>
  <c r="N71" i="1"/>
  <c r="A71" i="1" s="1"/>
  <c r="M71" i="1"/>
  <c r="N70" i="1"/>
  <c r="A70" i="1" s="1"/>
  <c r="M70" i="1"/>
  <c r="N69" i="1"/>
  <c r="A69" i="1" s="1"/>
  <c r="M69" i="1"/>
  <c r="N68" i="1"/>
  <c r="A68" i="1" s="1"/>
  <c r="M68" i="1"/>
  <c r="N67" i="1"/>
  <c r="A67" i="1" s="1"/>
  <c r="M67" i="1"/>
  <c r="N66" i="1"/>
  <c r="A66" i="1" s="1"/>
  <c r="M66" i="1"/>
  <c r="N65" i="1"/>
  <c r="A65" i="1" s="1"/>
  <c r="M65" i="1"/>
  <c r="N64" i="1"/>
  <c r="A64" i="1" s="1"/>
  <c r="M64" i="1"/>
  <c r="N63" i="1"/>
  <c r="A63" i="1" s="1"/>
  <c r="M63" i="1"/>
  <c r="N62" i="1"/>
  <c r="A62" i="1" s="1"/>
  <c r="M62" i="1"/>
  <c r="N61" i="1"/>
  <c r="A61" i="1" s="1"/>
  <c r="M61" i="1"/>
  <c r="N60" i="1"/>
  <c r="A60" i="1" s="1"/>
  <c r="M60" i="1"/>
  <c r="N59" i="1"/>
  <c r="A59" i="1" s="1"/>
  <c r="M59" i="1"/>
  <c r="N58" i="1"/>
  <c r="A58" i="1" s="1"/>
  <c r="M58" i="1"/>
  <c r="N57" i="1"/>
  <c r="A57" i="1" s="1"/>
  <c r="M57" i="1"/>
  <c r="N56" i="1"/>
  <c r="A56" i="1" s="1"/>
  <c r="M56" i="1"/>
  <c r="N55" i="1"/>
  <c r="A55" i="1" s="1"/>
  <c r="M55" i="1"/>
  <c r="N54" i="1"/>
  <c r="A54" i="1" s="1"/>
  <c r="M54" i="1"/>
  <c r="N53" i="1"/>
  <c r="A53" i="1" s="1"/>
  <c r="M53" i="1"/>
  <c r="N52" i="1"/>
  <c r="A52" i="1" s="1"/>
  <c r="M52" i="1"/>
  <c r="N51" i="1"/>
  <c r="A51" i="1" s="1"/>
  <c r="M51" i="1"/>
  <c r="N50" i="1"/>
  <c r="A50" i="1" s="1"/>
  <c r="M50" i="1"/>
  <c r="N49" i="1"/>
  <c r="A49" i="1" s="1"/>
  <c r="M49" i="1"/>
  <c r="N48" i="1"/>
  <c r="A48" i="1" s="1"/>
  <c r="M48" i="1"/>
  <c r="N47" i="1"/>
  <c r="A47" i="1" s="1"/>
  <c r="M47" i="1"/>
  <c r="N46" i="1"/>
  <c r="A46" i="1" s="1"/>
  <c r="M46" i="1"/>
  <c r="N45" i="1"/>
  <c r="A45" i="1" s="1"/>
  <c r="M45" i="1"/>
  <c r="N44" i="1"/>
  <c r="A44" i="1" s="1"/>
  <c r="M44" i="1"/>
  <c r="N43" i="1"/>
  <c r="A43" i="1" s="1"/>
  <c r="M43" i="1"/>
  <c r="N42" i="1"/>
  <c r="A42" i="1" s="1"/>
  <c r="M42" i="1"/>
  <c r="N41" i="1"/>
  <c r="A41" i="1" s="1"/>
  <c r="M41" i="1"/>
  <c r="N40" i="1"/>
  <c r="A40" i="1" s="1"/>
  <c r="M40" i="1"/>
  <c r="N39" i="1"/>
  <c r="A39" i="1" s="1"/>
  <c r="M39" i="1"/>
  <c r="N38" i="1"/>
  <c r="A38" i="1" s="1"/>
  <c r="M38" i="1"/>
  <c r="N37" i="1"/>
  <c r="A37" i="1" s="1"/>
  <c r="M37" i="1"/>
  <c r="N36" i="1"/>
  <c r="A36" i="1" s="1"/>
  <c r="M36" i="1"/>
  <c r="N35" i="1"/>
  <c r="A35" i="1" s="1"/>
  <c r="M35" i="1"/>
  <c r="N34" i="1"/>
  <c r="A34" i="1" s="1"/>
  <c r="M34" i="1"/>
  <c r="N33" i="1"/>
  <c r="A33" i="1" s="1"/>
  <c r="M33" i="1"/>
  <c r="N32" i="1"/>
  <c r="A32" i="1" s="1"/>
  <c r="M32" i="1"/>
  <c r="N31" i="1"/>
  <c r="A31" i="1" s="1"/>
  <c r="M31" i="1"/>
  <c r="N30" i="1"/>
  <c r="A30" i="1" s="1"/>
  <c r="M30" i="1"/>
  <c r="N29" i="1"/>
  <c r="A29" i="1" s="1"/>
  <c r="M29" i="1"/>
  <c r="N28" i="1"/>
  <c r="A28" i="1" s="1"/>
  <c r="M28" i="1"/>
  <c r="N27" i="1"/>
  <c r="A27" i="1" s="1"/>
  <c r="M27" i="1"/>
  <c r="N26" i="1"/>
  <c r="A26" i="1" s="1"/>
  <c r="M26" i="1"/>
  <c r="N25" i="1"/>
  <c r="A25" i="1" s="1"/>
  <c r="M25" i="1"/>
  <c r="N24" i="1"/>
  <c r="A24" i="1" s="1"/>
  <c r="M24" i="1"/>
  <c r="N23" i="1"/>
  <c r="A23" i="1" s="1"/>
  <c r="M23" i="1"/>
  <c r="N22" i="1"/>
  <c r="A22" i="1" s="1"/>
  <c r="M22" i="1"/>
  <c r="N21" i="1"/>
  <c r="A21" i="1" s="1"/>
  <c r="M21" i="1"/>
  <c r="N20" i="1"/>
  <c r="A20" i="1" s="1"/>
  <c r="M20" i="1"/>
  <c r="N19" i="1"/>
  <c r="A19" i="1" s="1"/>
  <c r="M19" i="1"/>
  <c r="N18" i="1"/>
  <c r="A18" i="1" s="1"/>
  <c r="M18" i="1"/>
  <c r="N17" i="1"/>
  <c r="A17" i="1" s="1"/>
  <c r="M17" i="1"/>
  <c r="N16" i="1"/>
  <c r="A16" i="1" s="1"/>
  <c r="M16" i="1"/>
  <c r="N15" i="1"/>
  <c r="A15" i="1" s="1"/>
  <c r="M15" i="1"/>
  <c r="N14" i="1"/>
  <c r="A14" i="1" s="1"/>
  <c r="M14" i="1"/>
  <c r="N13" i="1"/>
  <c r="A13" i="1" s="1"/>
  <c r="M13" i="1"/>
  <c r="N12" i="1"/>
  <c r="A12" i="1" s="1"/>
  <c r="M12" i="1"/>
  <c r="N11" i="1"/>
  <c r="A11" i="1" s="1"/>
  <c r="M11" i="1"/>
  <c r="N10" i="1"/>
  <c r="A10" i="1" s="1"/>
  <c r="M10" i="1"/>
  <c r="N9" i="1"/>
  <c r="A9" i="1" s="1"/>
  <c r="M9" i="1"/>
  <c r="N8" i="1"/>
  <c r="A8" i="1" s="1"/>
  <c r="M8" i="1"/>
  <c r="N7" i="1"/>
  <c r="A7" i="1" s="1"/>
  <c r="M7" i="1"/>
  <c r="N6" i="1"/>
  <c r="A6" i="1" s="1"/>
  <c r="M6" i="1"/>
  <c r="E5" i="2"/>
  <c r="E6" i="2"/>
  <c r="P53" i="1" l="1"/>
  <c r="P147" i="1"/>
  <c r="P313" i="1"/>
  <c r="P329" i="1"/>
  <c r="P345" i="1"/>
  <c r="P37" i="1"/>
  <c r="P49" i="1"/>
  <c r="P57" i="1"/>
  <c r="P399" i="1"/>
  <c r="P403" i="1"/>
  <c r="P407" i="1"/>
  <c r="P411" i="1"/>
  <c r="P415" i="1"/>
  <c r="P419" i="1"/>
  <c r="P423" i="1"/>
  <c r="P427" i="1"/>
  <c r="P431" i="1"/>
  <c r="P435" i="1"/>
  <c r="P441" i="1"/>
  <c r="P449" i="1"/>
  <c r="P457" i="1"/>
  <c r="P461" i="1"/>
  <c r="P473" i="1"/>
  <c r="P481" i="1"/>
  <c r="P489" i="1"/>
  <c r="P493" i="1"/>
  <c r="P45" i="1"/>
  <c r="P6" i="1"/>
  <c r="P10" i="1"/>
  <c r="P18" i="1"/>
  <c r="P24" i="1"/>
  <c r="P34" i="1"/>
  <c r="P38" i="1"/>
  <c r="P14" i="1"/>
  <c r="P22" i="1"/>
  <c r="P26" i="1"/>
  <c r="P30" i="1"/>
  <c r="P48" i="1"/>
  <c r="P52" i="1"/>
  <c r="P298" i="1"/>
  <c r="P300" i="1"/>
  <c r="P302" i="1"/>
  <c r="P304" i="1"/>
  <c r="P308" i="1"/>
  <c r="P316" i="1"/>
  <c r="P318" i="1"/>
  <c r="P320" i="1"/>
  <c r="P324" i="1"/>
  <c r="P332" i="1"/>
  <c r="P334" i="1"/>
  <c r="P336" i="1"/>
  <c r="P340" i="1"/>
  <c r="P348" i="1"/>
  <c r="P350" i="1"/>
  <c r="P352" i="1"/>
  <c r="P364" i="1"/>
  <c r="P506" i="1"/>
  <c r="P546" i="1"/>
  <c r="P594" i="1"/>
  <c r="P598" i="1"/>
  <c r="P55" i="1"/>
  <c r="P67" i="1"/>
  <c r="P56" i="1"/>
  <c r="P64" i="1"/>
  <c r="P72" i="1"/>
  <c r="P80" i="1"/>
  <c r="P88" i="1"/>
  <c r="P92" i="1"/>
  <c r="P104" i="1"/>
  <c r="P112" i="1"/>
  <c r="P116" i="1"/>
  <c r="P124" i="1"/>
  <c r="P132" i="1"/>
  <c r="P140" i="1"/>
  <c r="P60" i="1"/>
  <c r="P68" i="1"/>
  <c r="P76" i="1"/>
  <c r="P84" i="1"/>
  <c r="P96" i="1"/>
  <c r="P100" i="1"/>
  <c r="P108" i="1"/>
  <c r="P120" i="1"/>
  <c r="P128" i="1"/>
  <c r="P136" i="1"/>
  <c r="P144" i="1"/>
  <c r="P286" i="1"/>
  <c r="P361" i="1"/>
  <c r="P246" i="1"/>
  <c r="P59" i="1"/>
  <c r="P63" i="1"/>
  <c r="P71" i="1"/>
  <c r="P75" i="1"/>
  <c r="P79" i="1"/>
  <c r="P83" i="1"/>
  <c r="P87" i="1"/>
  <c r="P91" i="1"/>
  <c r="P95" i="1"/>
  <c r="P99" i="1"/>
  <c r="P103" i="1"/>
  <c r="P107" i="1"/>
  <c r="P111" i="1"/>
  <c r="P115" i="1"/>
  <c r="P119" i="1"/>
  <c r="P123" i="1"/>
  <c r="P127" i="1"/>
  <c r="P131" i="1"/>
  <c r="P135" i="1"/>
  <c r="P139" i="1"/>
  <c r="P143" i="1"/>
  <c r="P360" i="1"/>
  <c r="P32" i="1"/>
  <c r="P214" i="1"/>
  <c r="P12" i="1"/>
  <c r="P23" i="1"/>
  <c r="P150" i="1"/>
  <c r="P254" i="1"/>
  <c r="P43" i="1"/>
  <c r="P39" i="1"/>
  <c r="P8" i="1"/>
  <c r="P28" i="1"/>
  <c r="P40" i="1"/>
  <c r="P44" i="1"/>
  <c r="P222" i="1"/>
  <c r="P238" i="1"/>
  <c r="P166" i="1"/>
  <c r="P21" i="1"/>
  <c r="P7" i="1"/>
  <c r="P16" i="1"/>
  <c r="P158" i="1"/>
  <c r="P290" i="1"/>
  <c r="P380" i="1"/>
  <c r="P388" i="1"/>
  <c r="P270" i="1"/>
  <c r="P341" i="1"/>
  <c r="P354" i="1"/>
  <c r="P375" i="1"/>
  <c r="P391" i="1"/>
  <c r="P372" i="1"/>
  <c r="P230" i="1"/>
  <c r="P309" i="1"/>
  <c r="P371" i="1"/>
  <c r="P379" i="1"/>
  <c r="P387" i="1"/>
  <c r="P395" i="1"/>
  <c r="P206" i="1"/>
  <c r="P278" i="1"/>
  <c r="P294" i="1"/>
  <c r="P383" i="1"/>
  <c r="P325" i="1"/>
  <c r="P47" i="1"/>
  <c r="P51" i="1"/>
  <c r="P174" i="1"/>
  <c r="P182" i="1"/>
  <c r="P190" i="1"/>
  <c r="P198" i="1"/>
  <c r="P368" i="1"/>
  <c r="P376" i="1"/>
  <c r="P384" i="1"/>
  <c r="P392" i="1"/>
  <c r="P9" i="1"/>
  <c r="P29" i="1"/>
  <c r="P11" i="1"/>
  <c r="P31" i="1"/>
  <c r="P41" i="1"/>
  <c r="P13" i="1"/>
  <c r="P15" i="1"/>
  <c r="P25" i="1"/>
  <c r="P27" i="1"/>
  <c r="P20" i="1"/>
  <c r="P42" i="1"/>
  <c r="P50" i="1"/>
  <c r="P62" i="1"/>
  <c r="P94" i="1"/>
  <c r="P102" i="1"/>
  <c r="P106" i="1"/>
  <c r="P110" i="1"/>
  <c r="P114" i="1"/>
  <c r="P118" i="1"/>
  <c r="P122" i="1"/>
  <c r="P126" i="1"/>
  <c r="P130" i="1"/>
  <c r="P134" i="1"/>
  <c r="P138" i="1"/>
  <c r="P142" i="1"/>
  <c r="P146" i="1"/>
  <c r="P33" i="1"/>
  <c r="P70" i="1"/>
  <c r="P78" i="1"/>
  <c r="P90" i="1"/>
  <c r="P98" i="1"/>
  <c r="P17" i="1"/>
  <c r="P36" i="1"/>
  <c r="P58" i="1"/>
  <c r="P74" i="1"/>
  <c r="P46" i="1"/>
  <c r="P54" i="1"/>
  <c r="P61" i="1"/>
  <c r="P65" i="1"/>
  <c r="P69" i="1"/>
  <c r="P73" i="1"/>
  <c r="P77" i="1"/>
  <c r="P81" i="1"/>
  <c r="P85" i="1"/>
  <c r="P89" i="1"/>
  <c r="P93" i="1"/>
  <c r="P97" i="1"/>
  <c r="P101" i="1"/>
  <c r="P105" i="1"/>
  <c r="P109" i="1"/>
  <c r="P113" i="1"/>
  <c r="P117" i="1"/>
  <c r="P121" i="1"/>
  <c r="P125" i="1"/>
  <c r="P129" i="1"/>
  <c r="P133" i="1"/>
  <c r="P137" i="1"/>
  <c r="P141" i="1"/>
  <c r="P145" i="1"/>
  <c r="P66" i="1"/>
  <c r="P82" i="1"/>
  <c r="P86" i="1"/>
  <c r="P19" i="1"/>
  <c r="P35" i="1"/>
  <c r="P149" i="1"/>
  <c r="P181" i="1"/>
  <c r="P213" i="1"/>
  <c r="P215" i="1"/>
  <c r="P229" i="1"/>
  <c r="P231" i="1"/>
  <c r="P245" i="1"/>
  <c r="P247" i="1"/>
  <c r="P261" i="1"/>
  <c r="P263" i="1"/>
  <c r="P277" i="1"/>
  <c r="P279" i="1"/>
  <c r="P293" i="1"/>
  <c r="P295" i="1"/>
  <c r="P301" i="1"/>
  <c r="P317" i="1"/>
  <c r="P333" i="1"/>
  <c r="P349" i="1"/>
  <c r="P151" i="1"/>
  <c r="P165" i="1"/>
  <c r="P167" i="1"/>
  <c r="P183" i="1"/>
  <c r="P197" i="1"/>
  <c r="P199" i="1"/>
  <c r="P154" i="1"/>
  <c r="P161" i="1"/>
  <c r="P163" i="1"/>
  <c r="P170" i="1"/>
  <c r="P177" i="1"/>
  <c r="P179" i="1"/>
  <c r="P186" i="1"/>
  <c r="P193" i="1"/>
  <c r="P195" i="1"/>
  <c r="P202" i="1"/>
  <c r="P209" i="1"/>
  <c r="P211" i="1"/>
  <c r="P218" i="1"/>
  <c r="P225" i="1"/>
  <c r="P227" i="1"/>
  <c r="P234" i="1"/>
  <c r="P241" i="1"/>
  <c r="P243" i="1"/>
  <c r="P250" i="1"/>
  <c r="P257" i="1"/>
  <c r="P259" i="1"/>
  <c r="P266" i="1"/>
  <c r="P273" i="1"/>
  <c r="P275" i="1"/>
  <c r="P282" i="1"/>
  <c r="P289" i="1"/>
  <c r="P291" i="1"/>
  <c r="P157" i="1"/>
  <c r="P159" i="1"/>
  <c r="P173" i="1"/>
  <c r="P175" i="1"/>
  <c r="P189" i="1"/>
  <c r="P191" i="1"/>
  <c r="P205" i="1"/>
  <c r="P207" i="1"/>
  <c r="P221" i="1"/>
  <c r="P223" i="1"/>
  <c r="P237" i="1"/>
  <c r="P239" i="1"/>
  <c r="P253" i="1"/>
  <c r="P255" i="1"/>
  <c r="P262" i="1"/>
  <c r="P269" i="1"/>
  <c r="P271" i="1"/>
  <c r="P285" i="1"/>
  <c r="P287" i="1"/>
  <c r="P148" i="1"/>
  <c r="P153" i="1"/>
  <c r="P155" i="1"/>
  <c r="P162" i="1"/>
  <c r="P169" i="1"/>
  <c r="P171" i="1"/>
  <c r="P178" i="1"/>
  <c r="P185" i="1"/>
  <c r="P187" i="1"/>
  <c r="P194" i="1"/>
  <c r="P201" i="1"/>
  <c r="P203" i="1"/>
  <c r="P210" i="1"/>
  <c r="P217" i="1"/>
  <c r="P219" i="1"/>
  <c r="P226" i="1"/>
  <c r="P233" i="1"/>
  <c r="P235" i="1"/>
  <c r="P242" i="1"/>
  <c r="P249" i="1"/>
  <c r="P251" i="1"/>
  <c r="P258" i="1"/>
  <c r="P265" i="1"/>
  <c r="P267" i="1"/>
  <c r="P274" i="1"/>
  <c r="P281" i="1"/>
  <c r="P283" i="1"/>
  <c r="P363" i="1"/>
  <c r="P152" i="1"/>
  <c r="P160" i="1"/>
  <c r="P168" i="1"/>
  <c r="P176" i="1"/>
  <c r="P184" i="1"/>
  <c r="P192" i="1"/>
  <c r="P200" i="1"/>
  <c r="P208" i="1"/>
  <c r="P216" i="1"/>
  <c r="P224" i="1"/>
  <c r="P232" i="1"/>
  <c r="P240" i="1"/>
  <c r="P248" i="1"/>
  <c r="P256" i="1"/>
  <c r="P264" i="1"/>
  <c r="P272" i="1"/>
  <c r="P280" i="1"/>
  <c r="P288" i="1"/>
  <c r="P296" i="1"/>
  <c r="P297" i="1"/>
  <c r="P299" i="1"/>
  <c r="P305" i="1"/>
  <c r="P307" i="1"/>
  <c r="P312" i="1"/>
  <c r="P315" i="1"/>
  <c r="P321" i="1"/>
  <c r="P323" i="1"/>
  <c r="P328" i="1"/>
  <c r="P331" i="1"/>
  <c r="P337" i="1"/>
  <c r="P339" i="1"/>
  <c r="P344" i="1"/>
  <c r="P347" i="1"/>
  <c r="P353" i="1"/>
  <c r="P359" i="1"/>
  <c r="P357" i="1"/>
  <c r="P365" i="1"/>
  <c r="P366" i="1"/>
  <c r="P369" i="1"/>
  <c r="P472" i="1"/>
  <c r="P156" i="1"/>
  <c r="P164" i="1"/>
  <c r="P172" i="1"/>
  <c r="P180" i="1"/>
  <c r="P188" i="1"/>
  <c r="P196" i="1"/>
  <c r="P204" i="1"/>
  <c r="P212" i="1"/>
  <c r="P220" i="1"/>
  <c r="P228" i="1"/>
  <c r="P236" i="1"/>
  <c r="P244" i="1"/>
  <c r="P252" i="1"/>
  <c r="P260" i="1"/>
  <c r="P268" i="1"/>
  <c r="P276" i="1"/>
  <c r="P284" i="1"/>
  <c r="P292" i="1"/>
  <c r="P303" i="1"/>
  <c r="P306" i="1"/>
  <c r="P311" i="1"/>
  <c r="P319" i="1"/>
  <c r="P322" i="1"/>
  <c r="P327" i="1"/>
  <c r="P335" i="1"/>
  <c r="P338" i="1"/>
  <c r="P343" i="1"/>
  <c r="P351" i="1"/>
  <c r="P355" i="1"/>
  <c r="P450" i="1"/>
  <c r="P452" i="1"/>
  <c r="P454" i="1"/>
  <c r="P367" i="1"/>
  <c r="P370" i="1"/>
  <c r="P374" i="1"/>
  <c r="P378" i="1"/>
  <c r="P382" i="1"/>
  <c r="P386" i="1"/>
  <c r="P390" i="1"/>
  <c r="P394" i="1"/>
  <c r="P398" i="1"/>
  <c r="P402" i="1"/>
  <c r="P406" i="1"/>
  <c r="P410" i="1"/>
  <c r="P414" i="1"/>
  <c r="P418" i="1"/>
  <c r="P422" i="1"/>
  <c r="P426" i="1"/>
  <c r="P430" i="1"/>
  <c r="P434" i="1"/>
  <c r="P438" i="1"/>
  <c r="P440" i="1"/>
  <c r="P482" i="1"/>
  <c r="P484" i="1"/>
  <c r="P510" i="1"/>
  <c r="P529" i="1"/>
  <c r="P547" i="1"/>
  <c r="P554" i="1"/>
  <c r="P599" i="1"/>
  <c r="P597" i="1"/>
  <c r="P589" i="1"/>
  <c r="P581" i="1"/>
  <c r="P573" i="1"/>
  <c r="P570" i="1"/>
  <c r="P534" i="1"/>
  <c r="P518" i="1"/>
  <c r="P502" i="1"/>
  <c r="P396" i="1"/>
  <c r="P400" i="1"/>
  <c r="P404" i="1"/>
  <c r="P408" i="1"/>
  <c r="P412" i="1"/>
  <c r="P416" i="1"/>
  <c r="P420" i="1"/>
  <c r="P424" i="1"/>
  <c r="P428" i="1"/>
  <c r="P432" i="1"/>
  <c r="P436" i="1"/>
  <c r="P439" i="1"/>
  <c r="P444" i="1"/>
  <c r="P447" i="1"/>
  <c r="P453" i="1"/>
  <c r="P458" i="1"/>
  <c r="P462" i="1"/>
  <c r="P464" i="1"/>
  <c r="P470" i="1"/>
  <c r="P476" i="1"/>
  <c r="P479" i="1"/>
  <c r="P485" i="1"/>
  <c r="P490" i="1"/>
  <c r="P499" i="1"/>
  <c r="P522" i="1"/>
  <c r="P526" i="1"/>
  <c r="P545" i="1"/>
  <c r="P578" i="1"/>
  <c r="P586" i="1"/>
  <c r="P310" i="1"/>
  <c r="P326" i="1"/>
  <c r="P342" i="1"/>
  <c r="P356" i="1"/>
  <c r="P362" i="1"/>
  <c r="P373" i="1"/>
  <c r="P377" i="1"/>
  <c r="P381" i="1"/>
  <c r="P385" i="1"/>
  <c r="P389" i="1"/>
  <c r="P393" i="1"/>
  <c r="P397" i="1"/>
  <c r="P401" i="1"/>
  <c r="P405" i="1"/>
  <c r="P409" i="1"/>
  <c r="P413" i="1"/>
  <c r="P417" i="1"/>
  <c r="P421" i="1"/>
  <c r="P425" i="1"/>
  <c r="P429" i="1"/>
  <c r="P433" i="1"/>
  <c r="P437" i="1"/>
  <c r="P445" i="1"/>
  <c r="P456" i="1"/>
  <c r="P465" i="1"/>
  <c r="P466" i="1"/>
  <c r="P468" i="1"/>
  <c r="P477" i="1"/>
  <c r="P488" i="1"/>
  <c r="P514" i="1"/>
  <c r="P515" i="1"/>
  <c r="P538" i="1"/>
  <c r="P542" i="1"/>
  <c r="P577" i="1"/>
  <c r="P314" i="1"/>
  <c r="P330" i="1"/>
  <c r="P346" i="1"/>
  <c r="P358" i="1"/>
  <c r="P442" i="1"/>
  <c r="P446" i="1"/>
  <c r="P448" i="1"/>
  <c r="P460" i="1"/>
  <c r="P463" i="1"/>
  <c r="P469" i="1"/>
  <c r="P474" i="1"/>
  <c r="P478" i="1"/>
  <c r="P480" i="1"/>
  <c r="P486" i="1"/>
  <c r="P492" i="1"/>
  <c r="P498" i="1"/>
  <c r="P513" i="1"/>
  <c r="P530" i="1"/>
  <c r="P531" i="1"/>
  <c r="P557" i="1"/>
  <c r="P562" i="1"/>
  <c r="P566" i="1"/>
  <c r="P567" i="1"/>
  <c r="P451" i="1"/>
  <c r="P467" i="1"/>
  <c r="P483" i="1"/>
  <c r="P509" i="1"/>
  <c r="P511" i="1"/>
  <c r="P525" i="1"/>
  <c r="P527" i="1"/>
  <c r="P541" i="1"/>
  <c r="P543" i="1"/>
  <c r="P553" i="1"/>
  <c r="P565" i="1"/>
  <c r="P574" i="1"/>
  <c r="P575" i="1"/>
  <c r="P585" i="1"/>
  <c r="P455" i="1"/>
  <c r="P471" i="1"/>
  <c r="P487" i="1"/>
  <c r="P495" i="1"/>
  <c r="P496" i="1"/>
  <c r="P505" i="1"/>
  <c r="P507" i="1"/>
  <c r="P521" i="1"/>
  <c r="P523" i="1"/>
  <c r="P537" i="1"/>
  <c r="P539" i="1"/>
  <c r="P550" i="1"/>
  <c r="P551" i="1"/>
  <c r="P561" i="1"/>
  <c r="P582" i="1"/>
  <c r="P583" i="1"/>
  <c r="P593" i="1"/>
  <c r="P443" i="1"/>
  <c r="P459" i="1"/>
  <c r="P475" i="1"/>
  <c r="P491" i="1"/>
  <c r="P494" i="1"/>
  <c r="P497" i="1"/>
  <c r="P501" i="1"/>
  <c r="P503" i="1"/>
  <c r="P517" i="1"/>
  <c r="P519" i="1"/>
  <c r="P533" i="1"/>
  <c r="P535" i="1"/>
  <c r="P549" i="1"/>
  <c r="P558" i="1"/>
  <c r="P559" i="1"/>
  <c r="P569" i="1"/>
  <c r="P590" i="1"/>
  <c r="P591" i="1"/>
  <c r="P601" i="1"/>
  <c r="P500" i="1"/>
  <c r="P508" i="1"/>
  <c r="P516" i="1"/>
  <c r="P524" i="1"/>
  <c r="P532" i="1"/>
  <c r="P540" i="1"/>
  <c r="P548" i="1"/>
  <c r="P556" i="1"/>
  <c r="P564" i="1"/>
  <c r="P572" i="1"/>
  <c r="P580" i="1"/>
  <c r="P588" i="1"/>
  <c r="P596" i="1"/>
  <c r="P555" i="1"/>
  <c r="P563" i="1"/>
  <c r="P571" i="1"/>
  <c r="P579" i="1"/>
  <c r="P587" i="1"/>
  <c r="P595" i="1"/>
  <c r="P504" i="1"/>
  <c r="P512" i="1"/>
  <c r="P520" i="1"/>
  <c r="P528" i="1"/>
  <c r="P536" i="1"/>
  <c r="P544" i="1"/>
  <c r="P552" i="1"/>
  <c r="P560" i="1"/>
  <c r="P568" i="1"/>
  <c r="P576" i="1"/>
  <c r="P584" i="1"/>
  <c r="P592" i="1"/>
  <c r="P600" i="1"/>
</calcChain>
</file>

<file path=xl/sharedStrings.xml><?xml version="1.0" encoding="utf-8"?>
<sst xmlns="http://schemas.openxmlformats.org/spreadsheetml/2006/main" count="7223" uniqueCount="1026">
  <si>
    <t>ILAM00</t>
  </si>
  <si>
    <t>Clave</t>
  </si>
  <si>
    <t>Dirección de Administración</t>
  </si>
  <si>
    <t>Subdirección de Recursos Materiales</t>
  </si>
  <si>
    <t>Localidad</t>
  </si>
  <si>
    <t>Bafle</t>
  </si>
  <si>
    <t>Botiquín</t>
  </si>
  <si>
    <t>Departamento de Control Patrimonial</t>
  </si>
  <si>
    <t>Cámara Fotográfica</t>
  </si>
  <si>
    <t>Engargoladora</t>
  </si>
  <si>
    <t>Equipo de Perifoneo</t>
  </si>
  <si>
    <t>ENVIO: FECHA</t>
  </si>
  <si>
    <t>Grabadora digital</t>
  </si>
  <si>
    <t>Lámpara de emergencia CHICA</t>
  </si>
  <si>
    <t>Lámpara de emergencia GRANDE</t>
  </si>
  <si>
    <t>Receptor</t>
  </si>
  <si>
    <t>Tajalápiz</t>
  </si>
  <si>
    <t>CONCAT</t>
  </si>
  <si>
    <t>Teléfono</t>
  </si>
  <si>
    <t>TOTAL</t>
  </si>
  <si>
    <t>NP</t>
  </si>
  <si>
    <t>CLAVE</t>
  </si>
  <si>
    <t>DISTRITO</t>
  </si>
  <si>
    <t>LOCALIDAD</t>
  </si>
  <si>
    <t>ARTICULO</t>
  </si>
  <si>
    <t xml:space="preserve">MARCA </t>
  </si>
  <si>
    <t>INVENTARIO 1</t>
  </si>
  <si>
    <t>Chalco de Diaz Covarrubias</t>
  </si>
  <si>
    <t>INVENTARIO M</t>
  </si>
  <si>
    <t>VALIDADOR</t>
  </si>
  <si>
    <t>OBSERVACIONES</t>
  </si>
  <si>
    <t>DIA</t>
  </si>
  <si>
    <t>RUTA</t>
  </si>
  <si>
    <t>H. EMBARQUE</t>
  </si>
  <si>
    <t>H. LLEGADA</t>
  </si>
  <si>
    <t>Toluca de   Lerdo</t>
  </si>
  <si>
    <t>NA</t>
  </si>
  <si>
    <t>BAFLE</t>
  </si>
  <si>
    <t>Chimaihuacan</t>
  </si>
  <si>
    <t>STEREN</t>
  </si>
  <si>
    <t>IBAF00100183</t>
  </si>
  <si>
    <t>Incluye: Cable de Alimentación,</t>
  </si>
  <si>
    <t>Lerma de Villada</t>
  </si>
  <si>
    <t>Chimalhuacan</t>
  </si>
  <si>
    <t>Ecatepec de Morelos</t>
  </si>
  <si>
    <t>Tenancingo de Degollado</t>
  </si>
  <si>
    <t>Tejupilco de Hidalgo</t>
  </si>
  <si>
    <t>Valle de Bravo</t>
  </si>
  <si>
    <t>Tultitlan de Mariano Escobedo</t>
  </si>
  <si>
    <t>Teoloyucan</t>
  </si>
  <si>
    <t>Atlacomulco de Fabela</t>
  </si>
  <si>
    <t>BOTIQUIN</t>
  </si>
  <si>
    <t>SN</t>
  </si>
  <si>
    <t>ibot00100106</t>
  </si>
  <si>
    <t>IBOT00100106</t>
  </si>
  <si>
    <t>Jilotepec de Andres Molina Enriquez</t>
  </si>
  <si>
    <t>Ixtlahuaca de Rayon</t>
  </si>
  <si>
    <t>Ciudad Adolfo Lopez Mateos</t>
  </si>
  <si>
    <t>Huixquilucan de degollado</t>
  </si>
  <si>
    <t>Tlanepantla de Baz</t>
  </si>
  <si>
    <t>Santamaria Tultepec</t>
  </si>
  <si>
    <t>CAMARA DIGITAL</t>
  </si>
  <si>
    <t>SONY</t>
  </si>
  <si>
    <t>ICAM00101794</t>
  </si>
  <si>
    <t>Incluye: Memoria de 4GB, Cargador y Pila.</t>
  </si>
  <si>
    <t>Zumpango de Ocampo</t>
  </si>
  <si>
    <t>Cuenta de ARTICULO</t>
  </si>
  <si>
    <t>Ojo de agua Tecamac</t>
  </si>
  <si>
    <t>Cuenta de TOTAL</t>
  </si>
  <si>
    <t>VALIDACION</t>
  </si>
  <si>
    <t>Texcoco de Mora</t>
  </si>
  <si>
    <t>CD Nezahualcoyotl</t>
  </si>
  <si>
    <t>ENGARGOLADORA</t>
  </si>
  <si>
    <t>COMBO</t>
  </si>
  <si>
    <t>IENC00100144</t>
  </si>
  <si>
    <t>Cuautitlan Izcalli</t>
  </si>
  <si>
    <t>Toluca de Lerdo</t>
  </si>
  <si>
    <t>Valle de Chalco Solidaridad</t>
  </si>
  <si>
    <t>Amecameca de juarez</t>
  </si>
  <si>
    <t>Teaguistenco de Galeana</t>
  </si>
  <si>
    <t>Naucalpan de Juarez</t>
  </si>
  <si>
    <t xml:space="preserve">Los Reyes Acaquilpan </t>
  </si>
  <si>
    <t>Ojo de Agua (Tecamac)</t>
  </si>
  <si>
    <t>Touca de Lerdo</t>
  </si>
  <si>
    <t>Metepec</t>
  </si>
  <si>
    <t>San Miguel  Zinacantepec</t>
  </si>
  <si>
    <t>Coacalco de Berriozabal</t>
  </si>
  <si>
    <t>Tepexpan (Acolman)</t>
  </si>
  <si>
    <t>EQUIPO DE PERIFONEO</t>
  </si>
  <si>
    <t>Ixtapaluca</t>
  </si>
  <si>
    <t>RADSON</t>
  </si>
  <si>
    <t>CD. Nezahualcoyotl</t>
  </si>
  <si>
    <t>iamp00100132</t>
  </si>
  <si>
    <t>IAMP00100132</t>
  </si>
  <si>
    <t>Nicolas Romero</t>
  </si>
  <si>
    <t>Barrio la Cabecera 3a Seccion (Almoloya de Juarez)</t>
  </si>
  <si>
    <t>GRABADORA</t>
  </si>
  <si>
    <t>IGRA00100332</t>
  </si>
  <si>
    <t>LAMPARA DE EMERGENCIA CHICA</t>
  </si>
  <si>
    <t>SURTEK</t>
  </si>
  <si>
    <t>ILAM00101145</t>
  </si>
  <si>
    <t>Incluye: Cable de Alimentacion (Lampara chica)</t>
  </si>
  <si>
    <t>ILAM00101151</t>
  </si>
  <si>
    <t>ILAM00101157</t>
  </si>
  <si>
    <t>Centro de Costo</t>
  </si>
  <si>
    <t>Distrito Electoral</t>
  </si>
  <si>
    <t>Hora de embarque</t>
  </si>
  <si>
    <t>Hora de llegada</t>
  </si>
  <si>
    <t>Volumen</t>
  </si>
  <si>
    <t>Unidades</t>
  </si>
  <si>
    <t>Día</t>
  </si>
  <si>
    <t>Ruta</t>
  </si>
  <si>
    <t>Amecameca de Juárez</t>
  </si>
  <si>
    <t>08:00 hrs</t>
  </si>
  <si>
    <t>LAMPARA DE EMERGENCIA GRANDE</t>
  </si>
  <si>
    <t>Incluye: Cable de Alimentacion (Lampara grande)</t>
  </si>
  <si>
    <t>13:00 hrs</t>
  </si>
  <si>
    <t>Día 1</t>
  </si>
  <si>
    <t>09.00 hrs</t>
  </si>
  <si>
    <t>16:30 hrs</t>
  </si>
  <si>
    <t>Chimalhuacán</t>
  </si>
  <si>
    <t>10:30 hrs</t>
  </si>
  <si>
    <t>14:00 hrs</t>
  </si>
  <si>
    <t>11:30 hrs</t>
  </si>
  <si>
    <t>15:00 hrs</t>
  </si>
  <si>
    <t>16:00 hrs</t>
  </si>
  <si>
    <t>Cd. Nezahualcóyotl</t>
  </si>
  <si>
    <t>12:30 hrs</t>
  </si>
  <si>
    <t>18:00 hrs</t>
  </si>
  <si>
    <t>Naucalpan de Juárez</t>
  </si>
  <si>
    <t>13.30 hrs</t>
  </si>
  <si>
    <t>17:00 hrs</t>
  </si>
  <si>
    <t>14:30 hrs</t>
  </si>
  <si>
    <t>18:0 hrs</t>
  </si>
  <si>
    <t>RECEPTOR</t>
  </si>
  <si>
    <t>SOUNDTRACK</t>
  </si>
  <si>
    <t>isis01200111</t>
  </si>
  <si>
    <t>ISIS01200111</t>
  </si>
  <si>
    <t>Incluye: 2 Microfonos, Cable extencion Plug. Macho de 6.6mm, 2 Antenas y Eliminador y 2 soportes de microfonos</t>
  </si>
  <si>
    <t>12:00 hrs</t>
  </si>
  <si>
    <t>Día 2</t>
  </si>
  <si>
    <t>09:30 hrs</t>
  </si>
  <si>
    <t>13:30 hrs</t>
  </si>
  <si>
    <t>Cuautitlán Izcalli</t>
  </si>
  <si>
    <t>19:00 hrs</t>
  </si>
  <si>
    <t>TAJALAPIZ</t>
  </si>
  <si>
    <t>itaj00100201</t>
  </si>
  <si>
    <t>ITAJ00100201</t>
  </si>
  <si>
    <t>15:30 hrs</t>
  </si>
  <si>
    <t>18:30 hrs</t>
  </si>
  <si>
    <t>Ojo de Agua (Tecámac)</t>
  </si>
  <si>
    <t>Día 3</t>
  </si>
  <si>
    <t xml:space="preserve">Ojo de agua (Tecámac) </t>
  </si>
  <si>
    <t>09:00 hrs</t>
  </si>
  <si>
    <t>10:00 hrs</t>
  </si>
  <si>
    <t>11:00 hrs</t>
  </si>
  <si>
    <t>Ixtlahuaca de Rayón</t>
  </si>
  <si>
    <t xml:space="preserve">Barrio la Cabecera 3a Sección (Almoloya de Juárez) </t>
  </si>
  <si>
    <t>San Miguel Zinacantepec</t>
  </si>
  <si>
    <t>TELEFONOS</t>
  </si>
  <si>
    <t>TELMEX</t>
  </si>
  <si>
    <t>17:30 hrs</t>
  </si>
  <si>
    <t>itel00100425</t>
  </si>
  <si>
    <t>ITEL00100425</t>
  </si>
  <si>
    <t>Día 4</t>
  </si>
  <si>
    <t>Tlalnepantla de Baz</t>
  </si>
  <si>
    <t>Jilotepec de Andrés Molina Enríquez</t>
  </si>
  <si>
    <t>Huixquilucan de Degollado</t>
  </si>
  <si>
    <t>19:30 hrs</t>
  </si>
  <si>
    <t xml:space="preserve">Chalco de Díaz Covarrubias </t>
  </si>
  <si>
    <t>Dia 5</t>
  </si>
  <si>
    <t>Incluye: Cable de Alimentación, CON CABLE PLUS 3 VIAS</t>
  </si>
  <si>
    <t>Nicolás Romero</t>
  </si>
  <si>
    <t>Ciudad Adolfo López Mateos</t>
  </si>
  <si>
    <t>Santa María Tultepec</t>
  </si>
  <si>
    <t>Tianguistenco de Galeana</t>
  </si>
  <si>
    <t>21:30 hrs</t>
  </si>
  <si>
    <t>CD. Nezahualcóyotl</t>
  </si>
  <si>
    <t>Día 6</t>
  </si>
  <si>
    <t>IBOT00100182</t>
  </si>
  <si>
    <t>Coacalco de Berriozábal</t>
  </si>
  <si>
    <t>Tultitlán de Mariano Escobedo</t>
  </si>
  <si>
    <t>icam00101757</t>
  </si>
  <si>
    <t>ICAM00101757</t>
  </si>
  <si>
    <t>ieng00100126</t>
  </si>
  <si>
    <t>IENG00100126</t>
  </si>
  <si>
    <t>IAMP00100061</t>
  </si>
  <si>
    <t>igra00100377</t>
  </si>
  <si>
    <t>IGRA00100377</t>
  </si>
  <si>
    <t>ILAM00101251</t>
  </si>
  <si>
    <t>ILAM00101321</t>
  </si>
  <si>
    <t>isis01200114</t>
  </si>
  <si>
    <t>ISIS01200114</t>
  </si>
  <si>
    <t>ITAJ00100169</t>
  </si>
  <si>
    <t>ITEL00101131</t>
  </si>
  <si>
    <t>IBAF00100196</t>
  </si>
  <si>
    <t>IBOT00100067</t>
  </si>
  <si>
    <t>ICAM00101745</t>
  </si>
  <si>
    <t>IENG00100216</t>
  </si>
  <si>
    <t>IAMP00100045</t>
  </si>
  <si>
    <t>IGRA00100313</t>
  </si>
  <si>
    <t>ILAM00101323</t>
  </si>
  <si>
    <t>ILAM00101167</t>
  </si>
  <si>
    <t>ILAM00100811</t>
  </si>
  <si>
    <t>ILAM00101224</t>
  </si>
  <si>
    <t>ILAM00101234</t>
  </si>
  <si>
    <t>ILAM00100864</t>
  </si>
  <si>
    <t>ILAM00100842</t>
  </si>
  <si>
    <t>isis01200105</t>
  </si>
  <si>
    <t>ISIS01200105</t>
  </si>
  <si>
    <t>ITAJ00100283</t>
  </si>
  <si>
    <t>ITEL00100969</t>
  </si>
  <si>
    <t>IBAF00100086</t>
  </si>
  <si>
    <t>IBOT00100095</t>
  </si>
  <si>
    <t>icam00101779</t>
  </si>
  <si>
    <t>ICAM00101779</t>
  </si>
  <si>
    <t>IENG00100177</t>
  </si>
  <si>
    <t>IAMP00100123</t>
  </si>
  <si>
    <t>igra00100347</t>
  </si>
  <si>
    <t>IGRA00100347</t>
  </si>
  <si>
    <t>ILAM00100838</t>
  </si>
  <si>
    <t>ILAM00100909</t>
  </si>
  <si>
    <t>ISIS01200120</t>
  </si>
  <si>
    <t>Incluye: 2 Microfonos, Cable extencion Plug. Macho de 6.6mm, 2 Antenas y Eliminador</t>
  </si>
  <si>
    <t>ITAJ00100280</t>
  </si>
  <si>
    <t>ITEL00100724</t>
  </si>
  <si>
    <t>IBAF00100087</t>
  </si>
  <si>
    <t>IBOT00100181</t>
  </si>
  <si>
    <t>icam00101791</t>
  </si>
  <si>
    <t>ICAM00101791</t>
  </si>
  <si>
    <t>IENG00100083</t>
  </si>
  <si>
    <t>IAMP00100095</t>
  </si>
  <si>
    <t>igra00100281</t>
  </si>
  <si>
    <t>IGRA00100281</t>
  </si>
  <si>
    <t>ILAM00101164</t>
  </si>
  <si>
    <t>ILAM00101220</t>
  </si>
  <si>
    <t>ILAM00100815</t>
  </si>
  <si>
    <t>ISIS01200136</t>
  </si>
  <si>
    <t>ITAJ00100249</t>
  </si>
  <si>
    <t>ITEL00100793</t>
  </si>
  <si>
    <t>IBAF00100062</t>
  </si>
  <si>
    <t>IBOT00100076</t>
  </si>
  <si>
    <t>icam00101732</t>
  </si>
  <si>
    <t>ICAM00101732</t>
  </si>
  <si>
    <t>ieng00100021</t>
  </si>
  <si>
    <t>IENG00100021</t>
  </si>
  <si>
    <t>iamp00100019</t>
  </si>
  <si>
    <t>IAMP00100019</t>
  </si>
  <si>
    <t>igra00100297</t>
  </si>
  <si>
    <t>IGRA00100297</t>
  </si>
  <si>
    <t>ILAM00101222</t>
  </si>
  <si>
    <t>ILAM00101140</t>
  </si>
  <si>
    <t>ILAM00101221</t>
  </si>
  <si>
    <t>ISIS01200152</t>
  </si>
  <si>
    <t>ITAJ00100087</t>
  </si>
  <si>
    <t>ITEL00100808</t>
  </si>
  <si>
    <t>IBAF00100155</t>
  </si>
  <si>
    <t>IBOT00100010</t>
  </si>
  <si>
    <t>icam00101776</t>
  </si>
  <si>
    <t>ICAM00101776</t>
  </si>
  <si>
    <t>IENG00100134</t>
  </si>
  <si>
    <t>IAMP00100054</t>
  </si>
  <si>
    <t>igra00100294</t>
  </si>
  <si>
    <t>IGRA00100294</t>
  </si>
  <si>
    <t>ILAM00101355</t>
  </si>
  <si>
    <t>ILAM00101346</t>
  </si>
  <si>
    <t>ILAM00101314</t>
  </si>
  <si>
    <t>ILAM00101336</t>
  </si>
  <si>
    <t>ILAM00101335</t>
  </si>
  <si>
    <t>ISIS01200085</t>
  </si>
  <si>
    <t>ITAJ00100267</t>
  </si>
  <si>
    <t>ITEL00100840</t>
  </si>
  <si>
    <t>IBAF00100187</t>
  </si>
  <si>
    <t>IBOT00100057</t>
  </si>
  <si>
    <t>icam00101765</t>
  </si>
  <si>
    <t>ICAM00101765</t>
  </si>
  <si>
    <t>IENG00100202</t>
  </si>
  <si>
    <t>IAMP00100027</t>
  </si>
  <si>
    <t>igra00100314</t>
  </si>
  <si>
    <t>IGRA00100314</t>
  </si>
  <si>
    <t>ILAM00101301</t>
  </si>
  <si>
    <t>ILAM00101352</t>
  </si>
  <si>
    <t>ILAM00101357</t>
  </si>
  <si>
    <t>ILAM00101216</t>
  </si>
  <si>
    <t>ILAM00101305</t>
  </si>
  <si>
    <t>ILAM00101330</t>
  </si>
  <si>
    <t>ISIS01200109</t>
  </si>
  <si>
    <t>ITAJ00100094</t>
  </si>
  <si>
    <t>ITEL00100422</t>
  </si>
  <si>
    <t>IBAF00100074</t>
  </si>
  <si>
    <t>IBOT00100074</t>
  </si>
  <si>
    <t>icam00101790</t>
  </si>
  <si>
    <t>ICAM00101790</t>
  </si>
  <si>
    <t>IENG00100183</t>
  </si>
  <si>
    <t>IAMP00100085</t>
  </si>
  <si>
    <t>igra00100335</t>
  </si>
  <si>
    <t>IGRA00100335</t>
  </si>
  <si>
    <t>ILAM00101262</t>
  </si>
  <si>
    <t>ILAM00101263</t>
  </si>
  <si>
    <t>ILAM00101254</t>
  </si>
  <si>
    <t>ILAM00101276</t>
  </si>
  <si>
    <t>isis01200078</t>
  </si>
  <si>
    <t>ISIS01200078</t>
  </si>
  <si>
    <t>ITAJ00100224</t>
  </si>
  <si>
    <t>ITEL00100510</t>
  </si>
  <si>
    <t>Incluye: Cable de Alimentación, CABLE PLUS 3 VIAS</t>
  </si>
  <si>
    <t>ibot00100185</t>
  </si>
  <si>
    <t>IBOT00100185</t>
  </si>
  <si>
    <t>ICAM00101750</t>
  </si>
  <si>
    <t>IENG00100167</t>
  </si>
  <si>
    <t>IAMP00100041</t>
  </si>
  <si>
    <t>igra00100310</t>
  </si>
  <si>
    <t>IGRA00100310</t>
  </si>
  <si>
    <t>ILAM00100784</t>
  </si>
  <si>
    <t>ILAM00101230</t>
  </si>
  <si>
    <t>ILAM00100892</t>
  </si>
  <si>
    <t>isis01200067</t>
  </si>
  <si>
    <t>ISIS01200067</t>
  </si>
  <si>
    <t>ITAJ00100137</t>
  </si>
  <si>
    <t>GENERICO</t>
  </si>
  <si>
    <t>ITEL00100970</t>
  </si>
  <si>
    <t>IBAF00100042</t>
  </si>
  <si>
    <t>IBOT00100080</t>
  </si>
  <si>
    <t>icam00101760</t>
  </si>
  <si>
    <t>ICAM00101760</t>
  </si>
  <si>
    <t>IENG00100129</t>
  </si>
  <si>
    <t>IAMP00100089</t>
  </si>
  <si>
    <t>igra00100416</t>
  </si>
  <si>
    <t>IGRA00100416</t>
  </si>
  <si>
    <t>ILAM00101356</t>
  </si>
  <si>
    <t>ILAM00101135</t>
  </si>
  <si>
    <t>ILAM00101274</t>
  </si>
  <si>
    <t>isis01200169</t>
  </si>
  <si>
    <t>ISIS01200169</t>
  </si>
  <si>
    <t>itaj00100146</t>
  </si>
  <si>
    <t>ITAJ00100146</t>
  </si>
  <si>
    <t>itel00100428</t>
  </si>
  <si>
    <t>ITEL00100428</t>
  </si>
  <si>
    <t>ibaf00100120</t>
  </si>
  <si>
    <t>IBAF00100120</t>
  </si>
  <si>
    <t>ibot00100016</t>
  </si>
  <si>
    <t>IBOT00100016</t>
  </si>
  <si>
    <t>ICAM00101731</t>
  </si>
  <si>
    <t>ieng00100176</t>
  </si>
  <si>
    <t>IENG00100176</t>
  </si>
  <si>
    <t>iamp00100064</t>
  </si>
  <si>
    <t>IAMP00100064</t>
  </si>
  <si>
    <t>IGRA00100312</t>
  </si>
  <si>
    <t>ilam00101250</t>
  </si>
  <si>
    <t>ILAM00101250</t>
  </si>
  <si>
    <t>ilam00101293</t>
  </si>
  <si>
    <t>ILAM00101293</t>
  </si>
  <si>
    <t>MAVRIK</t>
  </si>
  <si>
    <t>ilam00100955</t>
  </si>
  <si>
    <t>ILAM00100955</t>
  </si>
  <si>
    <t>isis01200166</t>
  </si>
  <si>
    <t>ISIS01200166</t>
  </si>
  <si>
    <t>itaj00100073</t>
  </si>
  <si>
    <t>ITAJ00100073</t>
  </si>
  <si>
    <t>itel00100773</t>
  </si>
  <si>
    <t>ITEL00100773</t>
  </si>
  <si>
    <t>ibaf00100126</t>
  </si>
  <si>
    <t>IBAF00100126</t>
  </si>
  <si>
    <t>ibot00100166</t>
  </si>
  <si>
    <t>IBOT00100166</t>
  </si>
  <si>
    <t>ICAM00101771</t>
  </si>
  <si>
    <t>ieng00100050</t>
  </si>
  <si>
    <t>IENG00100050</t>
  </si>
  <si>
    <t>iamp00100021</t>
  </si>
  <si>
    <t>IAMP00100021</t>
  </si>
  <si>
    <t>IGRA00100401</t>
  </si>
  <si>
    <t>ilam00100948</t>
  </si>
  <si>
    <t>ILAM00100948</t>
  </si>
  <si>
    <t>ilam00100931</t>
  </si>
  <si>
    <t>ILAM00100931</t>
  </si>
  <si>
    <t>ilam00100951</t>
  </si>
  <si>
    <t>ILAM00100951</t>
  </si>
  <si>
    <t>isis01200049</t>
  </si>
  <si>
    <t>ISIS01200049</t>
  </si>
  <si>
    <t>ITAJ00100081</t>
  </si>
  <si>
    <t>itel00101164</t>
  </si>
  <si>
    <t>ITEL00101164</t>
  </si>
  <si>
    <t>ibaf00100134</t>
  </si>
  <si>
    <t>IBAF00100134</t>
  </si>
  <si>
    <t>ibot00100118</t>
  </si>
  <si>
    <t>IBOT00100118</t>
  </si>
  <si>
    <t>ICAM00101770</t>
  </si>
  <si>
    <t>ieng00100051</t>
  </si>
  <si>
    <t>IENG00100051</t>
  </si>
  <si>
    <t>iamp00100028</t>
  </si>
  <si>
    <t>IAMP00100028</t>
  </si>
  <si>
    <t>IGRA00100380</t>
  </si>
  <si>
    <t>ilam00100959</t>
  </si>
  <si>
    <t>ILAM00100959</t>
  </si>
  <si>
    <t>isis01200065</t>
  </si>
  <si>
    <t>ISIS01200065</t>
  </si>
  <si>
    <t>itaj00100064</t>
  </si>
  <si>
    <t>ITAJ00100064</t>
  </si>
  <si>
    <t>itel00100453</t>
  </si>
  <si>
    <t>ITEL00100453</t>
  </si>
  <si>
    <t>ibaf00100158</t>
  </si>
  <si>
    <t>IBAF00100158</t>
  </si>
  <si>
    <t>ibot00100122</t>
  </si>
  <si>
    <t>IBOT00100122</t>
  </si>
  <si>
    <t>ICAM00101755</t>
  </si>
  <si>
    <t>ieng00100074</t>
  </si>
  <si>
    <t>IENG00100074</t>
  </si>
  <si>
    <t>iamp00100086</t>
  </si>
  <si>
    <t>IAMP00100086</t>
  </si>
  <si>
    <t>IGRA00100430</t>
  </si>
  <si>
    <t>ILAM00100981</t>
  </si>
  <si>
    <t>ILAM00100924</t>
  </si>
  <si>
    <t>ILAM00100925</t>
  </si>
  <si>
    <t>isis01200144</t>
  </si>
  <si>
    <t>ISIS01200144</t>
  </si>
  <si>
    <t>itaj00100153</t>
  </si>
  <si>
    <t>ITAJ00100153</t>
  </si>
  <si>
    <t>itel00101094</t>
  </si>
  <si>
    <t>ITEL00101094</t>
  </si>
  <si>
    <t>ibaf00100048</t>
  </si>
  <si>
    <t>IBAF00100048</t>
  </si>
  <si>
    <t>ibot00100044</t>
  </si>
  <si>
    <t>IBOT00100044</t>
  </si>
  <si>
    <t>ICAM00101801</t>
  </si>
  <si>
    <t>ieng00100185</t>
  </si>
  <si>
    <t>IENG00100185</t>
  </si>
  <si>
    <t>iamp00100131</t>
  </si>
  <si>
    <t>IAMP00100131</t>
  </si>
  <si>
    <t>IGRA00100315</t>
  </si>
  <si>
    <t>ilam00100973</t>
  </si>
  <si>
    <t>ILAM00100973</t>
  </si>
  <si>
    <t>ilam00100988</t>
  </si>
  <si>
    <t>ILAM00100988</t>
  </si>
  <si>
    <t>ilam00100943</t>
  </si>
  <si>
    <t>ILAM00100943</t>
  </si>
  <si>
    <t>ilam00100972</t>
  </si>
  <si>
    <t>ILAM00100972</t>
  </si>
  <si>
    <t>isis01200063</t>
  </si>
  <si>
    <t>ISIS01200063</t>
  </si>
  <si>
    <t>itaj00100198</t>
  </si>
  <si>
    <t>ITAJ00100198</t>
  </si>
  <si>
    <t>itel00100463</t>
  </si>
  <si>
    <t>ITEL00100463</t>
  </si>
  <si>
    <t>ibaf00100203</t>
  </si>
  <si>
    <t>IBAF00100203</t>
  </si>
  <si>
    <t>ibot00100028</t>
  </si>
  <si>
    <t>IBOT00100028</t>
  </si>
  <si>
    <t>ICAM00101806</t>
  </si>
  <si>
    <t>ieng00100155</t>
  </si>
  <si>
    <t>IENG00100155</t>
  </si>
  <si>
    <t>iamp00100115</t>
  </si>
  <si>
    <t>IAMP00100115</t>
  </si>
  <si>
    <t>IGRA00100285</t>
  </si>
  <si>
    <t>ilam00100996</t>
  </si>
  <si>
    <t>ILAM00100996</t>
  </si>
  <si>
    <t>ilam00100993</t>
  </si>
  <si>
    <t>ILAM00100993</t>
  </si>
  <si>
    <t>ilam00100947</t>
  </si>
  <si>
    <t>ILAM00100947</t>
  </si>
  <si>
    <t>ilam00100956</t>
  </si>
  <si>
    <t>ILAM00100956</t>
  </si>
  <si>
    <t>isis01200149</t>
  </si>
  <si>
    <t>ISIS01200149</t>
  </si>
  <si>
    <t>itaj00100232</t>
  </si>
  <si>
    <t>ITAJ00100232</t>
  </si>
  <si>
    <t>itel00100610</t>
  </si>
  <si>
    <t>ITEL00100610</t>
  </si>
  <si>
    <t>ibaf00100106</t>
  </si>
  <si>
    <t>IBAF00100106</t>
  </si>
  <si>
    <t>ibot00100090</t>
  </si>
  <si>
    <t>IBOT00100090</t>
  </si>
  <si>
    <t>ICAM00101798</t>
  </si>
  <si>
    <t>ieng00100043</t>
  </si>
  <si>
    <t>IENG00100043</t>
  </si>
  <si>
    <t>iamp00100035</t>
  </si>
  <si>
    <t>IAMP00100035</t>
  </si>
  <si>
    <t>IGRA00100371</t>
  </si>
  <si>
    <t>ilam00100998</t>
  </si>
  <si>
    <t>ILAM00100998</t>
  </si>
  <si>
    <t>ilam00100933</t>
  </si>
  <si>
    <t>ILAM00100933</t>
  </si>
  <si>
    <t>isis01200059</t>
  </si>
  <si>
    <t>ISIS01200059</t>
  </si>
  <si>
    <t>itaj00100192</t>
  </si>
  <si>
    <t>ITAJ00100192</t>
  </si>
  <si>
    <t>itel00100836</t>
  </si>
  <si>
    <t>ITEL00100836</t>
  </si>
  <si>
    <t>IBAF00100112</t>
  </si>
  <si>
    <t>ibot00100070</t>
  </si>
  <si>
    <t>IBOT00100070</t>
  </si>
  <si>
    <t>ICAM00101756</t>
  </si>
  <si>
    <t>ieng00100130</t>
  </si>
  <si>
    <t>IENG00100130</t>
  </si>
  <si>
    <t>iamp00100065</t>
  </si>
  <si>
    <t>IAMP00100065</t>
  </si>
  <si>
    <t>IGRA00100321</t>
  </si>
  <si>
    <t>ilam00101038</t>
  </si>
  <si>
    <t>ILAM00101038</t>
  </si>
  <si>
    <t>ilam00100968</t>
  </si>
  <si>
    <t>ILAM00100968</t>
  </si>
  <si>
    <t>ilam00100945</t>
  </si>
  <si>
    <t>ILAM00100945</t>
  </si>
  <si>
    <t>ilam00100969</t>
  </si>
  <si>
    <t>ILAM00100969</t>
  </si>
  <si>
    <t>isis01200185</t>
  </si>
  <si>
    <t>ISIS01200185</t>
  </si>
  <si>
    <t>itaj00100049</t>
  </si>
  <si>
    <t>ITAJ00100049</t>
  </si>
  <si>
    <t>itel00101185</t>
  </si>
  <si>
    <t>ITEL00101185</t>
  </si>
  <si>
    <t>ibaf00100180</t>
  </si>
  <si>
    <t>IBAF00100180</t>
  </si>
  <si>
    <t>ibot00100109</t>
  </si>
  <si>
    <t>IBOT00100109</t>
  </si>
  <si>
    <t>ICAM00101761</t>
  </si>
  <si>
    <t>ieng00100035</t>
  </si>
  <si>
    <t>IENG00100035</t>
  </si>
  <si>
    <t>iamp00100092</t>
  </si>
  <si>
    <t>IAMP00100092</t>
  </si>
  <si>
    <t>IGRA00100392</t>
  </si>
  <si>
    <t>ilam00101012</t>
  </si>
  <si>
    <t>ILAM00101012</t>
  </si>
  <si>
    <t>ilam00101068</t>
  </si>
  <si>
    <t>ILAM00101068</t>
  </si>
  <si>
    <t>ilam00101067</t>
  </si>
  <si>
    <t>ILAM00101067</t>
  </si>
  <si>
    <t>isis01200051</t>
  </si>
  <si>
    <t>ISIS01200051</t>
  </si>
  <si>
    <t>itaj00100008</t>
  </si>
  <si>
    <t>ITAJ00100008</t>
  </si>
  <si>
    <t>itel00100880</t>
  </si>
  <si>
    <t>ITEL00100880</t>
  </si>
  <si>
    <t>ibaf00100057</t>
  </si>
  <si>
    <t>IBAF00100057</t>
  </si>
  <si>
    <t>ibot00100188</t>
  </si>
  <si>
    <t>IBOT00100188</t>
  </si>
  <si>
    <t>ICAM00101784</t>
  </si>
  <si>
    <t>ieng00100087</t>
  </si>
  <si>
    <t>IENG00100087</t>
  </si>
  <si>
    <t>IAMP00100129</t>
  </si>
  <si>
    <t>IGRA00100331</t>
  </si>
  <si>
    <t>ilam00100936</t>
  </si>
  <si>
    <t>ILAM00100936</t>
  </si>
  <si>
    <t>ilam00101037</t>
  </si>
  <si>
    <t>ILAM00101037</t>
  </si>
  <si>
    <t>ilam00101002</t>
  </si>
  <si>
    <t>ILAM00101002</t>
  </si>
  <si>
    <t>isis01200148</t>
  </si>
  <si>
    <t>ISIS01200148</t>
  </si>
  <si>
    <t>itaj00100152</t>
  </si>
  <si>
    <t>ITAJ00100152</t>
  </si>
  <si>
    <t>itel00100237</t>
  </si>
  <si>
    <t>ITEL00100237</t>
  </si>
  <si>
    <t>ibaf00100144</t>
  </si>
  <si>
    <t>IBAF00100144</t>
  </si>
  <si>
    <t>ibot00100157</t>
  </si>
  <si>
    <t>IBOT00100157</t>
  </si>
  <si>
    <t>ICAM00101789</t>
  </si>
  <si>
    <t>ieng00100033</t>
  </si>
  <si>
    <t>IENG00100033</t>
  </si>
  <si>
    <t>iamp00100071</t>
  </si>
  <si>
    <t>IAMP00100071</t>
  </si>
  <si>
    <t>IGRA00100415</t>
  </si>
  <si>
    <t>SANELEC</t>
  </si>
  <si>
    <t>ilam00100671</t>
  </si>
  <si>
    <t>ILAM00100671</t>
  </si>
  <si>
    <t>ilam00100797</t>
  </si>
  <si>
    <t>ILAM00100797</t>
  </si>
  <si>
    <t>ilam00100821</t>
  </si>
  <si>
    <t>ILAM00100821</t>
  </si>
  <si>
    <t>isis01200089</t>
  </si>
  <si>
    <t>ISIS01200089</t>
  </si>
  <si>
    <t>itaj00100242</t>
  </si>
  <si>
    <t>ITAJ00100242</t>
  </si>
  <si>
    <t>itel00100477</t>
  </si>
  <si>
    <t>ITEL00100477</t>
  </si>
  <si>
    <t>ibaf00100156</t>
  </si>
  <si>
    <t>IBAF00100156</t>
  </si>
  <si>
    <t>ibot00100168</t>
  </si>
  <si>
    <t>IBOT00100168</t>
  </si>
  <si>
    <t>ICAM00101769</t>
  </si>
  <si>
    <t>ieng00100094</t>
  </si>
  <si>
    <t>IENG00100094</t>
  </si>
  <si>
    <t>iamp00100058</t>
  </si>
  <si>
    <t>IAMP00100058</t>
  </si>
  <si>
    <t>IGRA00100408</t>
  </si>
  <si>
    <t>ILAM00100818</t>
  </si>
  <si>
    <t>ILAM00101351</t>
  </si>
  <si>
    <t>ILAM00101337</t>
  </si>
  <si>
    <t>ILAM00101154</t>
  </si>
  <si>
    <t>isis01200053</t>
  </si>
  <si>
    <t>ISIS01200053</t>
  </si>
  <si>
    <t>itaj00100180</t>
  </si>
  <si>
    <t>ITAJ00100180</t>
  </si>
  <si>
    <t>ITEL00100251</t>
  </si>
  <si>
    <t>ibaf00100052</t>
  </si>
  <si>
    <t>IBAF00100052</t>
  </si>
  <si>
    <t>ibot00100158</t>
  </si>
  <si>
    <t>IBOT00100158</t>
  </si>
  <si>
    <t>ICAM00101736</t>
  </si>
  <si>
    <t>ieng00100090</t>
  </si>
  <si>
    <t>IENG00100090</t>
  </si>
  <si>
    <t>iamp00100037</t>
  </si>
  <si>
    <t>IAMP00100037</t>
  </si>
  <si>
    <t>IGRA00100435</t>
  </si>
  <si>
    <t>ILAM00101056</t>
  </si>
  <si>
    <t>ILAM00100992</t>
  </si>
  <si>
    <t>ILAM00101039</t>
  </si>
  <si>
    <t>isis01200038</t>
  </si>
  <si>
    <t>ISIS01200038</t>
  </si>
  <si>
    <t>itaj00100106</t>
  </si>
  <si>
    <t>ITAJ00100106</t>
  </si>
  <si>
    <t>itel00101015</t>
  </si>
  <si>
    <t>ITEL00101015</t>
  </si>
  <si>
    <t>ibaf00100125</t>
  </si>
  <si>
    <t>IBAF00100125</t>
  </si>
  <si>
    <t>ibot00100075</t>
  </si>
  <si>
    <t>IBOT00100075</t>
  </si>
  <si>
    <t>ICAM00101777</t>
  </si>
  <si>
    <t>ieng00100071</t>
  </si>
  <si>
    <t>IENG00100071</t>
  </si>
  <si>
    <t>IAMP00100112</t>
  </si>
  <si>
    <t>IGRA00100328</t>
  </si>
  <si>
    <t>ilam00101073</t>
  </si>
  <si>
    <t>ILAM00101073</t>
  </si>
  <si>
    <t>VOLTECK</t>
  </si>
  <si>
    <t>ilam00101007</t>
  </si>
  <si>
    <t>ILAM00101007</t>
  </si>
  <si>
    <t>ILAM00101256</t>
  </si>
  <si>
    <t>isis01200100</t>
  </si>
  <si>
    <t>ISIS01200100</t>
  </si>
  <si>
    <t>itaj00100139</t>
  </si>
  <si>
    <t>ITAJ00100139</t>
  </si>
  <si>
    <t>itel00101127</t>
  </si>
  <si>
    <t>ITEL00101127</t>
  </si>
  <si>
    <t>Los Reyes Acaquilpan</t>
  </si>
  <si>
    <t/>
  </si>
  <si>
    <t>Total general</t>
  </si>
  <si>
    <t xml:space="preserve">Programa de equipamiento de los Órganos Desconcentrados Distritales </t>
  </si>
  <si>
    <t>Proceso Electoral 2026 - 2027</t>
  </si>
  <si>
    <t>Tiempos y distancias aproximadas</t>
  </si>
  <si>
    <r>
      <t>m</t>
    </r>
    <r>
      <rPr>
        <b/>
        <sz val="8"/>
        <color theme="1"/>
        <rFont val="Tahoma"/>
        <family val="2"/>
      </rPr>
      <t>3</t>
    </r>
  </si>
  <si>
    <t>Cap.</t>
  </si>
  <si>
    <t>50 m3</t>
  </si>
  <si>
    <t>70 m3</t>
  </si>
  <si>
    <t>Total</t>
  </si>
  <si>
    <t xml:space="preserve">ENVIO:   FECHA   </t>
  </si>
  <si>
    <t>N.P</t>
  </si>
  <si>
    <t>INVENTARIO</t>
  </si>
  <si>
    <t xml:space="preserve"> Cargado</t>
  </si>
  <si>
    <t>Eliminador</t>
  </si>
  <si>
    <t xml:space="preserve"> (Plug 6.6mm a Cannon Macho)</t>
  </si>
  <si>
    <t>X</t>
  </si>
  <si>
    <t>IBAF00100177</t>
  </si>
  <si>
    <t>IBOT00100144</t>
  </si>
  <si>
    <t>icam00101734</t>
  </si>
  <si>
    <t>ICAM00101734</t>
  </si>
  <si>
    <t>IENG00100240</t>
  </si>
  <si>
    <t>IAMP00100033</t>
  </si>
  <si>
    <t>igra00100404</t>
  </si>
  <si>
    <t>IGRA00100404</t>
  </si>
  <si>
    <t>ilam00100799</t>
  </si>
  <si>
    <t>ILAM00100799</t>
  </si>
  <si>
    <t>ilam00100939</t>
  </si>
  <si>
    <t>ILAM00100939</t>
  </si>
  <si>
    <t>MITZU</t>
  </si>
  <si>
    <t>ilam00101291</t>
  </si>
  <si>
    <t>ILAM00101291</t>
  </si>
  <si>
    <t>isis01200203</t>
  </si>
  <si>
    <t>ISIS01200203</t>
  </si>
  <si>
    <t>itaj00100005</t>
  </si>
  <si>
    <t>ITAJ00100005</t>
  </si>
  <si>
    <t>itel00100386</t>
  </si>
  <si>
    <t>ITEL00100386</t>
  </si>
  <si>
    <t>ibaf00100202</t>
  </si>
  <si>
    <t>IBAF00100202</t>
  </si>
  <si>
    <t>ibot00100152</t>
  </si>
  <si>
    <t>IBOT00100152</t>
  </si>
  <si>
    <t>ICAM00101740</t>
  </si>
  <si>
    <t>ieng00100219</t>
  </si>
  <si>
    <t>IENG00100219</t>
  </si>
  <si>
    <t>iamp00100114</t>
  </si>
  <si>
    <t>IAMP00100114</t>
  </si>
  <si>
    <t>IGRA00100300</t>
  </si>
  <si>
    <t>isis01200104</t>
  </si>
  <si>
    <t>ISIS01200104</t>
  </si>
  <si>
    <t>itaj00100244</t>
  </si>
  <si>
    <t>ITAJ00100244</t>
  </si>
  <si>
    <t>itel00100664</t>
  </si>
  <si>
    <t>ITEL00100664</t>
  </si>
  <si>
    <t>ibaf00100110</t>
  </si>
  <si>
    <t>IBAF00100110</t>
  </si>
  <si>
    <t>ibot00100087</t>
  </si>
  <si>
    <t>IBOT00100087</t>
  </si>
  <si>
    <t>ICAM00101799</t>
  </si>
  <si>
    <t>ieng00100056</t>
  </si>
  <si>
    <t>IENG00100056</t>
  </si>
  <si>
    <t>IAMP00100042</t>
  </si>
  <si>
    <t>IGRA00100427</t>
  </si>
  <si>
    <t>MARVIK</t>
  </si>
  <si>
    <t>ILAM0101080</t>
  </si>
  <si>
    <t>isis01200098</t>
  </si>
  <si>
    <t>ISIS01200098</t>
  </si>
  <si>
    <t>itaj00100150</t>
  </si>
  <si>
    <t>ITAJ00100150</t>
  </si>
  <si>
    <t>itel00100583</t>
  </si>
  <si>
    <t>ITEL00100583</t>
  </si>
  <si>
    <t>ibaf00100207</t>
  </si>
  <si>
    <t>IBAF00100207</t>
  </si>
  <si>
    <t>ibot00100131</t>
  </si>
  <si>
    <t>IBOT00100131</t>
  </si>
  <si>
    <t>ICAM00101758</t>
  </si>
  <si>
    <t>ieng00100008</t>
  </si>
  <si>
    <t>IENG00100008</t>
  </si>
  <si>
    <t>iamp00100039</t>
  </si>
  <si>
    <t>IAMP00100039</t>
  </si>
  <si>
    <t>IGRA00100367</t>
  </si>
  <si>
    <t>isis01200115</t>
  </si>
  <si>
    <t>ISIS01200115</t>
  </si>
  <si>
    <t>itaj00100012</t>
  </si>
  <si>
    <t>ITAJ00100012</t>
  </si>
  <si>
    <t>itel00100946</t>
  </si>
  <si>
    <t>ITEL00100946</t>
  </si>
  <si>
    <t>ibaf00100067</t>
  </si>
  <si>
    <t>IBAF00100067</t>
  </si>
  <si>
    <t>ibot00100035</t>
  </si>
  <si>
    <t>IBOT00100035</t>
  </si>
  <si>
    <t>ICAM00101781</t>
  </si>
  <si>
    <t>ieng00100170</t>
  </si>
  <si>
    <t>IENG00100170</t>
  </si>
  <si>
    <t>iamp00100094</t>
  </si>
  <si>
    <t>IAMP00100094</t>
  </si>
  <si>
    <t>IGRA00100417</t>
  </si>
  <si>
    <t>isis01200157</t>
  </si>
  <si>
    <t>ISIS01200157</t>
  </si>
  <si>
    <t>itaj00100240</t>
  </si>
  <si>
    <t>ITAJ00100240</t>
  </si>
  <si>
    <t>itel00100429</t>
  </si>
  <si>
    <t>ITEL00100429</t>
  </si>
  <si>
    <t>ibaf00100093</t>
  </si>
  <si>
    <t>IBAF00100093</t>
  </si>
  <si>
    <t>ibot00100108</t>
  </si>
  <si>
    <t>IBOT00100108</t>
  </si>
  <si>
    <t>ICAM00101787</t>
  </si>
  <si>
    <t>ieng00100034</t>
  </si>
  <si>
    <t>IENG00100034</t>
  </si>
  <si>
    <t>iamp00100135</t>
  </si>
  <si>
    <t>IAMP00100135</t>
  </si>
  <si>
    <t>IGRA00100412</t>
  </si>
  <si>
    <t>isis01200069</t>
  </si>
  <si>
    <t>ISIS01200069</t>
  </si>
  <si>
    <t>itaj00100186</t>
  </si>
  <si>
    <t>ITAJ00100186</t>
  </si>
  <si>
    <t>itel00100268</t>
  </si>
  <si>
    <t>ITEL00100268</t>
  </si>
  <si>
    <t>IBAF00100096</t>
  </si>
  <si>
    <t>IBOT00100043</t>
  </si>
  <si>
    <t>icam00101810</t>
  </si>
  <si>
    <t>ICAM00101810</t>
  </si>
  <si>
    <t>IENG00100047</t>
  </si>
  <si>
    <t>iamp00100128</t>
  </si>
  <si>
    <t>IAMP00100128</t>
  </si>
  <si>
    <t>igra00100346</t>
  </si>
  <si>
    <t>IGRA00100346</t>
  </si>
  <si>
    <t>isis01200141</t>
  </si>
  <si>
    <t>ISIS01200141</t>
  </si>
  <si>
    <t>itaj00100213</t>
  </si>
  <si>
    <t>ITAJ00100213</t>
  </si>
  <si>
    <t>itel00100494</t>
  </si>
  <si>
    <t>ITEL00100494</t>
  </si>
  <si>
    <t>ibaf00100056</t>
  </si>
  <si>
    <t>IBAF00100056</t>
  </si>
  <si>
    <t>ibot00100125</t>
  </si>
  <si>
    <t>IBOT00100125</t>
  </si>
  <si>
    <t>ICAM00101780</t>
  </si>
  <si>
    <t>ieng00100203</t>
  </si>
  <si>
    <t>IENG00100203</t>
  </si>
  <si>
    <t>iamp00100080</t>
  </si>
  <si>
    <t>IAMP00100080</t>
  </si>
  <si>
    <t>IGRA00100400</t>
  </si>
  <si>
    <t>isis01200184</t>
  </si>
  <si>
    <t>ISIS01200184</t>
  </si>
  <si>
    <t>itaj00100080</t>
  </si>
  <si>
    <t>ITAJ00100080</t>
  </si>
  <si>
    <t>itel00100973</t>
  </si>
  <si>
    <t>ITEL00100973</t>
  </si>
  <si>
    <t>ibaf00100055</t>
  </si>
  <si>
    <t>IBAF00100055</t>
  </si>
  <si>
    <t>ibot00100149</t>
  </si>
  <si>
    <t>IBOT00100149</t>
  </si>
  <si>
    <t>ICAM00101773</t>
  </si>
  <si>
    <t>ieng00100211</t>
  </si>
  <si>
    <t>IENG00100211</t>
  </si>
  <si>
    <t>iamp00100036</t>
  </si>
  <si>
    <t>IAMP00100036</t>
  </si>
  <si>
    <t>IGRA00100307</t>
  </si>
  <si>
    <t>HIPER</t>
  </si>
  <si>
    <t>isis01200145</t>
  </si>
  <si>
    <t>ISIS01200145</t>
  </si>
  <si>
    <t>itaj00100063</t>
  </si>
  <si>
    <t>ITAJ00100063</t>
  </si>
  <si>
    <t>itel00101116</t>
  </si>
  <si>
    <t>ITEL00101116</t>
  </si>
  <si>
    <t>ibaf00100154</t>
  </si>
  <si>
    <t>IBAF00100154</t>
  </si>
  <si>
    <t>ibot00100132</t>
  </si>
  <si>
    <t>IBOT00100132</t>
  </si>
  <si>
    <t>ICAM00101729</t>
  </si>
  <si>
    <t>ieng00100154</t>
  </si>
  <si>
    <t>IENG00100154</t>
  </si>
  <si>
    <t>IGRA00100364</t>
  </si>
  <si>
    <t>ilam00101258</t>
  </si>
  <si>
    <t>ILAM00101258</t>
  </si>
  <si>
    <t>ilam00101296</t>
  </si>
  <si>
    <t>ILAM00101296</t>
  </si>
  <si>
    <t>ilam00101179</t>
  </si>
  <si>
    <t>ILAM00101179</t>
  </si>
  <si>
    <t>isis01200081</t>
  </si>
  <si>
    <t>ISIS01200081</t>
  </si>
  <si>
    <t>itaj00100083</t>
  </si>
  <si>
    <t>ITAJ00100083</t>
  </si>
  <si>
    <t>itel00101046</t>
  </si>
  <si>
    <t>ITEL00101046</t>
  </si>
  <si>
    <t>ibaf00100039</t>
  </si>
  <si>
    <t>IBAF00100039</t>
  </si>
  <si>
    <t>ibot00100165</t>
  </si>
  <si>
    <t>IBOT00100165</t>
  </si>
  <si>
    <t>ICAM00101785</t>
  </si>
  <si>
    <t>ieng00100174</t>
  </si>
  <si>
    <t>IENG00100174</t>
  </si>
  <si>
    <t>IAM00100088</t>
  </si>
  <si>
    <t>IGRA00100374</t>
  </si>
  <si>
    <t>ILAM00101150</t>
  </si>
  <si>
    <t>ilam00101144</t>
  </si>
  <si>
    <t>ILAM00101144</t>
  </si>
  <si>
    <t>ilam00101149</t>
  </si>
  <si>
    <t>ILAM00101149</t>
  </si>
  <si>
    <t>isis01200175</t>
  </si>
  <si>
    <t>ISIS01200175</t>
  </si>
  <si>
    <t>itaj00100156</t>
  </si>
  <si>
    <t>ITAJ00100156</t>
  </si>
  <si>
    <t>ITEL00100910</t>
  </si>
  <si>
    <t>ibaf00100073</t>
  </si>
  <si>
    <t>IBAF00100073</t>
  </si>
  <si>
    <t>ibot00100062</t>
  </si>
  <si>
    <t>IBOT00100062</t>
  </si>
  <si>
    <t>ICAM00101730</t>
  </si>
  <si>
    <t>ieng00100205</t>
  </si>
  <si>
    <t>IENG00100205</t>
  </si>
  <si>
    <t>IGRA00100304</t>
  </si>
  <si>
    <t>ilam00101190</t>
  </si>
  <si>
    <t>ILAM00101190</t>
  </si>
  <si>
    <t>ilam00101113</t>
  </si>
  <si>
    <t>ILAM00101113</t>
  </si>
  <si>
    <t>ilam00101132</t>
  </si>
  <si>
    <t>ILAM00101132</t>
  </si>
  <si>
    <t>isis01200137</t>
  </si>
  <si>
    <t>ISIS01200137</t>
  </si>
  <si>
    <t>itaj00100105</t>
  </si>
  <si>
    <t>ITAJ00100105</t>
  </si>
  <si>
    <t>itel00100311</t>
  </si>
  <si>
    <t>ITEL00100311</t>
  </si>
  <si>
    <t>ibaf00100157</t>
  </si>
  <si>
    <t>IBAF00100157</t>
  </si>
  <si>
    <t>ibot00100143</t>
  </si>
  <si>
    <t>IBOT00100143</t>
  </si>
  <si>
    <t>ICAM00101788</t>
  </si>
  <si>
    <t>ieng00100257</t>
  </si>
  <si>
    <t>IENG00100257</t>
  </si>
  <si>
    <t>iamp00100043</t>
  </si>
  <si>
    <t>IAMP00100043</t>
  </si>
  <si>
    <t>IGRA00100394</t>
  </si>
  <si>
    <t>ilam00100877</t>
  </si>
  <si>
    <t>ILAM00100877</t>
  </si>
  <si>
    <t>ilam00101318</t>
  </si>
  <si>
    <t>ILAM00101318</t>
  </si>
  <si>
    <t>ilam00101209</t>
  </si>
  <si>
    <t>ILAM00101209</t>
  </si>
  <si>
    <t>isis01200050</t>
  </si>
  <si>
    <t>ISIS01200050</t>
  </si>
  <si>
    <t>ITAJ00100101</t>
  </si>
  <si>
    <t>itel00100806</t>
  </si>
  <si>
    <t>ITEL00100806</t>
  </si>
  <si>
    <t>ibaf00100166</t>
  </si>
  <si>
    <t>IBAF00100166</t>
  </si>
  <si>
    <t>ibot00100129</t>
  </si>
  <si>
    <t>IBOT00100129</t>
  </si>
  <si>
    <t>ICAM00101751</t>
  </si>
  <si>
    <t>ieng00100002</t>
  </si>
  <si>
    <t>IENG00100002</t>
  </si>
  <si>
    <t>IGRA00100372</t>
  </si>
  <si>
    <t>ilam00100893</t>
  </si>
  <si>
    <t>ILAM00100893</t>
  </si>
  <si>
    <t>ilam00101341</t>
  </si>
  <si>
    <t>ILAM00101341</t>
  </si>
  <si>
    <t>ilam00101141</t>
  </si>
  <si>
    <t>ILAM00101141</t>
  </si>
  <si>
    <t>isis01200201</t>
  </si>
  <si>
    <t>ISIS01200201</t>
  </si>
  <si>
    <t>itaj00100173</t>
  </si>
  <si>
    <t>ITAJ00100173</t>
  </si>
  <si>
    <t>itel00101001</t>
  </si>
  <si>
    <t>ITEL00101001</t>
  </si>
  <si>
    <t>ibaf00100045</t>
  </si>
  <si>
    <t>IBAF00100045</t>
  </si>
  <si>
    <t>ibot00100051</t>
  </si>
  <si>
    <t>IBOT00100051</t>
  </si>
  <si>
    <t>ICAM00101762</t>
  </si>
  <si>
    <t>IENG00100251</t>
  </si>
  <si>
    <t>IGRA00100383</t>
  </si>
  <si>
    <t>ilam00101299</t>
  </si>
  <si>
    <t>ILAM00101299</t>
  </si>
  <si>
    <t>ilam00101281</t>
  </si>
  <si>
    <t>ILAM00101281</t>
  </si>
  <si>
    <t>ilam00101211</t>
  </si>
  <si>
    <t>ILAM00101211</t>
  </si>
  <si>
    <t>isis01200107</t>
  </si>
  <si>
    <t>ISIS01200107</t>
  </si>
  <si>
    <t>ITAJ00100054</t>
  </si>
  <si>
    <t>itel00100769</t>
  </si>
  <si>
    <t>ITEL00100769</t>
  </si>
  <si>
    <t>IBAF00100101</t>
  </si>
  <si>
    <t>ibot00100045</t>
  </si>
  <si>
    <t>IBOT00100045</t>
  </si>
  <si>
    <t>ieng00100206</t>
  </si>
  <si>
    <t>IENG00100206</t>
  </si>
  <si>
    <t>iamp00100102</t>
  </si>
  <si>
    <t>IAMP00100102</t>
  </si>
  <si>
    <t>IGRA00100334</t>
  </si>
  <si>
    <t>ilam00101170</t>
  </si>
  <si>
    <t>ILAM00101170</t>
  </si>
  <si>
    <t>ilam00101163</t>
  </si>
  <si>
    <t>ILAM00101163</t>
  </si>
  <si>
    <t>ilam00101137</t>
  </si>
  <si>
    <t>ILAM00101137</t>
  </si>
  <si>
    <t>isis01200139</t>
  </si>
  <si>
    <t>ISIS01200139</t>
  </si>
  <si>
    <t>itaj00100100</t>
  </si>
  <si>
    <t>ITAJ00100100</t>
  </si>
  <si>
    <t>itel00100994</t>
  </si>
  <si>
    <t>ITEL00100994</t>
  </si>
  <si>
    <t>ibaf00100040</t>
  </si>
  <si>
    <t>IBAF00100040</t>
  </si>
  <si>
    <t>ibot00100091</t>
  </si>
  <si>
    <t>IBOT00100091</t>
  </si>
  <si>
    <t>ICAM00101782</t>
  </si>
  <si>
    <t>ieng00100142</t>
  </si>
  <si>
    <t>IENG00100142</t>
  </si>
  <si>
    <t>IGRA00100274</t>
  </si>
  <si>
    <t>ILAM00100837</t>
  </si>
  <si>
    <t>ILAM00100901</t>
  </si>
  <si>
    <t>ILAM00100903</t>
  </si>
  <si>
    <t>isis01200045</t>
  </si>
  <si>
    <t>ISIS01200045</t>
  </si>
  <si>
    <t>itaj00100029</t>
  </si>
  <si>
    <t>ITAJ00100029</t>
  </si>
  <si>
    <t>itel00100754</t>
  </si>
  <si>
    <t>ITEL00100754</t>
  </si>
  <si>
    <t>IBAF00100195</t>
  </si>
  <si>
    <t>ibot00100052</t>
  </si>
  <si>
    <t>IBOT00100052</t>
  </si>
  <si>
    <t>ICAM00101748</t>
  </si>
  <si>
    <t>ieng00100119</t>
  </si>
  <si>
    <t>IENG00100119</t>
  </si>
  <si>
    <t>IGRA00100339</t>
  </si>
  <si>
    <t>ILAM00101133</t>
  </si>
  <si>
    <t>ILAM00101306</t>
  </si>
  <si>
    <t>ILAM00101317</t>
  </si>
  <si>
    <t>isis01200088</t>
  </si>
  <si>
    <t>ISIS01200088</t>
  </si>
  <si>
    <t>itaj00100281</t>
  </si>
  <si>
    <t>ITAJ00100281</t>
  </si>
  <si>
    <t>itel00100486</t>
  </si>
  <si>
    <t>ITEL00100486</t>
  </si>
  <si>
    <t>IBAF00100080</t>
  </si>
  <si>
    <t>IBOT00100064</t>
  </si>
  <si>
    <t>icam00101795</t>
  </si>
  <si>
    <t>ICAM00101795</t>
  </si>
  <si>
    <t>IENG00100079</t>
  </si>
  <si>
    <t>igra00100389</t>
  </si>
  <si>
    <t>IGRA00100389</t>
  </si>
  <si>
    <t>ilam00101264</t>
  </si>
  <si>
    <t>ILAM00101264</t>
  </si>
  <si>
    <t>ilam00100825</t>
  </si>
  <si>
    <t>ILAM00100825</t>
  </si>
  <si>
    <t>ilam00100843</t>
  </si>
  <si>
    <t>ILAM00100843</t>
  </si>
  <si>
    <t>sn</t>
  </si>
  <si>
    <t>ISIS01200117</t>
  </si>
  <si>
    <t>ITAJ00100229</t>
  </si>
  <si>
    <t>ITEL00101086</t>
  </si>
  <si>
    <t>ibaf00100108</t>
  </si>
  <si>
    <t>IBAF00100108</t>
  </si>
  <si>
    <t>IBOT00100104</t>
  </si>
  <si>
    <t>icam00101797</t>
  </si>
  <si>
    <t>ICAM00101797</t>
  </si>
  <si>
    <t>IENG00100032</t>
  </si>
  <si>
    <t>igra00100292</t>
  </si>
  <si>
    <t>IGRA00100292</t>
  </si>
  <si>
    <t>ilam00101344</t>
  </si>
  <si>
    <t>ILAM00101344</t>
  </si>
  <si>
    <t>ilam00101342</t>
  </si>
  <si>
    <t>ILAM00101342</t>
  </si>
  <si>
    <t>ilam00100847</t>
  </si>
  <si>
    <t>ILAM00100847</t>
  </si>
  <si>
    <t>ISIS01200176</t>
  </si>
  <si>
    <t>itaj00100001</t>
  </si>
  <si>
    <t>ITAJ00100001</t>
  </si>
  <si>
    <t>itel00101095</t>
  </si>
  <si>
    <t>ITEL00101095</t>
  </si>
  <si>
    <t>iamp00100101</t>
  </si>
  <si>
    <t>IAMP00100101</t>
  </si>
  <si>
    <t>IAMP00100055</t>
  </si>
  <si>
    <t>IAMP00100106</t>
  </si>
  <si>
    <t>IAMP00100121</t>
  </si>
  <si>
    <t>IBAF00100113</t>
  </si>
  <si>
    <t>IBAF00100152</t>
  </si>
  <si>
    <t>Volumen m3</t>
  </si>
  <si>
    <t>DÍA 6</t>
  </si>
  <si>
    <t>DÍA 5</t>
  </si>
  <si>
    <t>DÍA 4</t>
  </si>
  <si>
    <t>DÍA 3</t>
  </si>
  <si>
    <t>DÍA 2</t>
  </si>
  <si>
    <t>DÍA 1</t>
  </si>
  <si>
    <t>ARTICULOS</t>
  </si>
  <si>
    <t xml:space="preserve">Juntas Distritales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</si>
</sst>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14"/>
      <name val="Tahoma"/>
      <family val="2"/>
    </font>
    <font>
      <b/>
      <sz val="12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8"/>
      <color theme="1"/>
      <name val="Tahoma"/>
      <family val="2"/>
    </font>
    <font>
      <b/>
      <sz val="11"/>
      <color theme="1" tint="0.34998626667073579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b/>
      <sz val="12"/>
      <name val="Arial"/>
      <family val="2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1" fillId="0" borderId="1"/>
    <xf numFmtId="0" fontId="4" fillId="0" borderId="1"/>
    <xf numFmtId="0" fontId="3" fillId="0" borderId="1"/>
  </cellStyleXfs>
  <cellXfs count="239">
    <xf numFmtId="0" fontId="0" fillId="0" borderId="0" xfId="0" applyFont="1" applyAlignment="1"/>
    <xf numFmtId="0" fontId="5" fillId="0" borderId="0" xfId="0" applyFont="1"/>
    <xf numFmtId="0" fontId="6" fillId="2" borderId="1" xfId="0" applyFont="1" applyFill="1" applyBorder="1"/>
    <xf numFmtId="0" fontId="7" fillId="0" borderId="0" xfId="0" applyFont="1" applyAlignment="1">
      <alignment horizontal="right"/>
    </xf>
    <xf numFmtId="0" fontId="8" fillId="3" borderId="1" xfId="0" applyFont="1" applyFill="1" applyBorder="1"/>
    <xf numFmtId="0" fontId="6" fillId="0" borderId="0" xfId="0" applyFont="1" applyAlignment="1">
      <alignment horizontal="left"/>
    </xf>
    <xf numFmtId="0" fontId="9" fillId="3" borderId="1" xfId="0" applyFont="1" applyFill="1" applyBorder="1" applyAlignment="1"/>
    <xf numFmtId="0" fontId="10" fillId="3" borderId="1" xfId="0" applyFont="1" applyFill="1" applyBorder="1"/>
    <xf numFmtId="0" fontId="6" fillId="4" borderId="1" xfId="0" applyFont="1" applyFill="1" applyBorder="1"/>
    <xf numFmtId="18" fontId="5" fillId="0" borderId="0" xfId="0" applyNumberFormat="1" applyFont="1"/>
    <xf numFmtId="20" fontId="6" fillId="0" borderId="0" xfId="0" applyNumberFormat="1" applyFont="1"/>
    <xf numFmtId="18" fontId="6" fillId="0" borderId="0" xfId="0" applyNumberFormat="1" applyFont="1"/>
    <xf numFmtId="20" fontId="5" fillId="0" borderId="0" xfId="0" applyNumberFormat="1" applyFo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2" xfId="0" pivotButton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2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6" xfId="0" applyNumberFormat="1" applyFont="1" applyBorder="1" applyAlignment="1"/>
    <xf numFmtId="0" fontId="0" fillId="0" borderId="8" xfId="0" applyNumberFormat="1" applyFont="1" applyBorder="1" applyAlignment="1"/>
    <xf numFmtId="0" fontId="12" fillId="0" borderId="1" xfId="1" applyFont="1" applyAlignment="1">
      <alignment horizontal="center" vertical="center" textRotation="90" wrapText="1"/>
    </xf>
    <xf numFmtId="0" fontId="11" fillId="0" borderId="1" xfId="1" applyFont="1" applyAlignment="1">
      <alignment horizontal="center" vertical="center" wrapText="1"/>
    </xf>
    <xf numFmtId="0" fontId="13" fillId="0" borderId="1" xfId="1" applyFont="1" applyAlignment="1">
      <alignment horizontal="center" vertical="center" wrapText="1"/>
    </xf>
    <xf numFmtId="0" fontId="13" fillId="0" borderId="1" xfId="1" applyFont="1" applyAlignment="1">
      <alignment horizontal="left" vertical="center" wrapText="1"/>
    </xf>
    <xf numFmtId="0" fontId="11" fillId="0" borderId="1" xfId="1" applyAlignment="1">
      <alignment horizontal="center" vertical="center" wrapText="1"/>
    </xf>
    <xf numFmtId="0" fontId="16" fillId="0" borderId="1" xfId="1" applyFont="1" applyAlignment="1">
      <alignment horizontal="center" vertical="center" wrapText="1"/>
    </xf>
    <xf numFmtId="0" fontId="17" fillId="0" borderId="9" xfId="2" applyFont="1" applyBorder="1" applyAlignment="1">
      <alignment horizontal="center" vertical="center" wrapText="1"/>
    </xf>
    <xf numFmtId="0" fontId="4" fillId="0" borderId="1" xfId="2" applyAlignment="1">
      <alignment horizontal="center" vertical="center" wrapText="1"/>
    </xf>
    <xf numFmtId="0" fontId="21" fillId="6" borderId="13" xfId="2" applyFont="1" applyFill="1" applyBorder="1" applyAlignment="1">
      <alignment horizontal="center" vertical="center" wrapText="1"/>
    </xf>
    <xf numFmtId="0" fontId="21" fillId="6" borderId="13" xfId="2" applyFont="1" applyFill="1" applyBorder="1" applyAlignment="1">
      <alignment horizontal="left" vertical="center" wrapText="1"/>
    </xf>
    <xf numFmtId="20" fontId="22" fillId="6" borderId="13" xfId="2" applyNumberFormat="1" applyFont="1" applyFill="1" applyBorder="1" applyAlignment="1">
      <alignment horizontal="center" vertical="center" wrapText="1"/>
    </xf>
    <xf numFmtId="18" fontId="22" fillId="6" borderId="13" xfId="2" applyNumberFormat="1" applyFont="1" applyFill="1" applyBorder="1" applyAlignment="1">
      <alignment horizontal="center" vertical="center" wrapText="1"/>
    </xf>
    <xf numFmtId="0" fontId="21" fillId="6" borderId="15" xfId="2" applyFont="1" applyFill="1" applyBorder="1" applyAlignment="1">
      <alignment horizontal="center" vertical="center" wrapText="1"/>
    </xf>
    <xf numFmtId="0" fontId="21" fillId="6" borderId="15" xfId="2" applyFont="1" applyFill="1" applyBorder="1" applyAlignment="1">
      <alignment horizontal="left" vertical="center" wrapText="1"/>
    </xf>
    <xf numFmtId="0" fontId="22" fillId="6" borderId="15" xfId="2" applyFont="1" applyFill="1" applyBorder="1" applyAlignment="1">
      <alignment horizontal="center" vertical="center" wrapText="1"/>
    </xf>
    <xf numFmtId="18" fontId="22" fillId="6" borderId="15" xfId="2" applyNumberFormat="1" applyFont="1" applyFill="1" applyBorder="1" applyAlignment="1">
      <alignment horizontal="center" vertical="center" wrapText="1"/>
    </xf>
    <xf numFmtId="0" fontId="20" fillId="5" borderId="9" xfId="2" applyFont="1" applyFill="1" applyBorder="1" applyAlignment="1">
      <alignment horizontal="center" vertical="center" wrapText="1"/>
    </xf>
    <xf numFmtId="0" fontId="21" fillId="5" borderId="9" xfId="2" applyFont="1" applyFill="1" applyBorder="1" applyAlignment="1">
      <alignment horizontal="center" vertical="center" wrapText="1"/>
    </xf>
    <xf numFmtId="0" fontId="21" fillId="5" borderId="9" xfId="2" applyFont="1" applyFill="1" applyBorder="1" applyAlignment="1">
      <alignment horizontal="left" vertical="center" wrapText="1"/>
    </xf>
    <xf numFmtId="0" fontId="22" fillId="5" borderId="9" xfId="2" applyFont="1" applyFill="1" applyBorder="1" applyAlignment="1">
      <alignment horizontal="center" vertical="center" wrapText="1"/>
    </xf>
    <xf numFmtId="18" fontId="22" fillId="5" borderId="9" xfId="2" applyNumberFormat="1" applyFont="1" applyFill="1" applyBorder="1" applyAlignment="1">
      <alignment horizontal="center" vertical="center" wrapText="1"/>
    </xf>
    <xf numFmtId="0" fontId="20" fillId="6" borderId="9" xfId="2" applyFont="1" applyFill="1" applyBorder="1" applyAlignment="1">
      <alignment horizontal="center" vertical="center" wrapText="1"/>
    </xf>
    <xf numFmtId="0" fontId="21" fillId="6" borderId="9" xfId="2" applyFont="1" applyFill="1" applyBorder="1" applyAlignment="1">
      <alignment horizontal="center" vertical="center" wrapText="1"/>
    </xf>
    <xf numFmtId="0" fontId="21" fillId="6" borderId="9" xfId="2" applyFont="1" applyFill="1" applyBorder="1" applyAlignment="1">
      <alignment horizontal="left" vertical="center" wrapText="1"/>
    </xf>
    <xf numFmtId="0" fontId="22" fillId="6" borderId="9" xfId="2" applyFont="1" applyFill="1" applyBorder="1" applyAlignment="1">
      <alignment horizontal="center" vertical="center" wrapText="1"/>
    </xf>
    <xf numFmtId="18" fontId="22" fillId="6" borderId="9" xfId="2" applyNumberFormat="1" applyFont="1" applyFill="1" applyBorder="1" applyAlignment="1">
      <alignment horizontal="center" vertical="center" wrapText="1"/>
    </xf>
    <xf numFmtId="0" fontId="21" fillId="5" borderId="16" xfId="2" applyFont="1" applyFill="1" applyBorder="1" applyAlignment="1">
      <alignment horizontal="center" vertical="center" wrapText="1"/>
    </xf>
    <xf numFmtId="0" fontId="21" fillId="5" borderId="16" xfId="2" applyFont="1" applyFill="1" applyBorder="1" applyAlignment="1">
      <alignment horizontal="left" vertical="center" wrapText="1"/>
    </xf>
    <xf numFmtId="0" fontId="16" fillId="5" borderId="16" xfId="2" applyFont="1" applyFill="1" applyBorder="1" applyAlignment="1">
      <alignment horizontal="center" vertical="center" wrapText="1"/>
    </xf>
    <xf numFmtId="18" fontId="16" fillId="5" borderId="16" xfId="2" applyNumberFormat="1" applyFont="1" applyFill="1" applyBorder="1" applyAlignment="1">
      <alignment horizontal="center" vertical="center" wrapText="1"/>
    </xf>
    <xf numFmtId="0" fontId="21" fillId="5" borderId="15" xfId="2" applyFont="1" applyFill="1" applyBorder="1" applyAlignment="1">
      <alignment horizontal="center" vertical="center" wrapText="1"/>
    </xf>
    <xf numFmtId="0" fontId="21" fillId="5" borderId="15" xfId="2" applyFont="1" applyFill="1" applyBorder="1" applyAlignment="1">
      <alignment horizontal="left" vertical="center" wrapText="1"/>
    </xf>
    <xf numFmtId="0" fontId="16" fillId="5" borderId="15" xfId="2" applyFont="1" applyFill="1" applyBorder="1" applyAlignment="1">
      <alignment horizontal="center" vertical="center" wrapText="1"/>
    </xf>
    <xf numFmtId="18" fontId="16" fillId="5" borderId="15" xfId="2" applyNumberFormat="1" applyFont="1" applyFill="1" applyBorder="1" applyAlignment="1">
      <alignment horizontal="center" vertical="center" wrapText="1"/>
    </xf>
    <xf numFmtId="0" fontId="20" fillId="0" borderId="18" xfId="2" applyFont="1" applyFill="1" applyBorder="1" applyAlignment="1">
      <alignment horizontal="center" vertical="center" wrapText="1"/>
    </xf>
    <xf numFmtId="0" fontId="21" fillId="5" borderId="18" xfId="2" applyFont="1" applyFill="1" applyBorder="1" applyAlignment="1">
      <alignment horizontal="center" vertical="center" wrapText="1"/>
    </xf>
    <xf numFmtId="0" fontId="21" fillId="5" borderId="18" xfId="2" applyFont="1" applyFill="1" applyBorder="1" applyAlignment="1">
      <alignment horizontal="left" vertical="center" wrapText="1"/>
    </xf>
    <xf numFmtId="0" fontId="22" fillId="5" borderId="18" xfId="2" applyFont="1" applyFill="1" applyBorder="1" applyAlignment="1">
      <alignment horizontal="center" vertical="center" wrapText="1"/>
    </xf>
    <xf numFmtId="18" fontId="22" fillId="5" borderId="18" xfId="2" applyNumberFormat="1" applyFont="1" applyFill="1" applyBorder="1" applyAlignment="1">
      <alignment horizontal="center" vertical="center" wrapText="1"/>
    </xf>
    <xf numFmtId="0" fontId="16" fillId="6" borderId="9" xfId="2" applyFont="1" applyFill="1" applyBorder="1" applyAlignment="1">
      <alignment horizontal="center" vertical="center" wrapText="1"/>
    </xf>
    <xf numFmtId="18" fontId="16" fillId="6" borderId="9" xfId="2" applyNumberFormat="1" applyFont="1" applyFill="1" applyBorder="1" applyAlignment="1">
      <alignment horizontal="center" vertical="center" wrapText="1"/>
    </xf>
    <xf numFmtId="0" fontId="21" fillId="6" borderId="9" xfId="1" applyFont="1" applyFill="1" applyBorder="1" applyAlignment="1">
      <alignment horizontal="center" vertical="center" wrapText="1"/>
    </xf>
    <xf numFmtId="0" fontId="20" fillId="0" borderId="9" xfId="2" applyFont="1" applyFill="1" applyBorder="1" applyAlignment="1">
      <alignment horizontal="center" vertical="center" wrapText="1"/>
    </xf>
    <xf numFmtId="0" fontId="16" fillId="5" borderId="9" xfId="2" applyFont="1" applyFill="1" applyBorder="1" applyAlignment="1">
      <alignment horizontal="center" vertical="center" wrapText="1"/>
    </xf>
    <xf numFmtId="18" fontId="16" fillId="5" borderId="9" xfId="2" applyNumberFormat="1" applyFont="1" applyFill="1" applyBorder="1" applyAlignment="1">
      <alignment horizontal="center" vertical="center" wrapText="1"/>
    </xf>
    <xf numFmtId="0" fontId="21" fillId="5" borderId="9" xfId="1" applyFont="1" applyFill="1" applyBorder="1" applyAlignment="1">
      <alignment horizontal="center" vertical="center" wrapText="1"/>
    </xf>
    <xf numFmtId="0" fontId="11" fillId="5" borderId="1" xfId="1" applyFill="1" applyAlignment="1">
      <alignment horizontal="center" vertical="center" wrapText="1"/>
    </xf>
    <xf numFmtId="0" fontId="21" fillId="6" borderId="16" xfId="2" applyFont="1" applyFill="1" applyBorder="1" applyAlignment="1">
      <alignment horizontal="center" vertical="center" wrapText="1"/>
    </xf>
    <xf numFmtId="0" fontId="21" fillId="6" borderId="16" xfId="2" applyFont="1" applyFill="1" applyBorder="1" applyAlignment="1">
      <alignment horizontal="left" vertical="center" wrapText="1"/>
    </xf>
    <xf numFmtId="0" fontId="16" fillId="6" borderId="16" xfId="2" applyFont="1" applyFill="1" applyBorder="1" applyAlignment="1">
      <alignment horizontal="center" vertical="center" wrapText="1"/>
    </xf>
    <xf numFmtId="18" fontId="16" fillId="6" borderId="16" xfId="2" applyNumberFormat="1" applyFont="1" applyFill="1" applyBorder="1" applyAlignment="1">
      <alignment horizontal="center" vertical="center" wrapText="1"/>
    </xf>
    <xf numFmtId="0" fontId="16" fillId="6" borderId="15" xfId="2" applyFont="1" applyFill="1" applyBorder="1" applyAlignment="1">
      <alignment horizontal="center" vertical="center" wrapText="1"/>
    </xf>
    <xf numFmtId="18" fontId="16" fillId="6" borderId="15" xfId="2" applyNumberFormat="1" applyFont="1" applyFill="1" applyBorder="1" applyAlignment="1">
      <alignment horizontal="center" vertical="center" wrapText="1"/>
    </xf>
    <xf numFmtId="0" fontId="20" fillId="5" borderId="19" xfId="2" applyFont="1" applyFill="1" applyBorder="1" applyAlignment="1">
      <alignment horizontal="center" vertical="center" wrapText="1"/>
    </xf>
    <xf numFmtId="0" fontId="21" fillId="5" borderId="19" xfId="2" applyFont="1" applyFill="1" applyBorder="1" applyAlignment="1">
      <alignment horizontal="center" vertical="center" wrapText="1"/>
    </xf>
    <xf numFmtId="0" fontId="21" fillId="5" borderId="19" xfId="2" applyFont="1" applyFill="1" applyBorder="1" applyAlignment="1">
      <alignment horizontal="left" vertical="center" wrapText="1"/>
    </xf>
    <xf numFmtId="0" fontId="22" fillId="5" borderId="19" xfId="2" applyFont="1" applyFill="1" applyBorder="1" applyAlignment="1">
      <alignment horizontal="center" vertical="center" wrapText="1"/>
    </xf>
    <xf numFmtId="20" fontId="22" fillId="5" borderId="19" xfId="2" applyNumberFormat="1" applyFont="1" applyFill="1" applyBorder="1" applyAlignment="1">
      <alignment horizontal="center" vertical="center" wrapText="1"/>
    </xf>
    <xf numFmtId="0" fontId="20" fillId="6" borderId="18" xfId="2" applyFont="1" applyFill="1" applyBorder="1" applyAlignment="1">
      <alignment horizontal="center" vertical="center" wrapText="1"/>
    </xf>
    <xf numFmtId="0" fontId="21" fillId="6" borderId="18" xfId="2" applyFont="1" applyFill="1" applyBorder="1" applyAlignment="1">
      <alignment horizontal="center" vertical="center" wrapText="1"/>
    </xf>
    <xf numFmtId="0" fontId="21" fillId="6" borderId="18" xfId="2" applyFont="1" applyFill="1" applyBorder="1" applyAlignment="1">
      <alignment horizontal="left" vertical="center" wrapText="1"/>
    </xf>
    <xf numFmtId="0" fontId="22" fillId="6" borderId="18" xfId="2" applyFont="1" applyFill="1" applyBorder="1" applyAlignment="1">
      <alignment horizontal="center" vertical="center" wrapText="1"/>
    </xf>
    <xf numFmtId="18" fontId="22" fillId="6" borderId="18" xfId="2" applyNumberFormat="1" applyFont="1" applyFill="1" applyBorder="1" applyAlignment="1">
      <alignment horizontal="center" vertical="center" wrapText="1"/>
    </xf>
    <xf numFmtId="0" fontId="20" fillId="5" borderId="12" xfId="2" applyFont="1" applyFill="1" applyBorder="1" applyAlignment="1">
      <alignment horizontal="center" vertical="center" wrapText="1"/>
    </xf>
    <xf numFmtId="0" fontId="21" fillId="5" borderId="12" xfId="2" applyFont="1" applyFill="1" applyBorder="1" applyAlignment="1">
      <alignment horizontal="center" vertical="center" wrapText="1"/>
    </xf>
    <xf numFmtId="0" fontId="21" fillId="5" borderId="12" xfId="2" applyFont="1" applyFill="1" applyBorder="1" applyAlignment="1">
      <alignment horizontal="left" vertical="center" wrapText="1"/>
    </xf>
    <xf numFmtId="0" fontId="16" fillId="5" borderId="12" xfId="2" applyFont="1" applyFill="1" applyBorder="1" applyAlignment="1">
      <alignment horizontal="center" vertical="center" wrapText="1"/>
    </xf>
    <xf numFmtId="18" fontId="16" fillId="5" borderId="12" xfId="2" applyNumberFormat="1" applyFont="1" applyFill="1" applyBorder="1" applyAlignment="1">
      <alignment horizontal="center" vertical="center" wrapText="1"/>
    </xf>
    <xf numFmtId="20" fontId="16" fillId="6" borderId="9" xfId="2" applyNumberFormat="1" applyFont="1" applyFill="1" applyBorder="1" applyAlignment="1">
      <alignment horizontal="center" vertical="center" wrapText="1"/>
    </xf>
    <xf numFmtId="0" fontId="21" fillId="5" borderId="20" xfId="2" applyFont="1" applyFill="1" applyBorder="1" applyAlignment="1">
      <alignment horizontal="center" vertical="center" wrapText="1"/>
    </xf>
    <xf numFmtId="0" fontId="21" fillId="5" borderId="20" xfId="2" applyFont="1" applyFill="1" applyBorder="1" applyAlignment="1">
      <alignment horizontal="left" vertical="center" wrapText="1"/>
    </xf>
    <xf numFmtId="0" fontId="16" fillId="5" borderId="20" xfId="2" applyFont="1" applyFill="1" applyBorder="1" applyAlignment="1">
      <alignment horizontal="center" vertical="center" wrapText="1"/>
    </xf>
    <xf numFmtId="18" fontId="16" fillId="5" borderId="20" xfId="2" applyNumberFormat="1" applyFont="1" applyFill="1" applyBorder="1" applyAlignment="1">
      <alignment horizontal="center" vertical="center" wrapText="1"/>
    </xf>
    <xf numFmtId="0" fontId="21" fillId="6" borderId="21" xfId="2" applyFont="1" applyFill="1" applyBorder="1" applyAlignment="1">
      <alignment horizontal="center" vertical="center" wrapText="1"/>
    </xf>
    <xf numFmtId="0" fontId="21" fillId="6" borderId="21" xfId="2" applyFont="1" applyFill="1" applyBorder="1" applyAlignment="1">
      <alignment horizontal="left" vertical="center" wrapText="1"/>
    </xf>
    <xf numFmtId="0" fontId="16" fillId="6" borderId="21" xfId="2" applyFont="1" applyFill="1" applyBorder="1" applyAlignment="1">
      <alignment horizontal="center" vertical="center" wrapText="1"/>
    </xf>
    <xf numFmtId="18" fontId="16" fillId="6" borderId="21" xfId="2" applyNumberFormat="1" applyFont="1" applyFill="1" applyBorder="1" applyAlignment="1">
      <alignment horizontal="center" vertical="center" wrapText="1"/>
    </xf>
    <xf numFmtId="0" fontId="21" fillId="5" borderId="13" xfId="2" applyFont="1" applyFill="1" applyBorder="1" applyAlignment="1">
      <alignment horizontal="center" vertical="center" wrapText="1"/>
    </xf>
    <xf numFmtId="0" fontId="21" fillId="5" borderId="13" xfId="2" applyFont="1" applyFill="1" applyBorder="1" applyAlignment="1">
      <alignment horizontal="left" vertical="center" wrapText="1"/>
    </xf>
    <xf numFmtId="0" fontId="16" fillId="5" borderId="13" xfId="2" applyFont="1" applyFill="1" applyBorder="1" applyAlignment="1">
      <alignment horizontal="center" vertical="center" wrapText="1"/>
    </xf>
    <xf numFmtId="18" fontId="16" fillId="5" borderId="13" xfId="2" applyNumberFormat="1" applyFont="1" applyFill="1" applyBorder="1" applyAlignment="1">
      <alignment horizontal="center" vertical="center" wrapText="1"/>
    </xf>
    <xf numFmtId="0" fontId="20" fillId="6" borderId="19" xfId="2" applyFont="1" applyFill="1" applyBorder="1" applyAlignment="1">
      <alignment horizontal="center" vertical="center" wrapText="1"/>
    </xf>
    <xf numFmtId="0" fontId="21" fillId="6" borderId="19" xfId="2" applyFont="1" applyFill="1" applyBorder="1" applyAlignment="1">
      <alignment horizontal="center" vertical="center" wrapText="1"/>
    </xf>
    <xf numFmtId="0" fontId="21" fillId="6" borderId="19" xfId="2" applyFont="1" applyFill="1" applyBorder="1" applyAlignment="1">
      <alignment horizontal="left" vertical="center" wrapText="1"/>
    </xf>
    <xf numFmtId="0" fontId="16" fillId="6" borderId="19" xfId="2" applyFont="1" applyFill="1" applyBorder="1" applyAlignment="1">
      <alignment horizontal="center" vertical="center" wrapText="1"/>
    </xf>
    <xf numFmtId="18" fontId="16" fillId="6" borderId="19" xfId="2" applyNumberFormat="1" applyFont="1" applyFill="1" applyBorder="1" applyAlignment="1">
      <alignment horizontal="center" vertical="center" wrapText="1"/>
    </xf>
    <xf numFmtId="0" fontId="21" fillId="5" borderId="21" xfId="2" applyFont="1" applyFill="1" applyBorder="1" applyAlignment="1">
      <alignment horizontal="center" vertical="center" wrapText="1"/>
    </xf>
    <xf numFmtId="0" fontId="21" fillId="5" borderId="21" xfId="2" applyFont="1" applyFill="1" applyBorder="1" applyAlignment="1">
      <alignment horizontal="left" vertical="center" wrapText="1"/>
    </xf>
    <xf numFmtId="0" fontId="16" fillId="5" borderId="21" xfId="2" applyFont="1" applyFill="1" applyBorder="1" applyAlignment="1">
      <alignment horizontal="center" vertical="center" wrapText="1"/>
    </xf>
    <xf numFmtId="18" fontId="16" fillId="5" borderId="21" xfId="2" applyNumberFormat="1" applyFont="1" applyFill="1" applyBorder="1" applyAlignment="1">
      <alignment horizontal="center" vertical="center" wrapText="1"/>
    </xf>
    <xf numFmtId="0" fontId="20" fillId="5" borderId="10" xfId="2" applyFont="1" applyFill="1" applyBorder="1" applyAlignment="1">
      <alignment horizontal="center" vertical="center" wrapText="1"/>
    </xf>
    <xf numFmtId="0" fontId="21" fillId="5" borderId="10" xfId="2" applyFont="1" applyFill="1" applyBorder="1" applyAlignment="1">
      <alignment horizontal="center" vertical="center" wrapText="1"/>
    </xf>
    <xf numFmtId="0" fontId="21" fillId="5" borderId="10" xfId="2" applyFont="1" applyFill="1" applyBorder="1" applyAlignment="1">
      <alignment horizontal="left" vertical="center" wrapText="1"/>
    </xf>
    <xf numFmtId="18" fontId="16" fillId="5" borderId="10" xfId="2" applyNumberFormat="1" applyFont="1" applyFill="1" applyBorder="1" applyAlignment="1">
      <alignment horizontal="center" vertical="center" wrapText="1"/>
    </xf>
    <xf numFmtId="20" fontId="16" fillId="6" borderId="15" xfId="2" applyNumberFormat="1" applyFont="1" applyFill="1" applyBorder="1" applyAlignment="1">
      <alignment horizontal="center" vertical="center" wrapText="1"/>
    </xf>
    <xf numFmtId="0" fontId="20" fillId="0" borderId="12" xfId="2" applyFont="1" applyFill="1" applyBorder="1" applyAlignment="1">
      <alignment horizontal="center" vertical="center" wrapText="1"/>
    </xf>
    <xf numFmtId="0" fontId="20" fillId="0" borderId="1" xfId="1" applyFont="1" applyAlignment="1">
      <alignment horizontal="center" vertical="center" wrapText="1"/>
    </xf>
    <xf numFmtId="0" fontId="22" fillId="0" borderId="1" xfId="2" applyFont="1" applyAlignment="1">
      <alignment horizontal="center" vertical="center" wrapText="1"/>
    </xf>
    <xf numFmtId="0" fontId="22" fillId="6" borderId="1" xfId="2" applyFont="1" applyFill="1" applyAlignment="1">
      <alignment horizontal="center" vertical="center" wrapText="1"/>
    </xf>
    <xf numFmtId="0" fontId="22" fillId="0" borderId="1" xfId="2" applyFont="1" applyAlignment="1">
      <alignment horizontal="left" vertical="center" wrapText="1"/>
    </xf>
    <xf numFmtId="0" fontId="21" fillId="0" borderId="1" xfId="2" applyFont="1" applyAlignment="1">
      <alignment horizontal="center" vertical="center" wrapText="1"/>
    </xf>
    <xf numFmtId="0" fontId="13" fillId="0" borderId="22" xfId="1" applyFont="1" applyBorder="1" applyAlignment="1">
      <alignment horizontal="center" vertical="center" wrapText="1"/>
    </xf>
    <xf numFmtId="0" fontId="11" fillId="0" borderId="1" xfId="1" applyFont="1" applyAlignment="1">
      <alignment horizontal="center" vertical="center" textRotation="90" wrapText="1"/>
    </xf>
    <xf numFmtId="0" fontId="13" fillId="0" borderId="1" xfId="1" applyFont="1" applyAlignment="1">
      <alignment horizontal="center" vertical="center" textRotation="90" wrapText="1"/>
    </xf>
    <xf numFmtId="0" fontId="3" fillId="0" borderId="1" xfId="3"/>
    <xf numFmtId="0" fontId="23" fillId="0" borderId="1" xfId="3" applyFont="1" applyAlignment="1">
      <alignment horizontal="right" vertical="center"/>
    </xf>
    <xf numFmtId="0" fontId="23" fillId="0" borderId="1" xfId="3" applyFont="1" applyAlignment="1">
      <alignment vertical="center"/>
    </xf>
    <xf numFmtId="0" fontId="23" fillId="0" borderId="1" xfId="3" applyFont="1" applyBorder="1" applyAlignment="1">
      <alignment horizontal="right" vertical="center"/>
    </xf>
    <xf numFmtId="0" fontId="23" fillId="0" borderId="1" xfId="3" applyFont="1" applyBorder="1" applyAlignment="1">
      <alignment vertical="center"/>
    </xf>
    <xf numFmtId="0" fontId="3" fillId="0" borderId="1" xfId="3" applyAlignment="1">
      <alignment horizontal="center"/>
    </xf>
    <xf numFmtId="0" fontId="3" fillId="0" borderId="9" xfId="3" applyBorder="1" applyAlignment="1">
      <alignment horizontal="center"/>
    </xf>
    <xf numFmtId="0" fontId="3" fillId="0" borderId="9" xfId="3" applyBorder="1"/>
    <xf numFmtId="0" fontId="3" fillId="7" borderId="9" xfId="3" applyFill="1" applyBorder="1" applyAlignment="1">
      <alignment horizontal="center"/>
    </xf>
    <xf numFmtId="0" fontId="3" fillId="0" borderId="9" xfId="3" applyBorder="1" applyAlignment="1">
      <alignment horizontal="left"/>
    </xf>
    <xf numFmtId="0" fontId="26" fillId="0" borderId="9" xfId="3" applyFont="1" applyBorder="1" applyAlignment="1">
      <alignment horizontal="left"/>
    </xf>
    <xf numFmtId="0" fontId="3" fillId="0" borderId="9" xfId="3" applyBorder="1" applyAlignment="1">
      <alignment wrapText="1"/>
    </xf>
    <xf numFmtId="0" fontId="26" fillId="7" borderId="9" xfId="3" applyFont="1" applyFill="1" applyBorder="1" applyAlignment="1"/>
    <xf numFmtId="0" fontId="3" fillId="7" borderId="9" xfId="3" applyFill="1" applyBorder="1"/>
    <xf numFmtId="0" fontId="3" fillId="0" borderId="9" xfId="3" applyBorder="1" applyAlignment="1">
      <alignment horizontal="center"/>
    </xf>
    <xf numFmtId="0" fontId="21" fillId="5" borderId="16" xfId="2" applyFont="1" applyFill="1" applyBorder="1" applyAlignment="1">
      <alignment horizontal="center" vertical="center" wrapText="1"/>
    </xf>
    <xf numFmtId="0" fontId="21" fillId="5" borderId="15" xfId="2" applyFont="1" applyFill="1" applyBorder="1" applyAlignment="1">
      <alignment horizontal="center" vertical="center" wrapText="1"/>
    </xf>
    <xf numFmtId="0" fontId="21" fillId="5" borderId="20" xfId="2" applyFont="1" applyFill="1" applyBorder="1" applyAlignment="1">
      <alignment horizontal="center" vertical="center" wrapText="1"/>
    </xf>
    <xf numFmtId="0" fontId="21" fillId="5" borderId="21" xfId="2" applyFont="1" applyFill="1" applyBorder="1" applyAlignment="1">
      <alignment horizontal="center" vertical="center" wrapText="1"/>
    </xf>
    <xf numFmtId="0" fontId="21" fillId="5" borderId="13" xfId="2" applyFont="1" applyFill="1" applyBorder="1" applyAlignment="1">
      <alignment horizontal="center" vertical="center" wrapText="1"/>
    </xf>
    <xf numFmtId="0" fontId="3" fillId="5" borderId="1" xfId="3" applyFill="1" applyBorder="1"/>
    <xf numFmtId="0" fontId="0" fillId="5" borderId="1" xfId="0" applyFont="1" applyFill="1" applyBorder="1" applyAlignment="1"/>
    <xf numFmtId="0" fontId="0" fillId="5" borderId="0" xfId="0" applyFont="1" applyFill="1" applyAlignment="1"/>
    <xf numFmtId="0" fontId="23" fillId="5" borderId="1" xfId="3" applyFont="1" applyFill="1" applyBorder="1" applyAlignment="1">
      <alignment horizontal="right" vertical="center"/>
    </xf>
    <xf numFmtId="0" fontId="3" fillId="5" borderId="1" xfId="3" applyFill="1" applyBorder="1" applyAlignment="1">
      <alignment horizontal="center"/>
    </xf>
    <xf numFmtId="0" fontId="0" fillId="5" borderId="19" xfId="0" applyFont="1" applyFill="1" applyBorder="1" applyAlignment="1"/>
    <xf numFmtId="0" fontId="0" fillId="5" borderId="9" xfId="0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center" vertical="center"/>
    </xf>
    <xf numFmtId="20" fontId="22" fillId="5" borderId="13" xfId="2" applyNumberFormat="1" applyFont="1" applyFill="1" applyBorder="1" applyAlignment="1">
      <alignment horizontal="center" vertical="center" wrapText="1"/>
    </xf>
    <xf numFmtId="18" fontId="22" fillId="5" borderId="13" xfId="2" applyNumberFormat="1" applyFont="1" applyFill="1" applyBorder="1" applyAlignment="1">
      <alignment horizontal="center" vertical="center" wrapText="1"/>
    </xf>
    <xf numFmtId="0" fontId="22" fillId="5" borderId="15" xfId="2" applyFont="1" applyFill="1" applyBorder="1" applyAlignment="1">
      <alignment horizontal="center" vertical="center" wrapText="1"/>
    </xf>
    <xf numFmtId="18" fontId="22" fillId="5" borderId="15" xfId="2" applyNumberFormat="1" applyFont="1" applyFill="1" applyBorder="1" applyAlignment="1">
      <alignment horizontal="center" vertical="center" wrapText="1"/>
    </xf>
    <xf numFmtId="0" fontId="20" fillId="5" borderId="18" xfId="2" applyFont="1" applyFill="1" applyBorder="1" applyAlignment="1">
      <alignment horizontal="center" vertical="center" wrapText="1"/>
    </xf>
    <xf numFmtId="20" fontId="16" fillId="5" borderId="9" xfId="2" applyNumberFormat="1" applyFont="1" applyFill="1" applyBorder="1" applyAlignment="1">
      <alignment horizontal="center" vertical="center" wrapText="1"/>
    </xf>
    <xf numFmtId="0" fontId="16" fillId="5" borderId="19" xfId="2" applyFont="1" applyFill="1" applyBorder="1" applyAlignment="1">
      <alignment horizontal="center" vertical="center" wrapText="1"/>
    </xf>
    <xf numFmtId="18" fontId="16" fillId="5" borderId="19" xfId="2" applyNumberFormat="1" applyFont="1" applyFill="1" applyBorder="1" applyAlignment="1">
      <alignment horizontal="center" vertical="center" wrapText="1"/>
    </xf>
    <xf numFmtId="20" fontId="16" fillId="5" borderId="15" xfId="2" applyNumberFormat="1" applyFont="1" applyFill="1" applyBorder="1" applyAlignment="1">
      <alignment horizontal="center" vertical="center" wrapText="1"/>
    </xf>
    <xf numFmtId="0" fontId="30" fillId="8" borderId="0" xfId="0" applyFont="1" applyFill="1" applyAlignment="1"/>
    <xf numFmtId="0" fontId="28" fillId="8" borderId="0" xfId="0" applyFont="1" applyFill="1" applyAlignment="1"/>
    <xf numFmtId="0" fontId="29" fillId="0" borderId="0" xfId="0" applyFont="1" applyAlignment="1">
      <alignment horizontal="left"/>
    </xf>
    <xf numFmtId="0" fontId="0" fillId="9" borderId="0" xfId="0" applyFont="1" applyFill="1" applyAlignment="1"/>
    <xf numFmtId="0" fontId="28" fillId="8" borderId="0" xfId="0" applyFont="1" applyFill="1" applyAlignment="1">
      <alignment horizontal="left"/>
    </xf>
    <xf numFmtId="0" fontId="32" fillId="0" borderId="0" xfId="0" applyFont="1" applyAlignment="1"/>
    <xf numFmtId="0" fontId="33" fillId="9" borderId="0" xfId="0" applyFont="1" applyFill="1" applyAlignment="1">
      <alignment vertical="center"/>
    </xf>
    <xf numFmtId="0" fontId="36" fillId="9" borderId="0" xfId="0" applyFont="1" applyFill="1" applyAlignment="1">
      <alignment vertical="center" wrapText="1"/>
    </xf>
    <xf numFmtId="0" fontId="35" fillId="9" borderId="1" xfId="3" applyFont="1" applyFill="1" applyAlignment="1">
      <alignment horizontal="right" vertical="center" wrapText="1"/>
    </xf>
    <xf numFmtId="0" fontId="35" fillId="9" borderId="1" xfId="3" applyFont="1" applyFill="1" applyBorder="1" applyAlignment="1">
      <alignment horizontal="right" vertical="center" wrapText="1"/>
    </xf>
    <xf numFmtId="0" fontId="30" fillId="8" borderId="0" xfId="0" applyFont="1" applyFill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28" fillId="8" borderId="0" xfId="0" applyNumberFormat="1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32" fillId="0" borderId="0" xfId="0" applyNumberFormat="1" applyFont="1" applyAlignment="1">
      <alignment horizontal="center" vertical="center"/>
    </xf>
    <xf numFmtId="164" fontId="31" fillId="0" borderId="0" xfId="0" applyNumberFormat="1" applyFont="1"/>
    <xf numFmtId="164" fontId="1" fillId="0" borderId="0" xfId="0" applyNumberFormat="1" applyFont="1"/>
    <xf numFmtId="0" fontId="37" fillId="8" borderId="0" xfId="0" applyFont="1" applyFill="1" applyAlignment="1"/>
    <xf numFmtId="0" fontId="34" fillId="0" borderId="0" xfId="0" applyFont="1" applyAlignment="1">
      <alignment horizontal="left"/>
    </xf>
    <xf numFmtId="0" fontId="34" fillId="0" borderId="0" xfId="0" applyFont="1" applyAlignment="1"/>
    <xf numFmtId="0" fontId="37" fillId="8" borderId="0" xfId="0" applyFont="1" applyFill="1" applyAlignment="1">
      <alignment horizontal="left"/>
    </xf>
    <xf numFmtId="19" fontId="34" fillId="0" borderId="0" xfId="0" applyNumberFormat="1" applyFont="1" applyAlignment="1">
      <alignment horizontal="left"/>
    </xf>
    <xf numFmtId="0" fontId="33" fillId="9" borderId="1" xfId="0" applyFont="1" applyFill="1" applyBorder="1" applyAlignment="1">
      <alignment horizontal="center" vertical="center"/>
    </xf>
    <xf numFmtId="0" fontId="3" fillId="0" borderId="9" xfId="3" applyBorder="1" applyAlignment="1">
      <alignment horizontal="center"/>
    </xf>
    <xf numFmtId="0" fontId="25" fillId="0" borderId="9" xfId="3" applyFont="1" applyBorder="1" applyAlignment="1">
      <alignment horizontal="center" vertical="center"/>
    </xf>
    <xf numFmtId="0" fontId="24" fillId="0" borderId="9" xfId="3" applyFont="1" applyBorder="1" applyAlignment="1">
      <alignment horizontal="center"/>
    </xf>
    <xf numFmtId="0" fontId="14" fillId="0" borderId="1" xfId="2" applyFont="1" applyFill="1" applyAlignment="1">
      <alignment horizontal="center" vertical="center" wrapText="1"/>
    </xf>
    <xf numFmtId="0" fontId="15" fillId="0" borderId="1" xfId="2" applyFont="1" applyFill="1" applyAlignment="1">
      <alignment horizontal="right" vertical="center" wrapText="1"/>
    </xf>
    <xf numFmtId="0" fontId="17" fillId="5" borderId="9" xfId="2" applyFont="1" applyFill="1" applyBorder="1" applyAlignment="1">
      <alignment horizontal="center" vertical="center" wrapText="1"/>
    </xf>
    <xf numFmtId="0" fontId="17" fillId="5" borderId="10" xfId="2" applyFont="1" applyFill="1" applyBorder="1" applyAlignment="1">
      <alignment horizontal="center" vertic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9" fillId="5" borderId="11" xfId="1" applyFont="1" applyFill="1" applyBorder="1" applyAlignment="1">
      <alignment horizontal="center" vertical="center" textRotation="90" wrapText="1"/>
    </xf>
    <xf numFmtId="0" fontId="19" fillId="5" borderId="14" xfId="1" applyFont="1" applyFill="1" applyBorder="1" applyAlignment="1">
      <alignment horizontal="center" vertical="center" textRotation="90" wrapText="1"/>
    </xf>
    <xf numFmtId="0" fontId="19" fillId="5" borderId="17" xfId="1" applyFont="1" applyFill="1" applyBorder="1" applyAlignment="1">
      <alignment horizontal="center" vertical="center" textRotation="90" wrapText="1"/>
    </xf>
    <xf numFmtId="0" fontId="20" fillId="6" borderId="12" xfId="2" applyFont="1" applyFill="1" applyBorder="1" applyAlignment="1">
      <alignment horizontal="center" vertical="center" wrapText="1"/>
    </xf>
    <xf numFmtId="0" fontId="20" fillId="6" borderId="9" xfId="2" applyFont="1" applyFill="1" applyBorder="1" applyAlignment="1">
      <alignment horizontal="center" vertical="center" wrapText="1"/>
    </xf>
    <xf numFmtId="0" fontId="21" fillId="6" borderId="12" xfId="2" applyFont="1" applyFill="1" applyBorder="1" applyAlignment="1">
      <alignment horizontal="center" vertical="center" wrapText="1"/>
    </xf>
    <xf numFmtId="0" fontId="21" fillId="6" borderId="9" xfId="2" applyFont="1" applyFill="1" applyBorder="1" applyAlignment="1">
      <alignment horizontal="center" vertical="center" wrapText="1"/>
    </xf>
    <xf numFmtId="0" fontId="20" fillId="0" borderId="16" xfId="2" applyFont="1" applyFill="1" applyBorder="1" applyAlignment="1">
      <alignment horizontal="center" vertical="center" wrapText="1"/>
    </xf>
    <xf numFmtId="0" fontId="20" fillId="0" borderId="15" xfId="2" applyFont="1" applyFill="1" applyBorder="1" applyAlignment="1">
      <alignment horizontal="center" vertical="center" wrapText="1"/>
    </xf>
    <xf numFmtId="0" fontId="21" fillId="5" borderId="16" xfId="2" applyFont="1" applyFill="1" applyBorder="1" applyAlignment="1">
      <alignment horizontal="center" vertical="center" wrapText="1"/>
    </xf>
    <xf numFmtId="0" fontId="21" fillId="5" borderId="15" xfId="2" applyFont="1" applyFill="1" applyBorder="1" applyAlignment="1">
      <alignment horizontal="center" vertical="center" wrapText="1"/>
    </xf>
    <xf numFmtId="0" fontId="20" fillId="6" borderId="16" xfId="2" applyFont="1" applyFill="1" applyBorder="1" applyAlignment="1">
      <alignment horizontal="center" vertical="center" wrapText="1"/>
    </xf>
    <xf numFmtId="0" fontId="20" fillId="6" borderId="15" xfId="2" applyFont="1" applyFill="1" applyBorder="1" applyAlignment="1">
      <alignment horizontal="center" vertical="center" wrapText="1"/>
    </xf>
    <xf numFmtId="0" fontId="21" fillId="6" borderId="16" xfId="2" applyFont="1" applyFill="1" applyBorder="1" applyAlignment="1">
      <alignment horizontal="center" vertical="center" wrapText="1"/>
    </xf>
    <xf numFmtId="0" fontId="21" fillId="6" borderId="15" xfId="2" applyFont="1" applyFill="1" applyBorder="1" applyAlignment="1">
      <alignment horizontal="center" vertical="center" wrapText="1"/>
    </xf>
    <xf numFmtId="0" fontId="20" fillId="0" borderId="20" xfId="2" applyFont="1" applyFill="1" applyBorder="1" applyAlignment="1">
      <alignment horizontal="center" vertical="center" wrapText="1"/>
    </xf>
    <xf numFmtId="0" fontId="21" fillId="5" borderId="20" xfId="2" applyFont="1" applyFill="1" applyBorder="1" applyAlignment="1">
      <alignment horizontal="center" vertical="center" wrapText="1"/>
    </xf>
    <xf numFmtId="0" fontId="20" fillId="6" borderId="21" xfId="2" applyFont="1" applyFill="1" applyBorder="1" applyAlignment="1">
      <alignment horizontal="center" vertical="center" wrapText="1"/>
    </xf>
    <xf numFmtId="0" fontId="21" fillId="6" borderId="16" xfId="1" applyFont="1" applyFill="1" applyBorder="1" applyAlignment="1">
      <alignment horizontal="center" vertical="center" wrapText="1"/>
    </xf>
    <xf numFmtId="0" fontId="21" fillId="6" borderId="21" xfId="1" applyFont="1" applyFill="1" applyBorder="1" applyAlignment="1">
      <alignment horizontal="center" vertical="center" wrapText="1"/>
    </xf>
    <xf numFmtId="0" fontId="19" fillId="5" borderId="11" xfId="2" applyFont="1" applyFill="1" applyBorder="1" applyAlignment="1">
      <alignment horizontal="center" vertical="center" textRotation="90" wrapText="1"/>
    </xf>
    <xf numFmtId="0" fontId="19" fillId="5" borderId="14" xfId="2" applyFont="1" applyFill="1" applyBorder="1" applyAlignment="1">
      <alignment horizontal="center" vertical="center" textRotation="90" wrapText="1"/>
    </xf>
    <xf numFmtId="0" fontId="19" fillId="5" borderId="17" xfId="2" applyFont="1" applyFill="1" applyBorder="1" applyAlignment="1">
      <alignment horizontal="center" vertical="center" textRotation="90" wrapText="1"/>
    </xf>
    <xf numFmtId="0" fontId="20" fillId="0" borderId="21" xfId="2" applyFont="1" applyFill="1" applyBorder="1" applyAlignment="1">
      <alignment horizontal="center" vertical="center" wrapText="1"/>
    </xf>
    <xf numFmtId="0" fontId="21" fillId="5" borderId="21" xfId="2" applyFont="1" applyFill="1" applyBorder="1" applyAlignment="1">
      <alignment horizontal="center" vertical="center" wrapText="1"/>
    </xf>
    <xf numFmtId="0" fontId="20" fillId="5" borderId="13" xfId="2" applyFont="1" applyFill="1" applyBorder="1" applyAlignment="1">
      <alignment horizontal="center" vertical="center" wrapText="1"/>
    </xf>
    <xf numFmtId="0" fontId="20" fillId="5" borderId="15" xfId="2" applyFont="1" applyFill="1" applyBorder="1" applyAlignment="1">
      <alignment horizontal="center" vertical="center" wrapText="1"/>
    </xf>
    <xf numFmtId="0" fontId="21" fillId="5" borderId="13" xfId="2" applyFont="1" applyFill="1" applyBorder="1" applyAlignment="1">
      <alignment horizontal="center" vertical="center" wrapText="1"/>
    </xf>
    <xf numFmtId="0" fontId="21" fillId="6" borderId="15" xfId="1" applyFont="1" applyFill="1" applyBorder="1" applyAlignment="1">
      <alignment horizontal="center" vertical="center" wrapText="1"/>
    </xf>
    <xf numFmtId="0" fontId="20" fillId="5" borderId="16" xfId="2" applyFont="1" applyFill="1" applyBorder="1" applyAlignment="1">
      <alignment horizontal="center" vertical="center" wrapText="1"/>
    </xf>
    <xf numFmtId="0" fontId="20" fillId="5" borderId="21" xfId="2" applyFont="1" applyFill="1" applyBorder="1" applyAlignment="1">
      <alignment horizontal="center" vertical="center" wrapText="1"/>
    </xf>
    <xf numFmtId="0" fontId="20" fillId="5" borderId="12" xfId="2" applyFont="1" applyFill="1" applyBorder="1" applyAlignment="1">
      <alignment horizontal="center" vertical="center" wrapText="1"/>
    </xf>
    <xf numFmtId="0" fontId="20" fillId="5" borderId="9" xfId="2" applyFont="1" applyFill="1" applyBorder="1" applyAlignment="1">
      <alignment horizontal="center" vertical="center" wrapText="1"/>
    </xf>
    <xf numFmtId="0" fontId="20" fillId="5" borderId="20" xfId="2" applyFont="1" applyFill="1" applyBorder="1" applyAlignment="1">
      <alignment horizontal="center" vertical="center" wrapText="1"/>
    </xf>
    <xf numFmtId="0" fontId="21" fillId="5" borderId="16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7" fillId="5" borderId="9" xfId="3" applyFont="1" applyFill="1" applyBorder="1" applyAlignment="1">
      <alignment horizontal="center" vertical="center" wrapText="1"/>
    </xf>
    <xf numFmtId="0" fontId="0" fillId="5" borderId="19" xfId="0" applyFont="1" applyFill="1" applyBorder="1" applyAlignment="1">
      <alignment horizontal="center"/>
    </xf>
    <xf numFmtId="0" fontId="21" fillId="5" borderId="15" xfId="1" applyFont="1" applyFill="1" applyBorder="1" applyAlignment="1">
      <alignment horizontal="center" vertical="center" wrapText="1"/>
    </xf>
    <xf numFmtId="0" fontId="21" fillId="5" borderId="12" xfId="2" applyFont="1" applyFill="1" applyBorder="1" applyAlignment="1">
      <alignment horizontal="center" vertical="center" wrapText="1"/>
    </xf>
    <xf numFmtId="0" fontId="21" fillId="5" borderId="9" xfId="2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 4" xfId="3"/>
  </cellStyles>
  <dxfs count="18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rgb="FF7030A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rgb="FF7030A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color theme="0"/>
      </font>
      <fill>
        <patternFill patternType="solid">
          <fgColor indexed="64"/>
          <bgColor rgb="FF7030A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rgb="FF7030A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[DISTRITALES TDV1.xlsx]TD!TablaDinámica1</c:name>
    <c:fmtId val="0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solidFill>
              <a:srgbClr val="0070C0"/>
            </a:solidFill>
          </a:ln>
          <a:effectLst/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TD!$A$31:$A$42</c:f>
              <c:strCache>
                <c:ptCount val="11"/>
                <c:pt idx="0">
                  <c:v>BAFLE</c:v>
                </c:pt>
                <c:pt idx="1">
                  <c:v>BOTIQUIN</c:v>
                </c:pt>
                <c:pt idx="2">
                  <c:v>CAMARA DIGITAL</c:v>
                </c:pt>
                <c:pt idx="3">
                  <c:v>ENGARGOLADORA</c:v>
                </c:pt>
                <c:pt idx="4">
                  <c:v>EQUIPO DE PERIFONEO</c:v>
                </c:pt>
                <c:pt idx="5">
                  <c:v>GRABADORA</c:v>
                </c:pt>
                <c:pt idx="6">
                  <c:v>LAMPARA DE EMERGENCIA CHICA</c:v>
                </c:pt>
                <c:pt idx="7">
                  <c:v>LAMPARA DE EMERGENCIA GRANDE</c:v>
                </c:pt>
                <c:pt idx="8">
                  <c:v>RECEPTOR</c:v>
                </c:pt>
                <c:pt idx="9">
                  <c:v>TAJALAPIZ</c:v>
                </c:pt>
                <c:pt idx="10">
                  <c:v>TELEFONOS</c:v>
                </c:pt>
              </c:strCache>
            </c:strRef>
          </c:cat>
          <c:val>
            <c:numRef>
              <c:f>TD!$B$31:$B$42</c:f>
              <c:numCache>
                <c:formatCode>General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29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7-4134-BDCA-EDBAA53420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22338672"/>
        <c:axId val="1722348656"/>
      </c:barChart>
      <c:catAx>
        <c:axId val="172233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s-MX"/>
          </a:p>
        </c:txPr>
        <c:crossAx val="1722348656"/>
        <c:crosses val="autoZero"/>
        <c:auto val="1"/>
        <c:lblAlgn val="ctr"/>
        <c:lblOffset val="100"/>
        <c:noMultiLvlLbl val="0"/>
      </c:catAx>
      <c:valAx>
        <c:axId val="172234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233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[DISTRITALES TDV1.xlsx]TD!TablaDinámica5</c:name>
    <c:fmtId val="1"/>
  </c:pivotSource>
  <c:chart>
    <c:autoTitleDeleted val="1"/>
    <c:pivotFmts>
      <c:pivotFmt>
        <c:idx val="0"/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TD!$B$19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TD!$A$20:$A$27</c:f>
              <c:strCache>
                <c:ptCount val="7"/>
                <c:pt idx="0">
                  <c:v>Amecameca de juarez</c:v>
                </c:pt>
                <c:pt idx="1">
                  <c:v>CD. Nezahualcoyotl</c:v>
                </c:pt>
                <c:pt idx="2">
                  <c:v>Chimaihuacan</c:v>
                </c:pt>
                <c:pt idx="3">
                  <c:v>Chimalhuacan</c:v>
                </c:pt>
                <c:pt idx="4">
                  <c:v>Ixtapaluca</c:v>
                </c:pt>
                <c:pt idx="5">
                  <c:v>Los Reyes Acaquilpan</c:v>
                </c:pt>
                <c:pt idx="6">
                  <c:v>Naucalpan de Juarez</c:v>
                </c:pt>
              </c:strCache>
            </c:strRef>
          </c:cat>
          <c:val>
            <c:numRef>
              <c:f>TD!$B$20:$B$27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17</c:v>
                </c:pt>
                <c:pt idx="3">
                  <c:v>13</c:v>
                </c:pt>
                <c:pt idx="4">
                  <c:v>13</c:v>
                </c:pt>
                <c:pt idx="5">
                  <c:v>17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2-4FE5-8E47-B5D8E09D48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71011600"/>
        <c:axId val="1770985808"/>
      </c:barChart>
      <c:catAx>
        <c:axId val="177101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0985808"/>
        <c:crosses val="autoZero"/>
        <c:auto val="1"/>
        <c:lblAlgn val="ctr"/>
        <c:lblOffset val="100"/>
        <c:noMultiLvlLbl val="0"/>
      </c:catAx>
      <c:valAx>
        <c:axId val="17709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7101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190501</xdr:colOff>
      <xdr:row>5</xdr:row>
      <xdr:rowOff>133351</xdr:rowOff>
    </xdr:from>
    <xdr:to>
      <xdr:col>7</xdr:col>
      <xdr:colOff>1447800</xdr:colOff>
      <xdr:row>85</xdr:row>
      <xdr:rowOff>127001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1600200</xdr:colOff>
      <xdr:row>5</xdr:row>
      <xdr:rowOff>104773</xdr:rowOff>
    </xdr:from>
    <xdr:to>
      <xdr:col>13</xdr:col>
      <xdr:colOff>3771900</xdr:colOff>
      <xdr:row>85</xdr:row>
      <xdr:rowOff>120649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40821</xdr:colOff>
      <xdr:row>0</xdr:row>
      <xdr:rowOff>0</xdr:rowOff>
    </xdr:from>
    <xdr:to>
      <xdr:col>3</xdr:col>
      <xdr:colOff>240393</xdr:colOff>
      <xdr:row>4</xdr:row>
      <xdr:rowOff>135018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3071" y="0"/>
          <a:ext cx="1564822" cy="1246268"/>
        </a:xfrm>
        <a:prstGeom prst="rect">
          <a:avLst/>
        </a:prstGeom>
      </xdr:spPr>
    </xdr:pic>
    <xdr:clientData/>
  </xdr:twoCellAnchor>
  <xdr:twoCellAnchor editAs="oneCell">
    <xdr:from>
      <xdr:col>14</xdr:col>
      <xdr:colOff>139700</xdr:colOff>
      <xdr:row>5</xdr:row>
      <xdr:rowOff>79375</xdr:rowOff>
    </xdr:from>
    <xdr:to>
      <xdr:col>17</xdr:col>
      <xdr:colOff>666749</xdr:colOff>
      <xdr:row>16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I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42350" y="1393825"/>
              <a:ext cx="2813049" cy="2949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161925</xdr:rowOff>
    </xdr:from>
    <xdr:ext cx="1104900" cy="542925"/>
    <xdr:pic>
      <xdr:nvPicPr>
        <xdr:cNvPr id="2" name="image1.png" descr="LOGO ieem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114301</xdr:rowOff>
    </xdr:from>
    <xdr:to>
      <xdr:col>1</xdr:col>
      <xdr:colOff>1428750</xdr:colOff>
      <xdr:row>4</xdr:row>
      <xdr:rowOff>136674</xdr:rowOff>
    </xdr:to>
    <xdr:pic>
      <xdr:nvPicPr>
        <xdr:cNvPr id="2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43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85725</xdr:colOff>
      <xdr:row>29</xdr:row>
      <xdr:rowOff>114301</xdr:rowOff>
    </xdr:from>
    <xdr:ext cx="1685925" cy="812948"/>
    <xdr:pic>
      <xdr:nvPicPr>
        <xdr:cNvPr id="3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3246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54</xdr:row>
      <xdr:rowOff>114301</xdr:rowOff>
    </xdr:from>
    <xdr:ext cx="1685925" cy="812948"/>
    <xdr:pic>
      <xdr:nvPicPr>
        <xdr:cNvPr id="4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5062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57150</xdr:colOff>
      <xdr:row>85</xdr:row>
      <xdr:rowOff>57151</xdr:rowOff>
    </xdr:from>
    <xdr:ext cx="1685925" cy="812948"/>
    <xdr:pic>
      <xdr:nvPicPr>
        <xdr:cNvPr id="5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79927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110</xdr:row>
      <xdr:rowOff>114301</xdr:rowOff>
    </xdr:from>
    <xdr:ext cx="1685925" cy="812948"/>
    <xdr:pic>
      <xdr:nvPicPr>
        <xdr:cNvPr id="6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32314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136</xdr:row>
      <xdr:rowOff>114301</xdr:rowOff>
    </xdr:from>
    <xdr:ext cx="1685925" cy="812948"/>
    <xdr:pic>
      <xdr:nvPicPr>
        <xdr:cNvPr id="7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7940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164</xdr:row>
      <xdr:rowOff>114301</xdr:rowOff>
    </xdr:from>
    <xdr:ext cx="1685925" cy="812948"/>
    <xdr:pic>
      <xdr:nvPicPr>
        <xdr:cNvPr id="8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47376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194</xdr:row>
      <xdr:rowOff>114301</xdr:rowOff>
    </xdr:from>
    <xdr:ext cx="1685925" cy="812948"/>
    <xdr:pic>
      <xdr:nvPicPr>
        <xdr:cNvPr id="9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11099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225</xdr:row>
      <xdr:rowOff>114301</xdr:rowOff>
    </xdr:from>
    <xdr:ext cx="1685925" cy="812948"/>
    <xdr:pic>
      <xdr:nvPicPr>
        <xdr:cNvPr id="10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76535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256</xdr:row>
      <xdr:rowOff>114301</xdr:rowOff>
    </xdr:from>
    <xdr:ext cx="1685925" cy="812948"/>
    <xdr:pic>
      <xdr:nvPicPr>
        <xdr:cNvPr id="11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42067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282</xdr:row>
      <xdr:rowOff>114301</xdr:rowOff>
    </xdr:from>
    <xdr:ext cx="1685925" cy="812948"/>
    <xdr:pic>
      <xdr:nvPicPr>
        <xdr:cNvPr id="12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97693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308</xdr:row>
      <xdr:rowOff>114301</xdr:rowOff>
    </xdr:from>
    <xdr:ext cx="1685925" cy="812948"/>
    <xdr:pic>
      <xdr:nvPicPr>
        <xdr:cNvPr id="13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5322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334</xdr:row>
      <xdr:rowOff>114301</xdr:rowOff>
    </xdr:from>
    <xdr:ext cx="1685925" cy="812948"/>
    <xdr:pic>
      <xdr:nvPicPr>
        <xdr:cNvPr id="14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708755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362</xdr:row>
      <xdr:rowOff>114301</xdr:rowOff>
    </xdr:from>
    <xdr:ext cx="1685925" cy="812948"/>
    <xdr:pic>
      <xdr:nvPicPr>
        <xdr:cNvPr id="15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768096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387</xdr:row>
      <xdr:rowOff>114301</xdr:rowOff>
    </xdr:from>
    <xdr:ext cx="1685925" cy="812948"/>
    <xdr:pic>
      <xdr:nvPicPr>
        <xdr:cNvPr id="16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19721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414</xdr:row>
      <xdr:rowOff>114301</xdr:rowOff>
    </xdr:from>
    <xdr:ext cx="1685925" cy="812948"/>
    <xdr:pic>
      <xdr:nvPicPr>
        <xdr:cNvPr id="17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77157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442</xdr:row>
      <xdr:rowOff>114301</xdr:rowOff>
    </xdr:from>
    <xdr:ext cx="1685925" cy="812948"/>
    <xdr:pic>
      <xdr:nvPicPr>
        <xdr:cNvPr id="18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36593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470</xdr:row>
      <xdr:rowOff>114301</xdr:rowOff>
    </xdr:from>
    <xdr:ext cx="1685925" cy="812948"/>
    <xdr:pic>
      <xdr:nvPicPr>
        <xdr:cNvPr id="19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96029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496</xdr:row>
      <xdr:rowOff>114301</xdr:rowOff>
    </xdr:from>
    <xdr:ext cx="1685925" cy="812948"/>
    <xdr:pic>
      <xdr:nvPicPr>
        <xdr:cNvPr id="20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049655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524</xdr:row>
      <xdr:rowOff>114301</xdr:rowOff>
    </xdr:from>
    <xdr:ext cx="1685925" cy="812948"/>
    <xdr:pic>
      <xdr:nvPicPr>
        <xdr:cNvPr id="21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09091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551</xdr:row>
      <xdr:rowOff>114301</xdr:rowOff>
    </xdr:from>
    <xdr:ext cx="1685925" cy="812948"/>
    <xdr:pic>
      <xdr:nvPicPr>
        <xdr:cNvPr id="22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66526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578</xdr:row>
      <xdr:rowOff>114301</xdr:rowOff>
    </xdr:from>
    <xdr:ext cx="1685925" cy="812948"/>
    <xdr:pic>
      <xdr:nvPicPr>
        <xdr:cNvPr id="23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223962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604</xdr:row>
      <xdr:rowOff>114301</xdr:rowOff>
    </xdr:from>
    <xdr:ext cx="1685925" cy="812948"/>
    <xdr:pic>
      <xdr:nvPicPr>
        <xdr:cNvPr id="24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279493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632</xdr:row>
      <xdr:rowOff>114301</xdr:rowOff>
    </xdr:from>
    <xdr:ext cx="1685925" cy="812948"/>
    <xdr:pic>
      <xdr:nvPicPr>
        <xdr:cNvPr id="25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338929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659</xdr:row>
      <xdr:rowOff>114301</xdr:rowOff>
    </xdr:from>
    <xdr:ext cx="1685925" cy="812948"/>
    <xdr:pic>
      <xdr:nvPicPr>
        <xdr:cNvPr id="26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396365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686</xdr:row>
      <xdr:rowOff>114301</xdr:rowOff>
    </xdr:from>
    <xdr:ext cx="1685925" cy="812948"/>
    <xdr:pic>
      <xdr:nvPicPr>
        <xdr:cNvPr id="27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4538007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713</xdr:row>
      <xdr:rowOff>114301</xdr:rowOff>
    </xdr:from>
    <xdr:ext cx="1685925" cy="812948"/>
    <xdr:pic>
      <xdr:nvPicPr>
        <xdr:cNvPr id="28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511236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740</xdr:row>
      <xdr:rowOff>114301</xdr:rowOff>
    </xdr:from>
    <xdr:ext cx="1685925" cy="812948"/>
    <xdr:pic>
      <xdr:nvPicPr>
        <xdr:cNvPr id="29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56867226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766</xdr:row>
      <xdr:rowOff>114301</xdr:rowOff>
    </xdr:from>
    <xdr:ext cx="1685925" cy="812948"/>
    <xdr:pic>
      <xdr:nvPicPr>
        <xdr:cNvPr id="30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24393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795</xdr:row>
      <xdr:rowOff>114301</xdr:rowOff>
    </xdr:from>
    <xdr:ext cx="1685925" cy="812948"/>
    <xdr:pic>
      <xdr:nvPicPr>
        <xdr:cNvPr id="31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820</xdr:row>
      <xdr:rowOff>114301</xdr:rowOff>
    </xdr:from>
    <xdr:ext cx="1685925" cy="812948"/>
    <xdr:pic>
      <xdr:nvPicPr>
        <xdr:cNvPr id="32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851</xdr:row>
      <xdr:rowOff>114301</xdr:rowOff>
    </xdr:from>
    <xdr:ext cx="1685925" cy="812948"/>
    <xdr:pic>
      <xdr:nvPicPr>
        <xdr:cNvPr id="33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876</xdr:row>
      <xdr:rowOff>114301</xdr:rowOff>
    </xdr:from>
    <xdr:ext cx="1685925" cy="812948"/>
    <xdr:pic>
      <xdr:nvPicPr>
        <xdr:cNvPr id="34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902</xdr:row>
      <xdr:rowOff>114301</xdr:rowOff>
    </xdr:from>
    <xdr:ext cx="1685925" cy="812948"/>
    <xdr:pic>
      <xdr:nvPicPr>
        <xdr:cNvPr id="35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928</xdr:row>
      <xdr:rowOff>114301</xdr:rowOff>
    </xdr:from>
    <xdr:ext cx="1685925" cy="812948"/>
    <xdr:pic>
      <xdr:nvPicPr>
        <xdr:cNvPr id="36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955</xdr:row>
      <xdr:rowOff>114301</xdr:rowOff>
    </xdr:from>
    <xdr:ext cx="1685925" cy="812948"/>
    <xdr:pic>
      <xdr:nvPicPr>
        <xdr:cNvPr id="37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982</xdr:row>
      <xdr:rowOff>114301</xdr:rowOff>
    </xdr:from>
    <xdr:ext cx="1685925" cy="812948"/>
    <xdr:pic>
      <xdr:nvPicPr>
        <xdr:cNvPr id="38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1009</xdr:row>
      <xdr:rowOff>114301</xdr:rowOff>
    </xdr:from>
    <xdr:ext cx="1685925" cy="812948"/>
    <xdr:pic>
      <xdr:nvPicPr>
        <xdr:cNvPr id="39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1035</xdr:row>
      <xdr:rowOff>114301</xdr:rowOff>
    </xdr:from>
    <xdr:ext cx="1685925" cy="812948"/>
    <xdr:pic>
      <xdr:nvPicPr>
        <xdr:cNvPr id="40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1061</xdr:row>
      <xdr:rowOff>114301</xdr:rowOff>
    </xdr:from>
    <xdr:ext cx="1685925" cy="812948"/>
    <xdr:pic>
      <xdr:nvPicPr>
        <xdr:cNvPr id="41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1087</xdr:row>
      <xdr:rowOff>114301</xdr:rowOff>
    </xdr:from>
    <xdr:ext cx="1685925" cy="812948"/>
    <xdr:pic>
      <xdr:nvPicPr>
        <xdr:cNvPr id="42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1113</xdr:row>
      <xdr:rowOff>114301</xdr:rowOff>
    </xdr:from>
    <xdr:ext cx="1685925" cy="812948"/>
    <xdr:pic>
      <xdr:nvPicPr>
        <xdr:cNvPr id="43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1140</xdr:row>
      <xdr:rowOff>114301</xdr:rowOff>
    </xdr:from>
    <xdr:ext cx="1685925" cy="812948"/>
    <xdr:pic>
      <xdr:nvPicPr>
        <xdr:cNvPr id="44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1166</xdr:row>
      <xdr:rowOff>114301</xdr:rowOff>
    </xdr:from>
    <xdr:ext cx="1685925" cy="812948"/>
    <xdr:pic>
      <xdr:nvPicPr>
        <xdr:cNvPr id="45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1193</xdr:row>
      <xdr:rowOff>114301</xdr:rowOff>
    </xdr:from>
    <xdr:ext cx="1685925" cy="812948"/>
    <xdr:pic>
      <xdr:nvPicPr>
        <xdr:cNvPr id="46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6857345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</xdr:colOff>
      <xdr:row>0</xdr:row>
      <xdr:rowOff>0</xdr:rowOff>
    </xdr:from>
    <xdr:to>
      <xdr:col>7</xdr:col>
      <xdr:colOff>8283</xdr:colOff>
      <xdr:row>2</xdr:row>
      <xdr:rowOff>16882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" y="0"/>
          <a:ext cx="7230719" cy="1340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114301</xdr:rowOff>
    </xdr:from>
    <xdr:to>
      <xdr:col>2</xdr:col>
      <xdr:colOff>342900</xdr:colOff>
      <xdr:row>4</xdr:row>
      <xdr:rowOff>165249</xdr:rowOff>
    </xdr:to>
    <xdr:pic>
      <xdr:nvPicPr>
        <xdr:cNvPr id="3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14301"/>
          <a:ext cx="1685925" cy="81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31</xdr:row>
      <xdr:rowOff>114301</xdr:rowOff>
    </xdr:from>
    <xdr:ext cx="1685925" cy="841523"/>
    <xdr:pic>
      <xdr:nvPicPr>
        <xdr:cNvPr id="4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1"/>
          <a:ext cx="1685925" cy="841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63</xdr:row>
      <xdr:rowOff>114301</xdr:rowOff>
    </xdr:from>
    <xdr:ext cx="1685925" cy="841523"/>
    <xdr:pic>
      <xdr:nvPicPr>
        <xdr:cNvPr id="5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1"/>
          <a:ext cx="1685925" cy="841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95</xdr:row>
      <xdr:rowOff>114301</xdr:rowOff>
    </xdr:from>
    <xdr:ext cx="1685925" cy="841523"/>
    <xdr:pic>
      <xdr:nvPicPr>
        <xdr:cNvPr id="6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1"/>
          <a:ext cx="1685925" cy="841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127</xdr:row>
      <xdr:rowOff>114301</xdr:rowOff>
    </xdr:from>
    <xdr:ext cx="1685925" cy="841523"/>
    <xdr:pic>
      <xdr:nvPicPr>
        <xdr:cNvPr id="7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1"/>
          <a:ext cx="1685925" cy="841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158</xdr:row>
      <xdr:rowOff>114301</xdr:rowOff>
    </xdr:from>
    <xdr:ext cx="1685925" cy="841523"/>
    <xdr:pic>
      <xdr:nvPicPr>
        <xdr:cNvPr id="8" name="Picture 1" descr="LOGO iee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1"/>
          <a:ext cx="1685925" cy="841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72\Archivos\JUNTAS%20DISTRITALES\Juntas%20Distrit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. Envio"/>
      <sheetName val="Hoja4"/>
      <sheetName val="Salid. Entrad. y Rep."/>
      <sheetName val="Extras 20-05-2024"/>
      <sheetName val="Hoja3"/>
      <sheetName val="Hoja2"/>
      <sheetName val="Art. Extras"/>
      <sheetName val="Cajas"/>
      <sheetName val="BD"/>
      <sheetName val="BASE"/>
      <sheetName val="Hoja1"/>
      <sheetName val="Actividades C.U"/>
      <sheetName val="J. Distri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1" t="str">
            <v>CLAVE</v>
          </cell>
          <cell r="D1" t="str">
            <v>DISTRITO</v>
          </cell>
        </row>
        <row r="2">
          <cell r="C2">
            <v>6001</v>
          </cell>
          <cell r="D2" t="str">
            <v>Chalco de Diaz Covarrubias</v>
          </cell>
        </row>
        <row r="3">
          <cell r="C3">
            <v>6001</v>
          </cell>
          <cell r="D3" t="str">
            <v>Chalco de Diaz Covarrubias</v>
          </cell>
        </row>
        <row r="4">
          <cell r="C4">
            <v>6001</v>
          </cell>
          <cell r="D4" t="str">
            <v>Chalco de Diaz Covarrubias</v>
          </cell>
        </row>
        <row r="5">
          <cell r="C5">
            <v>6001</v>
          </cell>
          <cell r="D5" t="str">
            <v>Chalco de Diaz Covarrubias</v>
          </cell>
        </row>
        <row r="6">
          <cell r="C6">
            <v>6001</v>
          </cell>
          <cell r="D6" t="str">
            <v>Chalco de Diaz Covarrubias</v>
          </cell>
        </row>
        <row r="7">
          <cell r="C7">
            <v>6001</v>
          </cell>
          <cell r="D7" t="str">
            <v>Chalco de Diaz Covarrubias</v>
          </cell>
        </row>
        <row r="8">
          <cell r="C8">
            <v>6001</v>
          </cell>
          <cell r="D8" t="str">
            <v>Chalco de Diaz Covarrubias</v>
          </cell>
        </row>
        <row r="9">
          <cell r="C9">
            <v>6001</v>
          </cell>
          <cell r="D9" t="str">
            <v>Chalco de Diaz Covarrubias</v>
          </cell>
        </row>
        <row r="10">
          <cell r="C10">
            <v>6001</v>
          </cell>
          <cell r="D10" t="str">
            <v>Chalco de Diaz Covarrubias</v>
          </cell>
        </row>
        <row r="11">
          <cell r="C11">
            <v>6001</v>
          </cell>
          <cell r="D11" t="str">
            <v>Chalco de Diaz Covarrubias</v>
          </cell>
        </row>
        <row r="12">
          <cell r="C12">
            <v>6001</v>
          </cell>
          <cell r="D12" t="str">
            <v>Chalco de Diaz Covarrubias</v>
          </cell>
        </row>
        <row r="13">
          <cell r="C13">
            <v>6001</v>
          </cell>
          <cell r="D13" t="str">
            <v>Chalco de Diaz Covarrubias</v>
          </cell>
        </row>
        <row r="14">
          <cell r="C14">
            <v>6001</v>
          </cell>
          <cell r="D14" t="str">
            <v>Chalco de Diaz Covarrubias</v>
          </cell>
        </row>
        <row r="15">
          <cell r="C15">
            <v>6002</v>
          </cell>
          <cell r="D15" t="str">
            <v>Toluca de Lerdo</v>
          </cell>
        </row>
        <row r="16">
          <cell r="C16">
            <v>6002</v>
          </cell>
          <cell r="D16" t="str">
            <v>Toluca de Lerdo</v>
          </cell>
        </row>
        <row r="17">
          <cell r="C17">
            <v>6002</v>
          </cell>
          <cell r="D17" t="str">
            <v>Toluca de Lerdo</v>
          </cell>
        </row>
        <row r="18">
          <cell r="C18">
            <v>6002</v>
          </cell>
          <cell r="D18" t="str">
            <v>Toluca de Lerdo</v>
          </cell>
        </row>
        <row r="19">
          <cell r="C19">
            <v>6002</v>
          </cell>
          <cell r="D19" t="str">
            <v>Toluca de Lerdo</v>
          </cell>
        </row>
        <row r="20">
          <cell r="C20">
            <v>6002</v>
          </cell>
          <cell r="D20" t="str">
            <v>Toluca de Lerdo</v>
          </cell>
        </row>
        <row r="21">
          <cell r="C21">
            <v>6002</v>
          </cell>
          <cell r="D21" t="str">
            <v>Toluca de Lerdo</v>
          </cell>
        </row>
        <row r="22">
          <cell r="C22">
            <v>6002</v>
          </cell>
          <cell r="D22" t="str">
            <v>Toluca de Lerdo</v>
          </cell>
        </row>
        <row r="23">
          <cell r="C23">
            <v>6002</v>
          </cell>
          <cell r="D23" t="str">
            <v>Toluca de Lerdo</v>
          </cell>
        </row>
        <row r="24">
          <cell r="C24">
            <v>6002</v>
          </cell>
          <cell r="D24" t="str">
            <v>Toluca de Lerdo</v>
          </cell>
        </row>
        <row r="25">
          <cell r="C25">
            <v>6002</v>
          </cell>
          <cell r="D25" t="str">
            <v>Toluca de Lerdo</v>
          </cell>
        </row>
        <row r="26">
          <cell r="C26">
            <v>6002</v>
          </cell>
          <cell r="D26" t="str">
            <v>Toluca de Lerdo</v>
          </cell>
        </row>
        <row r="27">
          <cell r="C27">
            <v>6003</v>
          </cell>
          <cell r="D27" t="str">
            <v>Chimaihuacan</v>
          </cell>
        </row>
        <row r="28">
          <cell r="C28">
            <v>6003</v>
          </cell>
          <cell r="D28" t="str">
            <v>Chimaihuacan</v>
          </cell>
        </row>
        <row r="29">
          <cell r="C29">
            <v>6003</v>
          </cell>
          <cell r="D29" t="str">
            <v>Chimaihuacan</v>
          </cell>
        </row>
        <row r="30">
          <cell r="C30">
            <v>6003</v>
          </cell>
          <cell r="D30" t="str">
            <v>Chimaihuacan</v>
          </cell>
        </row>
        <row r="31">
          <cell r="C31">
            <v>6003</v>
          </cell>
          <cell r="D31" t="str">
            <v>Chimaihuacan</v>
          </cell>
        </row>
        <row r="32">
          <cell r="C32">
            <v>6003</v>
          </cell>
          <cell r="D32" t="str">
            <v>Chimaihuacan</v>
          </cell>
        </row>
        <row r="33">
          <cell r="C33">
            <v>6003</v>
          </cell>
          <cell r="D33" t="str">
            <v>Chimaihuacan</v>
          </cell>
        </row>
        <row r="34">
          <cell r="C34">
            <v>6003</v>
          </cell>
          <cell r="D34" t="str">
            <v>Chimaihuacan</v>
          </cell>
        </row>
        <row r="35">
          <cell r="C35">
            <v>6003</v>
          </cell>
          <cell r="D35" t="str">
            <v>Chimaihuacan</v>
          </cell>
        </row>
        <row r="36">
          <cell r="C36">
            <v>6003</v>
          </cell>
          <cell r="D36" t="str">
            <v>Chimaihuacan</v>
          </cell>
        </row>
        <row r="37">
          <cell r="C37">
            <v>6003</v>
          </cell>
          <cell r="D37" t="str">
            <v>Chimaihuacan</v>
          </cell>
        </row>
        <row r="38">
          <cell r="C38">
            <v>6003</v>
          </cell>
          <cell r="D38" t="str">
            <v>Chimaihuacan</v>
          </cell>
        </row>
        <row r="39">
          <cell r="C39">
            <v>6003</v>
          </cell>
          <cell r="D39" t="str">
            <v>Chimaihuacan</v>
          </cell>
        </row>
        <row r="40">
          <cell r="C40">
            <v>6003</v>
          </cell>
          <cell r="D40" t="str">
            <v>Chimaihuacan</v>
          </cell>
        </row>
        <row r="41">
          <cell r="C41">
            <v>6003</v>
          </cell>
          <cell r="D41" t="str">
            <v>Chimaihuacan</v>
          </cell>
        </row>
        <row r="42">
          <cell r="C42">
            <v>6003</v>
          </cell>
          <cell r="D42" t="str">
            <v>Chimaihuacan</v>
          </cell>
        </row>
        <row r="43">
          <cell r="C43">
            <v>6003</v>
          </cell>
          <cell r="D43" t="str">
            <v>Chimaihuacan</v>
          </cell>
        </row>
        <row r="44">
          <cell r="C44">
            <v>6004</v>
          </cell>
          <cell r="D44" t="str">
            <v>Lerma de Villada</v>
          </cell>
        </row>
        <row r="45">
          <cell r="C45">
            <v>6004</v>
          </cell>
          <cell r="D45" t="str">
            <v>Lerma de Villada</v>
          </cell>
        </row>
        <row r="46">
          <cell r="C46">
            <v>6004</v>
          </cell>
          <cell r="D46" t="str">
            <v>Lerma de Villada</v>
          </cell>
        </row>
        <row r="47">
          <cell r="C47">
            <v>6004</v>
          </cell>
          <cell r="D47" t="str">
            <v>Lerma de Villada</v>
          </cell>
        </row>
        <row r="48">
          <cell r="C48">
            <v>6004</v>
          </cell>
          <cell r="D48" t="str">
            <v>Lerma de Villada</v>
          </cell>
        </row>
        <row r="49">
          <cell r="C49">
            <v>6004</v>
          </cell>
          <cell r="D49" t="str">
            <v>Lerma de Villada</v>
          </cell>
        </row>
        <row r="50">
          <cell r="C50">
            <v>6004</v>
          </cell>
          <cell r="D50" t="str">
            <v>Lerma de Villada</v>
          </cell>
        </row>
        <row r="51">
          <cell r="C51">
            <v>6004</v>
          </cell>
          <cell r="D51" t="str">
            <v>Lerma de Villada</v>
          </cell>
        </row>
        <row r="52">
          <cell r="C52">
            <v>6004</v>
          </cell>
          <cell r="D52" t="str">
            <v>Lerma de Villada</v>
          </cell>
        </row>
        <row r="53">
          <cell r="C53">
            <v>6004</v>
          </cell>
          <cell r="D53" t="str">
            <v>Lerma de Villada</v>
          </cell>
        </row>
        <row r="54">
          <cell r="C54">
            <v>6004</v>
          </cell>
          <cell r="D54" t="str">
            <v>Lerma de Villada</v>
          </cell>
        </row>
        <row r="55">
          <cell r="C55">
            <v>6004</v>
          </cell>
          <cell r="D55" t="str">
            <v>Lerma de Villada</v>
          </cell>
        </row>
        <row r="56">
          <cell r="C56">
            <v>6005</v>
          </cell>
          <cell r="D56" t="str">
            <v>Chimalhuacan</v>
          </cell>
        </row>
        <row r="57">
          <cell r="C57">
            <v>6005</v>
          </cell>
          <cell r="D57" t="str">
            <v>Chimalhuacan</v>
          </cell>
        </row>
        <row r="58">
          <cell r="C58">
            <v>6005</v>
          </cell>
          <cell r="D58" t="str">
            <v>Chimalhuacan</v>
          </cell>
        </row>
        <row r="59">
          <cell r="C59">
            <v>6005</v>
          </cell>
          <cell r="D59" t="str">
            <v>Chimalhuacan</v>
          </cell>
        </row>
        <row r="60">
          <cell r="C60">
            <v>6005</v>
          </cell>
          <cell r="D60" t="str">
            <v>Chimalhuacan</v>
          </cell>
        </row>
        <row r="61">
          <cell r="C61">
            <v>6005</v>
          </cell>
          <cell r="D61" t="str">
            <v>Chimalhuacan</v>
          </cell>
        </row>
        <row r="62">
          <cell r="C62">
            <v>6005</v>
          </cell>
          <cell r="D62" t="str">
            <v>Chimalhuacan</v>
          </cell>
        </row>
        <row r="63">
          <cell r="C63">
            <v>6005</v>
          </cell>
          <cell r="D63" t="str">
            <v>Chimalhuacan</v>
          </cell>
        </row>
        <row r="64">
          <cell r="C64">
            <v>6005</v>
          </cell>
          <cell r="D64" t="str">
            <v>Chimalhuacan</v>
          </cell>
        </row>
        <row r="65">
          <cell r="C65">
            <v>6005</v>
          </cell>
          <cell r="D65" t="str">
            <v>Chimalhuacan</v>
          </cell>
        </row>
        <row r="66">
          <cell r="C66">
            <v>6005</v>
          </cell>
          <cell r="D66" t="str">
            <v>Chimalhuacan</v>
          </cell>
        </row>
        <row r="67">
          <cell r="C67">
            <v>6005</v>
          </cell>
          <cell r="D67" t="str">
            <v>Chimalhuacan</v>
          </cell>
        </row>
        <row r="68">
          <cell r="C68">
            <v>6005</v>
          </cell>
          <cell r="D68" t="str">
            <v>Chimalhuacan</v>
          </cell>
        </row>
        <row r="69">
          <cell r="C69">
            <v>6006</v>
          </cell>
          <cell r="D69" t="str">
            <v>Ecatepec de Morelos</v>
          </cell>
        </row>
        <row r="70">
          <cell r="C70">
            <v>6006</v>
          </cell>
          <cell r="D70" t="str">
            <v>Ecatepec de Morelos</v>
          </cell>
        </row>
        <row r="71">
          <cell r="C71">
            <v>6006</v>
          </cell>
          <cell r="D71" t="str">
            <v>Ecatepec de Morelos</v>
          </cell>
        </row>
        <row r="72">
          <cell r="C72">
            <v>6006</v>
          </cell>
          <cell r="D72" t="str">
            <v>Ecatepec de Morelos</v>
          </cell>
        </row>
        <row r="73">
          <cell r="C73">
            <v>6006</v>
          </cell>
          <cell r="D73" t="str">
            <v>Ecatepec de Morelos</v>
          </cell>
        </row>
        <row r="74">
          <cell r="C74">
            <v>6006</v>
          </cell>
          <cell r="D74" t="str">
            <v>Ecatepec de Morelos</v>
          </cell>
        </row>
        <row r="75">
          <cell r="C75">
            <v>6006</v>
          </cell>
          <cell r="D75" t="str">
            <v>Ecatepec de Morelos</v>
          </cell>
        </row>
        <row r="76">
          <cell r="C76">
            <v>6006</v>
          </cell>
          <cell r="D76" t="str">
            <v>Ecatepec de Morelos</v>
          </cell>
        </row>
        <row r="77">
          <cell r="C77">
            <v>6006</v>
          </cell>
          <cell r="D77" t="str">
            <v>Ecatepec de Morelos</v>
          </cell>
        </row>
        <row r="78">
          <cell r="C78">
            <v>6006</v>
          </cell>
          <cell r="D78" t="str">
            <v>Ecatepec de Morelos</v>
          </cell>
        </row>
        <row r="79">
          <cell r="C79">
            <v>6006</v>
          </cell>
          <cell r="D79" t="str">
            <v>Ecatepec de Morelos</v>
          </cell>
        </row>
        <row r="80">
          <cell r="C80">
            <v>6006</v>
          </cell>
          <cell r="D80" t="str">
            <v>Ecatepec de Morelos</v>
          </cell>
        </row>
        <row r="81">
          <cell r="C81">
            <v>6006</v>
          </cell>
          <cell r="D81" t="str">
            <v>Ecatepec de Morelos</v>
          </cell>
        </row>
        <row r="82">
          <cell r="C82">
            <v>6007</v>
          </cell>
          <cell r="D82" t="str">
            <v>Tenancingo de Degollado</v>
          </cell>
        </row>
        <row r="83">
          <cell r="C83">
            <v>6007</v>
          </cell>
          <cell r="D83" t="str">
            <v>Tenancingo de Degollado</v>
          </cell>
        </row>
        <row r="84">
          <cell r="C84">
            <v>6007</v>
          </cell>
          <cell r="D84" t="str">
            <v>Tenancingo de Degollado</v>
          </cell>
        </row>
        <row r="85">
          <cell r="C85">
            <v>6007</v>
          </cell>
          <cell r="D85" t="str">
            <v>Tenancingo de Degollado</v>
          </cell>
        </row>
        <row r="86">
          <cell r="C86">
            <v>6007</v>
          </cell>
          <cell r="D86" t="str">
            <v>Tenancingo de Degollado</v>
          </cell>
        </row>
        <row r="87">
          <cell r="C87">
            <v>6007</v>
          </cell>
          <cell r="D87" t="str">
            <v>Tenancingo de Degollado</v>
          </cell>
        </row>
        <row r="88">
          <cell r="C88">
            <v>6007</v>
          </cell>
          <cell r="D88" t="str">
            <v>Tenancingo de Degollado</v>
          </cell>
        </row>
        <row r="89">
          <cell r="C89">
            <v>6007</v>
          </cell>
          <cell r="D89" t="str">
            <v>Tenancingo de Degollado</v>
          </cell>
        </row>
        <row r="90">
          <cell r="C90">
            <v>6007</v>
          </cell>
          <cell r="D90" t="str">
            <v>Tenancingo de Degollado</v>
          </cell>
        </row>
        <row r="91">
          <cell r="C91">
            <v>6007</v>
          </cell>
          <cell r="D91" t="str">
            <v>Tenancingo de Degollado</v>
          </cell>
        </row>
        <row r="92">
          <cell r="C92">
            <v>6007</v>
          </cell>
          <cell r="D92" t="str">
            <v>Tenancingo de Degollado</v>
          </cell>
        </row>
        <row r="93">
          <cell r="C93">
            <v>6007</v>
          </cell>
          <cell r="D93" t="str">
            <v>Tenancingo de Degollado</v>
          </cell>
        </row>
        <row r="94">
          <cell r="C94">
            <v>6007</v>
          </cell>
          <cell r="D94" t="str">
            <v>Tenancingo de Degollado</v>
          </cell>
        </row>
        <row r="95">
          <cell r="C95">
            <v>6007</v>
          </cell>
          <cell r="D95" t="str">
            <v>Tenancingo de Degollado</v>
          </cell>
        </row>
        <row r="96">
          <cell r="C96">
            <v>6007</v>
          </cell>
          <cell r="D96" t="str">
            <v>Tenancingo de Degollado</v>
          </cell>
        </row>
        <row r="97">
          <cell r="C97">
            <v>6008</v>
          </cell>
          <cell r="D97" t="str">
            <v>Ecatepec de Morelos</v>
          </cell>
        </row>
        <row r="98">
          <cell r="C98">
            <v>6008</v>
          </cell>
          <cell r="D98" t="str">
            <v>Ecatepec de Morelos</v>
          </cell>
        </row>
        <row r="99">
          <cell r="C99">
            <v>6008</v>
          </cell>
          <cell r="D99" t="str">
            <v>Ecatepec de Morelos</v>
          </cell>
        </row>
        <row r="100">
          <cell r="C100">
            <v>6008</v>
          </cell>
          <cell r="D100" t="str">
            <v>Ecatepec de Morelos</v>
          </cell>
        </row>
        <row r="101">
          <cell r="C101">
            <v>6008</v>
          </cell>
          <cell r="D101" t="str">
            <v>Ecatepec de Morelos</v>
          </cell>
        </row>
        <row r="102">
          <cell r="C102">
            <v>6008</v>
          </cell>
          <cell r="D102" t="str">
            <v>Ecatepec de Morelos</v>
          </cell>
        </row>
        <row r="103">
          <cell r="C103">
            <v>6008</v>
          </cell>
          <cell r="D103" t="str">
            <v>Ecatepec de Morelos</v>
          </cell>
        </row>
        <row r="104">
          <cell r="C104">
            <v>6008</v>
          </cell>
          <cell r="D104" t="str">
            <v>Ecatepec de Morelos</v>
          </cell>
        </row>
        <row r="105">
          <cell r="C105">
            <v>6008</v>
          </cell>
          <cell r="D105" t="str">
            <v>Ecatepec de Morelos</v>
          </cell>
        </row>
        <row r="106">
          <cell r="C106">
            <v>6008</v>
          </cell>
          <cell r="D106" t="str">
            <v>Ecatepec de Morelos</v>
          </cell>
        </row>
        <row r="107">
          <cell r="C107">
            <v>6008</v>
          </cell>
          <cell r="D107" t="str">
            <v>Ecatepec de Morelos</v>
          </cell>
        </row>
        <row r="108">
          <cell r="C108">
            <v>6008</v>
          </cell>
          <cell r="D108" t="str">
            <v>Ecatepec de Morelos</v>
          </cell>
        </row>
        <row r="109">
          <cell r="C109">
            <v>6008</v>
          </cell>
          <cell r="D109" t="str">
            <v>Ecatepec de Morelos</v>
          </cell>
        </row>
        <row r="110">
          <cell r="C110">
            <v>6008</v>
          </cell>
          <cell r="D110" t="str">
            <v>Ecatepec de Morelos</v>
          </cell>
        </row>
        <row r="111">
          <cell r="C111">
            <v>6008</v>
          </cell>
          <cell r="D111" t="str">
            <v>Ecatepec de Morelos</v>
          </cell>
        </row>
        <row r="112">
          <cell r="C112">
            <v>6008</v>
          </cell>
          <cell r="D112" t="str">
            <v>Ecatepec de Morelos</v>
          </cell>
        </row>
        <row r="113">
          <cell r="C113">
            <v>6009</v>
          </cell>
          <cell r="D113" t="str">
            <v>Tejupilco de Hidalgo</v>
          </cell>
        </row>
        <row r="114">
          <cell r="C114">
            <v>6009</v>
          </cell>
          <cell r="D114" t="str">
            <v>Tejupilco de Hidalgo</v>
          </cell>
        </row>
        <row r="115">
          <cell r="C115">
            <v>6009</v>
          </cell>
          <cell r="D115" t="str">
            <v>Tejupilco de Hidalgo</v>
          </cell>
        </row>
        <row r="116">
          <cell r="C116">
            <v>6009</v>
          </cell>
          <cell r="D116" t="str">
            <v>Tejupilco de Hidalgo</v>
          </cell>
        </row>
        <row r="117">
          <cell r="C117">
            <v>6009</v>
          </cell>
          <cell r="D117" t="str">
            <v>Tejupilco de Hidalgo</v>
          </cell>
        </row>
        <row r="118">
          <cell r="C118">
            <v>6009</v>
          </cell>
          <cell r="D118" t="str">
            <v>Tejupilco de Hidalgo</v>
          </cell>
        </row>
        <row r="119">
          <cell r="C119">
            <v>6009</v>
          </cell>
          <cell r="D119" t="str">
            <v>Tejupilco de Hidalgo</v>
          </cell>
        </row>
        <row r="120">
          <cell r="C120">
            <v>6009</v>
          </cell>
          <cell r="D120" t="str">
            <v>Tejupilco de Hidalgo</v>
          </cell>
        </row>
        <row r="121">
          <cell r="C121">
            <v>6009</v>
          </cell>
          <cell r="D121" t="str">
            <v>Tejupilco de Hidalgo</v>
          </cell>
        </row>
        <row r="122">
          <cell r="C122">
            <v>6009</v>
          </cell>
          <cell r="D122" t="str">
            <v>Tejupilco de Hidalgo</v>
          </cell>
        </row>
        <row r="123">
          <cell r="C123">
            <v>6009</v>
          </cell>
          <cell r="D123" t="str">
            <v>Tejupilco de Hidalgo</v>
          </cell>
        </row>
        <row r="124">
          <cell r="C124">
            <v>6009</v>
          </cell>
          <cell r="D124" t="str">
            <v>Tejupilco de Hidalgo</v>
          </cell>
        </row>
        <row r="125">
          <cell r="C125">
            <v>6009</v>
          </cell>
          <cell r="D125" t="str">
            <v>Tejupilco de Hidalgo</v>
          </cell>
        </row>
        <row r="126">
          <cell r="C126">
            <v>6009</v>
          </cell>
          <cell r="D126" t="str">
            <v>Tejupilco de Hidalgo</v>
          </cell>
        </row>
        <row r="127">
          <cell r="C127">
            <v>6010</v>
          </cell>
          <cell r="D127" t="str">
            <v>Valle de Bravo</v>
          </cell>
        </row>
        <row r="128">
          <cell r="C128">
            <v>6010</v>
          </cell>
          <cell r="D128" t="str">
            <v>Valle de Bravo</v>
          </cell>
        </row>
        <row r="129">
          <cell r="C129">
            <v>6010</v>
          </cell>
          <cell r="D129" t="str">
            <v>Valle de Bravo</v>
          </cell>
        </row>
        <row r="130">
          <cell r="C130">
            <v>6010</v>
          </cell>
          <cell r="D130" t="str">
            <v>Valle de Bravo</v>
          </cell>
        </row>
        <row r="131">
          <cell r="C131">
            <v>6010</v>
          </cell>
          <cell r="D131" t="str">
            <v>Valle de Bravo</v>
          </cell>
        </row>
        <row r="132">
          <cell r="C132">
            <v>6010</v>
          </cell>
          <cell r="D132" t="str">
            <v>Valle de Bravo</v>
          </cell>
        </row>
        <row r="133">
          <cell r="C133">
            <v>6010</v>
          </cell>
          <cell r="D133" t="str">
            <v>Valle de Bravo</v>
          </cell>
        </row>
        <row r="134">
          <cell r="C134">
            <v>6010</v>
          </cell>
          <cell r="D134" t="str">
            <v>Valle de Bravo</v>
          </cell>
        </row>
        <row r="135">
          <cell r="C135">
            <v>6010</v>
          </cell>
          <cell r="D135" t="str">
            <v>Valle de Bravo</v>
          </cell>
        </row>
        <row r="136">
          <cell r="C136">
            <v>6010</v>
          </cell>
          <cell r="D136" t="str">
            <v>Valle de Bravo</v>
          </cell>
        </row>
        <row r="137">
          <cell r="C137">
            <v>6010</v>
          </cell>
          <cell r="D137" t="str">
            <v>Valle de Bravo</v>
          </cell>
        </row>
        <row r="138">
          <cell r="C138">
            <v>6010</v>
          </cell>
          <cell r="D138" t="str">
            <v>Valle de Bravo</v>
          </cell>
        </row>
        <row r="139">
          <cell r="C139">
            <v>6010</v>
          </cell>
          <cell r="D139" t="str">
            <v>Valle de Bravo</v>
          </cell>
        </row>
        <row r="140">
          <cell r="C140">
            <v>6011</v>
          </cell>
          <cell r="D140" t="str">
            <v>Tultitlan de Mariano Escobedo</v>
          </cell>
        </row>
        <row r="141">
          <cell r="C141">
            <v>6011</v>
          </cell>
          <cell r="D141" t="str">
            <v>Tultitlan de Mariano Escobedo</v>
          </cell>
        </row>
        <row r="142">
          <cell r="C142">
            <v>6011</v>
          </cell>
          <cell r="D142" t="str">
            <v>Tultitlan de Mariano Escobedo</v>
          </cell>
        </row>
        <row r="143">
          <cell r="C143">
            <v>6011</v>
          </cell>
          <cell r="D143" t="str">
            <v>Tultitlan de Mariano Escobedo</v>
          </cell>
        </row>
        <row r="144">
          <cell r="C144">
            <v>6011</v>
          </cell>
          <cell r="D144" t="str">
            <v>Tultitlan de Mariano Escobedo</v>
          </cell>
        </row>
        <row r="145">
          <cell r="C145">
            <v>6011</v>
          </cell>
          <cell r="D145" t="str">
            <v>Tultitlan de Mariano Escobedo</v>
          </cell>
        </row>
        <row r="146">
          <cell r="C146">
            <v>6011</v>
          </cell>
          <cell r="D146" t="str">
            <v>Tultitlan de Mariano Escobedo</v>
          </cell>
        </row>
        <row r="147">
          <cell r="C147">
            <v>6011</v>
          </cell>
          <cell r="D147" t="str">
            <v>Tultitlan de Mariano Escobedo</v>
          </cell>
        </row>
        <row r="148">
          <cell r="C148">
            <v>6011</v>
          </cell>
          <cell r="D148" t="str">
            <v>Tultitlan de Mariano Escobedo</v>
          </cell>
        </row>
        <row r="149">
          <cell r="C149">
            <v>6011</v>
          </cell>
          <cell r="D149" t="str">
            <v>Tultitlan de Mariano Escobedo</v>
          </cell>
        </row>
        <row r="150">
          <cell r="C150">
            <v>6011</v>
          </cell>
          <cell r="D150" t="str">
            <v>Tultitlan de Mariano Escobedo</v>
          </cell>
        </row>
        <row r="151">
          <cell r="C151">
            <v>6011</v>
          </cell>
          <cell r="D151" t="str">
            <v>Tultitlan de Mariano Escobedo</v>
          </cell>
        </row>
        <row r="152">
          <cell r="C152">
            <v>6011</v>
          </cell>
          <cell r="D152" t="str">
            <v>Tultitlan de Mariano Escobedo</v>
          </cell>
        </row>
        <row r="153">
          <cell r="C153">
            <v>6012</v>
          </cell>
          <cell r="D153" t="str">
            <v>Teoloyucan</v>
          </cell>
        </row>
        <row r="154">
          <cell r="C154">
            <v>6012</v>
          </cell>
          <cell r="D154" t="str">
            <v>Teoloyucan</v>
          </cell>
        </row>
        <row r="155">
          <cell r="C155">
            <v>6012</v>
          </cell>
          <cell r="D155" t="str">
            <v>Teoloyucan</v>
          </cell>
        </row>
        <row r="156">
          <cell r="C156">
            <v>6012</v>
          </cell>
          <cell r="D156" t="str">
            <v>Teoloyucan</v>
          </cell>
        </row>
        <row r="157">
          <cell r="C157">
            <v>6012</v>
          </cell>
          <cell r="D157" t="str">
            <v>Teoloyucan</v>
          </cell>
        </row>
        <row r="158">
          <cell r="C158">
            <v>6012</v>
          </cell>
          <cell r="D158" t="str">
            <v>Teoloyucan</v>
          </cell>
        </row>
        <row r="159">
          <cell r="C159">
            <v>6012</v>
          </cell>
          <cell r="D159" t="str">
            <v>Teoloyucan</v>
          </cell>
        </row>
        <row r="160">
          <cell r="C160">
            <v>6012</v>
          </cell>
          <cell r="D160" t="str">
            <v>Teoloyucan</v>
          </cell>
        </row>
        <row r="161">
          <cell r="C161">
            <v>6012</v>
          </cell>
          <cell r="D161" t="str">
            <v>Teoloyucan</v>
          </cell>
        </row>
        <row r="162">
          <cell r="C162">
            <v>6012</v>
          </cell>
          <cell r="D162" t="str">
            <v>Teoloyucan</v>
          </cell>
        </row>
        <row r="163">
          <cell r="C163">
            <v>6012</v>
          </cell>
          <cell r="D163" t="str">
            <v>Teoloyucan</v>
          </cell>
        </row>
        <row r="164">
          <cell r="C164">
            <v>6012</v>
          </cell>
          <cell r="D164" t="str">
            <v>Teoloyucan</v>
          </cell>
        </row>
        <row r="165">
          <cell r="C165">
            <v>6012</v>
          </cell>
          <cell r="D165" t="str">
            <v>Teoloyucan</v>
          </cell>
        </row>
        <row r="166">
          <cell r="C166">
            <v>6013</v>
          </cell>
          <cell r="D166" t="str">
            <v>Atlacomulco de Fabela</v>
          </cell>
        </row>
        <row r="167">
          <cell r="C167">
            <v>6013</v>
          </cell>
          <cell r="D167" t="str">
            <v>Atlacomulco de Fabela</v>
          </cell>
        </row>
        <row r="168">
          <cell r="C168">
            <v>6013</v>
          </cell>
          <cell r="D168" t="str">
            <v>Atlacomulco de Fabela</v>
          </cell>
        </row>
        <row r="169">
          <cell r="C169">
            <v>6013</v>
          </cell>
          <cell r="D169" t="str">
            <v>Atlacomulco de Fabela</v>
          </cell>
        </row>
        <row r="170">
          <cell r="C170">
            <v>6013</v>
          </cell>
          <cell r="D170" t="str">
            <v>Atlacomulco de Fabela</v>
          </cell>
        </row>
        <row r="171">
          <cell r="C171">
            <v>6013</v>
          </cell>
          <cell r="D171" t="str">
            <v>Atlacomulco de Fabela</v>
          </cell>
        </row>
        <row r="172">
          <cell r="C172">
            <v>6013</v>
          </cell>
          <cell r="D172" t="str">
            <v>Atlacomulco de Fabela</v>
          </cell>
        </row>
        <row r="173">
          <cell r="C173">
            <v>6013</v>
          </cell>
          <cell r="D173" t="str">
            <v>Atlacomulco de Fabela</v>
          </cell>
        </row>
        <row r="174">
          <cell r="C174">
            <v>6013</v>
          </cell>
          <cell r="D174" t="str">
            <v>Atlacomulco de Fabela</v>
          </cell>
        </row>
        <row r="175">
          <cell r="C175">
            <v>6013</v>
          </cell>
          <cell r="D175" t="str">
            <v>Atlacomulco de Fabela</v>
          </cell>
        </row>
        <row r="176">
          <cell r="C176">
            <v>6013</v>
          </cell>
          <cell r="D176" t="str">
            <v>Atlacomulco de Fabela</v>
          </cell>
        </row>
        <row r="177">
          <cell r="C177">
            <v>6013</v>
          </cell>
          <cell r="D177" t="str">
            <v>Atlacomulco de Fabela</v>
          </cell>
        </row>
        <row r="178">
          <cell r="C178">
            <v>6013</v>
          </cell>
          <cell r="D178" t="str">
            <v>Atlacomulco de Fabela</v>
          </cell>
        </row>
        <row r="179">
          <cell r="C179">
            <v>6014</v>
          </cell>
          <cell r="D179" t="str">
            <v>Jilotepec de Andres Molina Enriquez</v>
          </cell>
        </row>
        <row r="180">
          <cell r="C180">
            <v>6014</v>
          </cell>
          <cell r="D180" t="str">
            <v>Jilotepec de Andres Molina Enriquez</v>
          </cell>
        </row>
        <row r="181">
          <cell r="C181">
            <v>6014</v>
          </cell>
          <cell r="D181" t="str">
            <v>Jilotepec de Andres Molina Enriquez</v>
          </cell>
        </row>
        <row r="182">
          <cell r="C182">
            <v>6014</v>
          </cell>
          <cell r="D182" t="str">
            <v>Jilotepec de Andres Molina Enriquez</v>
          </cell>
        </row>
        <row r="183">
          <cell r="C183">
            <v>6014</v>
          </cell>
          <cell r="D183" t="str">
            <v>Jilotepec de Andres Molina Enriquez</v>
          </cell>
        </row>
        <row r="184">
          <cell r="C184">
            <v>6014</v>
          </cell>
          <cell r="D184" t="str">
            <v>Jilotepec de Andres Molina Enriquez</v>
          </cell>
        </row>
        <row r="185">
          <cell r="C185">
            <v>6014</v>
          </cell>
          <cell r="D185" t="str">
            <v>Jilotepec de Andres Molina Enriquez</v>
          </cell>
        </row>
        <row r="186">
          <cell r="C186">
            <v>6014</v>
          </cell>
          <cell r="D186" t="str">
            <v>Jilotepec de Andres Molina Enriquez</v>
          </cell>
        </row>
        <row r="187">
          <cell r="C187">
            <v>6014</v>
          </cell>
          <cell r="D187" t="str">
            <v>Jilotepec de Andres Molina Enriquez</v>
          </cell>
        </row>
        <row r="188">
          <cell r="C188">
            <v>6014</v>
          </cell>
          <cell r="D188" t="str">
            <v>Jilotepec de Andres Molina Enriquez</v>
          </cell>
        </row>
        <row r="189">
          <cell r="C189">
            <v>6014</v>
          </cell>
          <cell r="D189" t="str">
            <v>Jilotepec de Andres Molina Enriquez</v>
          </cell>
        </row>
        <row r="190">
          <cell r="C190">
            <v>6015</v>
          </cell>
          <cell r="D190" t="str">
            <v>Ixtlahuaca de Rayon</v>
          </cell>
        </row>
        <row r="191">
          <cell r="C191">
            <v>6015</v>
          </cell>
          <cell r="D191" t="str">
            <v>Ixtlahuaca de Rayon</v>
          </cell>
        </row>
        <row r="192">
          <cell r="C192">
            <v>6015</v>
          </cell>
          <cell r="D192" t="str">
            <v>Ixtlahuaca de Rayon</v>
          </cell>
        </row>
        <row r="193">
          <cell r="C193">
            <v>6015</v>
          </cell>
          <cell r="D193" t="str">
            <v>Ixtlahuaca de Rayon</v>
          </cell>
        </row>
        <row r="194">
          <cell r="C194">
            <v>6015</v>
          </cell>
          <cell r="D194" t="str">
            <v>Ixtlahuaca de Rayon</v>
          </cell>
        </row>
        <row r="195">
          <cell r="C195">
            <v>6015</v>
          </cell>
          <cell r="D195" t="str">
            <v>Ixtlahuaca de Rayon</v>
          </cell>
        </row>
        <row r="196">
          <cell r="C196">
            <v>6015</v>
          </cell>
          <cell r="D196" t="str">
            <v>Ixtlahuaca de Rayon</v>
          </cell>
        </row>
        <row r="197">
          <cell r="C197">
            <v>6015</v>
          </cell>
          <cell r="D197" t="str">
            <v>Ixtlahuaca de Rayon</v>
          </cell>
        </row>
        <row r="198">
          <cell r="C198">
            <v>6015</v>
          </cell>
          <cell r="D198" t="str">
            <v>Ixtlahuaca de Rayon</v>
          </cell>
        </row>
        <row r="199">
          <cell r="C199">
            <v>6015</v>
          </cell>
          <cell r="D199" t="str">
            <v>Ixtlahuaca de Rayon</v>
          </cell>
        </row>
        <row r="200">
          <cell r="C200">
            <v>6015</v>
          </cell>
          <cell r="D200" t="str">
            <v>Ixtlahuaca de Rayon</v>
          </cell>
        </row>
        <row r="201">
          <cell r="C201">
            <v>6015</v>
          </cell>
          <cell r="D201" t="str">
            <v>Ixtlahuaca de Rayon</v>
          </cell>
        </row>
        <row r="202">
          <cell r="C202">
            <v>6015</v>
          </cell>
          <cell r="D202" t="str">
            <v>Ixtlahuaca de Rayon</v>
          </cell>
        </row>
        <row r="203">
          <cell r="C203">
            <v>6016</v>
          </cell>
          <cell r="D203" t="str">
            <v>Ciudad Adolfo Lopez Mateos</v>
          </cell>
        </row>
        <row r="204">
          <cell r="C204">
            <v>6016</v>
          </cell>
          <cell r="D204" t="str">
            <v>Ciudad Adolfo Lopez Mateos</v>
          </cell>
        </row>
        <row r="205">
          <cell r="C205">
            <v>6016</v>
          </cell>
          <cell r="D205" t="str">
            <v>Ciudad Adolfo Lopez Mateos</v>
          </cell>
        </row>
        <row r="206">
          <cell r="C206">
            <v>6016</v>
          </cell>
          <cell r="D206" t="str">
            <v>Ciudad Adolfo Lopez Mateos</v>
          </cell>
        </row>
        <row r="207">
          <cell r="C207">
            <v>6016</v>
          </cell>
          <cell r="D207" t="str">
            <v>Ciudad Adolfo Lopez Mateos</v>
          </cell>
        </row>
        <row r="208">
          <cell r="C208">
            <v>6016</v>
          </cell>
          <cell r="D208" t="str">
            <v>Ciudad Adolfo Lopez Mateos</v>
          </cell>
        </row>
        <row r="209">
          <cell r="C209">
            <v>6016</v>
          </cell>
          <cell r="D209" t="str">
            <v>Ciudad Adolfo Lopez Mateos</v>
          </cell>
        </row>
        <row r="210">
          <cell r="C210">
            <v>6016</v>
          </cell>
          <cell r="D210" t="str">
            <v>Ciudad Adolfo Lopez Mateos</v>
          </cell>
        </row>
        <row r="211">
          <cell r="C211">
            <v>6016</v>
          </cell>
          <cell r="D211" t="str">
            <v>Ciudad Adolfo Lopez Mateos</v>
          </cell>
        </row>
        <row r="212">
          <cell r="C212">
            <v>6016</v>
          </cell>
          <cell r="D212" t="str">
            <v>Ciudad Adolfo Lopez Mateos</v>
          </cell>
        </row>
        <row r="213">
          <cell r="C213">
            <v>6016</v>
          </cell>
          <cell r="D213" t="str">
            <v>Ciudad Adolfo Lopez Mateos</v>
          </cell>
        </row>
        <row r="214">
          <cell r="C214">
            <v>6016</v>
          </cell>
          <cell r="D214" t="str">
            <v>Ciudad Adolfo Lopez Mateos</v>
          </cell>
        </row>
        <row r="215">
          <cell r="C215">
            <v>6016</v>
          </cell>
          <cell r="D215" t="str">
            <v>Ciudad Adolfo Lopez Mateos</v>
          </cell>
        </row>
        <row r="216">
          <cell r="C216">
            <v>6016</v>
          </cell>
          <cell r="D216" t="str">
            <v>Ciudad Adolfo Lopez Mateos</v>
          </cell>
        </row>
        <row r="217">
          <cell r="C217">
            <v>6017</v>
          </cell>
          <cell r="D217" t="str">
            <v>Huixquilucan de degollado</v>
          </cell>
        </row>
        <row r="218">
          <cell r="C218">
            <v>6017</v>
          </cell>
          <cell r="D218" t="str">
            <v>Huixquilucan de degollado</v>
          </cell>
        </row>
        <row r="219">
          <cell r="C219">
            <v>6017</v>
          </cell>
          <cell r="D219" t="str">
            <v>Huixquilucan de degollado</v>
          </cell>
        </row>
        <row r="220">
          <cell r="C220">
            <v>6017</v>
          </cell>
          <cell r="D220" t="str">
            <v>Huixquilucan de degollado</v>
          </cell>
        </row>
        <row r="221">
          <cell r="C221">
            <v>6017</v>
          </cell>
          <cell r="D221" t="str">
            <v>Huixquilucan de degollado</v>
          </cell>
        </row>
        <row r="222">
          <cell r="C222">
            <v>6017</v>
          </cell>
          <cell r="D222" t="str">
            <v>Huixquilucan de degollado</v>
          </cell>
        </row>
        <row r="223">
          <cell r="C223">
            <v>6017</v>
          </cell>
          <cell r="D223" t="str">
            <v>Huixquilucan de degollado</v>
          </cell>
        </row>
        <row r="224">
          <cell r="C224">
            <v>6017</v>
          </cell>
          <cell r="D224" t="str">
            <v>Huixquilucan de degollado</v>
          </cell>
        </row>
        <row r="225">
          <cell r="C225">
            <v>6017</v>
          </cell>
          <cell r="D225" t="str">
            <v>Huixquilucan de degollado</v>
          </cell>
        </row>
        <row r="226">
          <cell r="C226">
            <v>6017</v>
          </cell>
          <cell r="D226" t="str">
            <v>Huixquilucan de degollado</v>
          </cell>
        </row>
        <row r="227">
          <cell r="C227">
            <v>6017</v>
          </cell>
          <cell r="D227" t="str">
            <v>Huixquilucan de degollado</v>
          </cell>
        </row>
        <row r="228">
          <cell r="C228">
            <v>6017</v>
          </cell>
          <cell r="D228" t="str">
            <v>Huixquilucan de degollado</v>
          </cell>
        </row>
        <row r="229">
          <cell r="C229">
            <v>6017</v>
          </cell>
          <cell r="D229" t="str">
            <v>Huixquilucan de degollado</v>
          </cell>
        </row>
        <row r="230">
          <cell r="C230">
            <v>6017</v>
          </cell>
          <cell r="D230" t="str">
            <v>Huixquilucan de degollado</v>
          </cell>
        </row>
        <row r="231">
          <cell r="C231">
            <v>6018</v>
          </cell>
          <cell r="D231" t="str">
            <v>Tlanepantla de Baz</v>
          </cell>
        </row>
        <row r="232">
          <cell r="C232">
            <v>6018</v>
          </cell>
          <cell r="D232" t="str">
            <v>Tlanepantla de Baz</v>
          </cell>
        </row>
        <row r="233">
          <cell r="C233">
            <v>6018</v>
          </cell>
          <cell r="D233" t="str">
            <v>Tlanepantla de Baz</v>
          </cell>
        </row>
        <row r="234">
          <cell r="C234">
            <v>6018</v>
          </cell>
          <cell r="D234" t="str">
            <v>Tlanepantla de Baz</v>
          </cell>
        </row>
        <row r="235">
          <cell r="C235">
            <v>6018</v>
          </cell>
          <cell r="D235" t="str">
            <v>Tlanepantla de Baz</v>
          </cell>
        </row>
        <row r="236">
          <cell r="C236">
            <v>6018</v>
          </cell>
          <cell r="D236" t="str">
            <v>Tlanepantla de Baz</v>
          </cell>
        </row>
        <row r="237">
          <cell r="C237">
            <v>6018</v>
          </cell>
          <cell r="D237" t="str">
            <v>Tlanepantla de Baz</v>
          </cell>
        </row>
        <row r="238">
          <cell r="C238">
            <v>6018</v>
          </cell>
          <cell r="D238" t="str">
            <v>Tlanepantla de Baz</v>
          </cell>
        </row>
        <row r="239">
          <cell r="C239">
            <v>6018</v>
          </cell>
          <cell r="D239" t="str">
            <v>Tlanepantla de Baz</v>
          </cell>
        </row>
        <row r="240">
          <cell r="C240">
            <v>6018</v>
          </cell>
          <cell r="D240" t="str">
            <v>Tlanepantla de Baz</v>
          </cell>
        </row>
        <row r="241">
          <cell r="C241">
            <v>6018</v>
          </cell>
          <cell r="D241" t="str">
            <v>Tlanepantla de Baz</v>
          </cell>
        </row>
        <row r="242">
          <cell r="C242">
            <v>6018</v>
          </cell>
          <cell r="D242" t="str">
            <v>Tlanepantla de Baz</v>
          </cell>
        </row>
        <row r="243">
          <cell r="C243">
            <v>6019</v>
          </cell>
          <cell r="D243" t="str">
            <v>Santamaria Tultepec</v>
          </cell>
        </row>
        <row r="244">
          <cell r="C244">
            <v>6019</v>
          </cell>
          <cell r="D244" t="str">
            <v>Santamaria Tultepec</v>
          </cell>
        </row>
        <row r="245">
          <cell r="C245">
            <v>6019</v>
          </cell>
          <cell r="D245" t="str">
            <v>Santamaria Tultepec</v>
          </cell>
        </row>
        <row r="246">
          <cell r="C246">
            <v>6019</v>
          </cell>
          <cell r="D246" t="str">
            <v>Santamaria Tultepec</v>
          </cell>
        </row>
        <row r="247">
          <cell r="C247">
            <v>6019</v>
          </cell>
          <cell r="D247" t="str">
            <v>Santamaria Tultepec</v>
          </cell>
        </row>
        <row r="248">
          <cell r="C248">
            <v>6019</v>
          </cell>
          <cell r="D248" t="str">
            <v>Santamaria Tultepec</v>
          </cell>
        </row>
        <row r="249">
          <cell r="C249">
            <v>6019</v>
          </cell>
          <cell r="D249" t="str">
            <v>Santamaria Tultepec</v>
          </cell>
        </row>
        <row r="250">
          <cell r="C250">
            <v>6019</v>
          </cell>
          <cell r="D250" t="str">
            <v>Santamaria Tultepec</v>
          </cell>
        </row>
        <row r="251">
          <cell r="C251">
            <v>6019</v>
          </cell>
          <cell r="D251" t="str">
            <v>Santamaria Tultepec</v>
          </cell>
        </row>
        <row r="252">
          <cell r="C252">
            <v>6019</v>
          </cell>
          <cell r="D252" t="str">
            <v>Santamaria Tultepec</v>
          </cell>
        </row>
        <row r="253">
          <cell r="C253">
            <v>6019</v>
          </cell>
          <cell r="D253" t="str">
            <v>Santamaria Tultepec</v>
          </cell>
        </row>
        <row r="254">
          <cell r="C254">
            <v>6019</v>
          </cell>
          <cell r="D254" t="str">
            <v>Santamaria Tultepec</v>
          </cell>
        </row>
        <row r="255">
          <cell r="C255">
            <v>6019</v>
          </cell>
          <cell r="D255" t="str">
            <v>Santamaria Tultepec</v>
          </cell>
        </row>
        <row r="256">
          <cell r="C256">
            <v>6019</v>
          </cell>
          <cell r="D256" t="str">
            <v>Santamaria Tultepec</v>
          </cell>
        </row>
        <row r="257">
          <cell r="C257">
            <v>6020</v>
          </cell>
          <cell r="D257" t="str">
            <v>Zumpango de Ocampo</v>
          </cell>
        </row>
        <row r="258">
          <cell r="C258">
            <v>6020</v>
          </cell>
          <cell r="D258" t="str">
            <v>Zumpango de Ocampo</v>
          </cell>
        </row>
        <row r="259">
          <cell r="C259">
            <v>6020</v>
          </cell>
          <cell r="D259" t="str">
            <v>Zumpango de Ocampo</v>
          </cell>
        </row>
        <row r="260">
          <cell r="C260">
            <v>6020</v>
          </cell>
          <cell r="D260" t="str">
            <v>Zumpango de Ocampo</v>
          </cell>
        </row>
        <row r="261">
          <cell r="C261">
            <v>6020</v>
          </cell>
          <cell r="D261" t="str">
            <v>Zumpango de Ocampo</v>
          </cell>
        </row>
        <row r="262">
          <cell r="C262">
            <v>6020</v>
          </cell>
          <cell r="D262" t="str">
            <v>Zumpango de Ocampo</v>
          </cell>
        </row>
        <row r="263">
          <cell r="C263">
            <v>6020</v>
          </cell>
          <cell r="D263" t="str">
            <v>Zumpango de Ocampo</v>
          </cell>
        </row>
        <row r="264">
          <cell r="C264">
            <v>6020</v>
          </cell>
          <cell r="D264" t="str">
            <v>Zumpango de Ocampo</v>
          </cell>
        </row>
        <row r="265">
          <cell r="C265">
            <v>6020</v>
          </cell>
          <cell r="D265" t="str">
            <v>Zumpango de Ocampo</v>
          </cell>
        </row>
        <row r="266">
          <cell r="C266">
            <v>6020</v>
          </cell>
          <cell r="D266" t="str">
            <v>Zumpango de Ocampo</v>
          </cell>
        </row>
        <row r="267">
          <cell r="C267">
            <v>6020</v>
          </cell>
          <cell r="D267" t="str">
            <v>Zumpango de Ocampo</v>
          </cell>
        </row>
        <row r="268">
          <cell r="C268">
            <v>6020</v>
          </cell>
          <cell r="D268" t="str">
            <v>Zumpango de Ocampo</v>
          </cell>
        </row>
        <row r="269">
          <cell r="C269">
            <v>6020</v>
          </cell>
          <cell r="D269" t="str">
            <v>Zumpango de Ocampo</v>
          </cell>
        </row>
        <row r="270">
          <cell r="C270">
            <v>6021</v>
          </cell>
          <cell r="D270" t="str">
            <v>Ecatepec de Morelos</v>
          </cell>
        </row>
        <row r="271">
          <cell r="C271">
            <v>6021</v>
          </cell>
          <cell r="D271" t="str">
            <v>Ecatepec de Morelos</v>
          </cell>
        </row>
        <row r="272">
          <cell r="C272">
            <v>6021</v>
          </cell>
          <cell r="D272" t="str">
            <v>Ecatepec de Morelos</v>
          </cell>
        </row>
        <row r="273">
          <cell r="C273">
            <v>6021</v>
          </cell>
          <cell r="D273" t="str">
            <v>Ecatepec de Morelos</v>
          </cell>
        </row>
        <row r="274">
          <cell r="C274">
            <v>6021</v>
          </cell>
          <cell r="D274" t="str">
            <v>Ecatepec de Morelos</v>
          </cell>
        </row>
        <row r="275">
          <cell r="C275">
            <v>6021</v>
          </cell>
          <cell r="D275" t="str">
            <v>Ecatepec de Morelos</v>
          </cell>
        </row>
        <row r="276">
          <cell r="C276">
            <v>6021</v>
          </cell>
          <cell r="D276" t="str">
            <v>Ecatepec de Morelos</v>
          </cell>
        </row>
        <row r="277">
          <cell r="C277">
            <v>6021</v>
          </cell>
          <cell r="D277" t="str">
            <v>Ecatepec de Morelos</v>
          </cell>
        </row>
        <row r="278">
          <cell r="C278">
            <v>6021</v>
          </cell>
          <cell r="D278" t="str">
            <v>Ecatepec de Morelos</v>
          </cell>
        </row>
        <row r="279">
          <cell r="C279">
            <v>6021</v>
          </cell>
          <cell r="D279" t="str">
            <v>Ecatepec de Morelos</v>
          </cell>
        </row>
        <row r="280">
          <cell r="C280">
            <v>6021</v>
          </cell>
          <cell r="D280" t="str">
            <v>Ecatepec de Morelos</v>
          </cell>
        </row>
        <row r="281">
          <cell r="C281">
            <v>6021</v>
          </cell>
          <cell r="D281" t="str">
            <v>Ecatepec de Morelos</v>
          </cell>
        </row>
        <row r="282">
          <cell r="C282">
            <v>6021</v>
          </cell>
          <cell r="D282" t="str">
            <v>Ecatepec de Morelos</v>
          </cell>
        </row>
        <row r="283">
          <cell r="C283">
            <v>6022</v>
          </cell>
          <cell r="D283" t="str">
            <v>Ojo de agua Tecamac</v>
          </cell>
        </row>
        <row r="284">
          <cell r="C284">
            <v>6022</v>
          </cell>
          <cell r="D284" t="str">
            <v>Ojo de agua Tecamac</v>
          </cell>
        </row>
        <row r="285">
          <cell r="C285">
            <v>6022</v>
          </cell>
          <cell r="D285" t="str">
            <v>Ojo de agua Tecamac</v>
          </cell>
        </row>
        <row r="286">
          <cell r="C286">
            <v>6022</v>
          </cell>
          <cell r="D286" t="str">
            <v>Ojo de agua Tecamac</v>
          </cell>
        </row>
        <row r="287">
          <cell r="C287">
            <v>6022</v>
          </cell>
          <cell r="D287" t="str">
            <v>Ojo de agua Tecamac</v>
          </cell>
        </row>
        <row r="288">
          <cell r="C288">
            <v>6022</v>
          </cell>
          <cell r="D288" t="str">
            <v>Ojo de agua Tecamac</v>
          </cell>
        </row>
        <row r="289">
          <cell r="C289">
            <v>6022</v>
          </cell>
          <cell r="D289" t="str">
            <v>Ojo de agua Tecamac</v>
          </cell>
        </row>
        <row r="290">
          <cell r="C290">
            <v>6022</v>
          </cell>
          <cell r="D290" t="str">
            <v>Ojo de agua Tecamac</v>
          </cell>
        </row>
        <row r="291">
          <cell r="C291">
            <v>6022</v>
          </cell>
          <cell r="D291" t="str">
            <v>Ojo de agua Tecamac</v>
          </cell>
        </row>
        <row r="292">
          <cell r="C292">
            <v>6022</v>
          </cell>
          <cell r="D292" t="str">
            <v>Ojo de agua Tecamac</v>
          </cell>
        </row>
        <row r="293">
          <cell r="C293">
            <v>6022</v>
          </cell>
          <cell r="D293" t="str">
            <v>Ojo de agua Tecamac</v>
          </cell>
        </row>
        <row r="294">
          <cell r="C294">
            <v>6022</v>
          </cell>
          <cell r="D294" t="str">
            <v>Ojo de agua Tecamac</v>
          </cell>
        </row>
        <row r="295">
          <cell r="C295">
            <v>6022</v>
          </cell>
          <cell r="D295" t="str">
            <v>Ojo de agua Tecamac</v>
          </cell>
        </row>
        <row r="296">
          <cell r="C296">
            <v>6023</v>
          </cell>
          <cell r="D296" t="str">
            <v>Texcoco de Mora</v>
          </cell>
        </row>
        <row r="297">
          <cell r="C297">
            <v>6023</v>
          </cell>
          <cell r="D297" t="str">
            <v>Texcoco de Mora</v>
          </cell>
        </row>
        <row r="298">
          <cell r="C298">
            <v>6023</v>
          </cell>
          <cell r="D298" t="str">
            <v>Texcoco de Mora</v>
          </cell>
        </row>
        <row r="299">
          <cell r="C299">
            <v>6023</v>
          </cell>
          <cell r="D299" t="str">
            <v>Texcoco de Mora</v>
          </cell>
        </row>
        <row r="300">
          <cell r="C300">
            <v>6023</v>
          </cell>
          <cell r="D300" t="str">
            <v>Texcoco de Mora</v>
          </cell>
        </row>
        <row r="301">
          <cell r="C301">
            <v>6023</v>
          </cell>
          <cell r="D301" t="str">
            <v>Texcoco de Mora</v>
          </cell>
        </row>
        <row r="302">
          <cell r="C302">
            <v>6023</v>
          </cell>
          <cell r="D302" t="str">
            <v>Texcoco de Mora</v>
          </cell>
        </row>
        <row r="303">
          <cell r="C303">
            <v>6023</v>
          </cell>
          <cell r="D303" t="str">
            <v>Texcoco de Mora</v>
          </cell>
        </row>
        <row r="304">
          <cell r="C304">
            <v>6023</v>
          </cell>
          <cell r="D304" t="str">
            <v>Texcoco de Mora</v>
          </cell>
        </row>
        <row r="305">
          <cell r="C305">
            <v>6023</v>
          </cell>
          <cell r="D305" t="str">
            <v>Texcoco de Mora</v>
          </cell>
        </row>
        <row r="306">
          <cell r="C306">
            <v>6023</v>
          </cell>
          <cell r="D306" t="str">
            <v>Texcoco de Mora</v>
          </cell>
        </row>
        <row r="307">
          <cell r="C307">
            <v>6023</v>
          </cell>
          <cell r="D307" t="str">
            <v>Texcoco de Mora</v>
          </cell>
        </row>
        <row r="308">
          <cell r="C308">
            <v>6023</v>
          </cell>
          <cell r="D308" t="str">
            <v>Texcoco de Mora</v>
          </cell>
        </row>
        <row r="309">
          <cell r="C309">
            <v>6023</v>
          </cell>
          <cell r="D309" t="str">
            <v>Texcoco de Mora</v>
          </cell>
        </row>
        <row r="310">
          <cell r="C310">
            <v>6024</v>
          </cell>
          <cell r="D310" t="str">
            <v>CD Nezahualcoyotl</v>
          </cell>
        </row>
        <row r="311">
          <cell r="C311">
            <v>6024</v>
          </cell>
          <cell r="D311" t="str">
            <v>CD Nezahualcoyotl</v>
          </cell>
        </row>
        <row r="312">
          <cell r="C312">
            <v>6024</v>
          </cell>
          <cell r="D312" t="str">
            <v>CD Nezahualcoyotl</v>
          </cell>
        </row>
        <row r="313">
          <cell r="C313">
            <v>6024</v>
          </cell>
          <cell r="D313" t="str">
            <v>CD Nezahualcoyotl</v>
          </cell>
        </row>
        <row r="314">
          <cell r="C314">
            <v>6024</v>
          </cell>
          <cell r="D314" t="str">
            <v>CD Nezahualcoyotl</v>
          </cell>
        </row>
        <row r="315">
          <cell r="C315">
            <v>6024</v>
          </cell>
          <cell r="D315" t="str">
            <v>CD Nezahualcoyotl</v>
          </cell>
        </row>
        <row r="316">
          <cell r="C316">
            <v>6024</v>
          </cell>
          <cell r="D316" t="str">
            <v>CD Nezahualcoyotl</v>
          </cell>
        </row>
        <row r="317">
          <cell r="C317">
            <v>6024</v>
          </cell>
          <cell r="D317" t="str">
            <v>CD Nezahualcoyotl</v>
          </cell>
        </row>
        <row r="318">
          <cell r="C318">
            <v>6024</v>
          </cell>
          <cell r="D318" t="str">
            <v>CD Nezahualcoyotl</v>
          </cell>
        </row>
        <row r="319">
          <cell r="C319">
            <v>6024</v>
          </cell>
          <cell r="D319" t="str">
            <v>CD Nezahualcoyotl</v>
          </cell>
        </row>
        <row r="320">
          <cell r="C320">
            <v>6024</v>
          </cell>
          <cell r="D320" t="str">
            <v>CD Nezahualcoyotl</v>
          </cell>
        </row>
        <row r="321">
          <cell r="C321">
            <v>6024</v>
          </cell>
          <cell r="D321" t="str">
            <v>CD Nezahualcoyotl</v>
          </cell>
        </row>
        <row r="322">
          <cell r="C322">
            <v>6024</v>
          </cell>
          <cell r="D322" t="str">
            <v>CD Nezahualcoyotl</v>
          </cell>
        </row>
        <row r="323">
          <cell r="C323">
            <v>6025</v>
          </cell>
          <cell r="D323" t="str">
            <v>CD Nezahualcoyotl</v>
          </cell>
        </row>
        <row r="324">
          <cell r="C324">
            <v>6025</v>
          </cell>
          <cell r="D324" t="str">
            <v>CD Nezahualcoyotl</v>
          </cell>
        </row>
        <row r="325">
          <cell r="C325">
            <v>6025</v>
          </cell>
          <cell r="D325" t="str">
            <v>CD Nezahualcoyotl</v>
          </cell>
        </row>
        <row r="326">
          <cell r="C326">
            <v>6025</v>
          </cell>
          <cell r="D326" t="str">
            <v>CD Nezahualcoyotl</v>
          </cell>
        </row>
        <row r="327">
          <cell r="C327">
            <v>6025</v>
          </cell>
          <cell r="D327" t="str">
            <v>CD Nezahualcoyotl</v>
          </cell>
        </row>
        <row r="328">
          <cell r="C328">
            <v>6025</v>
          </cell>
          <cell r="D328" t="str">
            <v>CD Nezahualcoyotl</v>
          </cell>
        </row>
        <row r="329">
          <cell r="C329">
            <v>6025</v>
          </cell>
          <cell r="D329" t="str">
            <v>CD Nezahualcoyotl</v>
          </cell>
        </row>
        <row r="330">
          <cell r="C330">
            <v>6025</v>
          </cell>
          <cell r="D330" t="str">
            <v>CD Nezahualcoyotl</v>
          </cell>
        </row>
        <row r="331">
          <cell r="C331">
            <v>6025</v>
          </cell>
          <cell r="D331" t="str">
            <v>CD Nezahualcoyotl</v>
          </cell>
        </row>
        <row r="332">
          <cell r="C332">
            <v>6025</v>
          </cell>
          <cell r="D332" t="str">
            <v>CD Nezahualcoyotl</v>
          </cell>
        </row>
        <row r="333">
          <cell r="C333">
            <v>6025</v>
          </cell>
          <cell r="D333" t="str">
            <v>CD Nezahualcoyotl</v>
          </cell>
        </row>
        <row r="334">
          <cell r="C334">
            <v>6025</v>
          </cell>
          <cell r="D334" t="str">
            <v>CD Nezahualcoyotl</v>
          </cell>
        </row>
        <row r="335">
          <cell r="C335">
            <v>6025</v>
          </cell>
          <cell r="D335" t="str">
            <v>CD Nezahualcoyotl</v>
          </cell>
        </row>
        <row r="336">
          <cell r="C336">
            <v>6026</v>
          </cell>
          <cell r="D336" t="str">
            <v>Cuautitlan Izcalli</v>
          </cell>
        </row>
        <row r="337">
          <cell r="C337">
            <v>6026</v>
          </cell>
          <cell r="D337" t="str">
            <v>Cuautitlan Izcalli</v>
          </cell>
        </row>
        <row r="338">
          <cell r="C338">
            <v>6026</v>
          </cell>
          <cell r="D338" t="str">
            <v>Cuautitlan Izcalli</v>
          </cell>
        </row>
        <row r="339">
          <cell r="C339">
            <v>6026</v>
          </cell>
          <cell r="D339" t="str">
            <v>Cuautitlan Izcalli</v>
          </cell>
        </row>
        <row r="340">
          <cell r="C340">
            <v>6026</v>
          </cell>
          <cell r="D340" t="str">
            <v>Cuautitlan Izcalli</v>
          </cell>
        </row>
        <row r="341">
          <cell r="C341">
            <v>6026</v>
          </cell>
          <cell r="D341" t="str">
            <v>Cuautitlan Izcalli</v>
          </cell>
        </row>
        <row r="342">
          <cell r="C342">
            <v>6026</v>
          </cell>
          <cell r="D342" t="str">
            <v>Cuautitlan Izcalli</v>
          </cell>
        </row>
        <row r="343">
          <cell r="C343">
            <v>6026</v>
          </cell>
          <cell r="D343" t="str">
            <v>Cuautitlan Izcalli</v>
          </cell>
        </row>
        <row r="344">
          <cell r="C344">
            <v>6026</v>
          </cell>
          <cell r="D344" t="str">
            <v>Cuautitlan Izcalli</v>
          </cell>
        </row>
        <row r="345">
          <cell r="C345">
            <v>6026</v>
          </cell>
          <cell r="D345" t="str">
            <v>Cuautitlan Izcalli</v>
          </cell>
        </row>
        <row r="346">
          <cell r="C346">
            <v>6026</v>
          </cell>
          <cell r="D346" t="str">
            <v>Cuautitlan Izcalli</v>
          </cell>
        </row>
        <row r="347">
          <cell r="C347">
            <v>6026</v>
          </cell>
          <cell r="D347" t="str">
            <v>Cuautitlan Izcalli</v>
          </cell>
        </row>
        <row r="348">
          <cell r="C348">
            <v>6026</v>
          </cell>
          <cell r="D348" t="str">
            <v>Cuautitlan Izcalli</v>
          </cell>
        </row>
        <row r="349">
          <cell r="C349">
            <v>6027</v>
          </cell>
          <cell r="D349" t="str">
            <v>Valle de Chalco Solidaridad</v>
          </cell>
        </row>
        <row r="350">
          <cell r="C350">
            <v>6027</v>
          </cell>
          <cell r="D350" t="str">
            <v>Valle de Chalco Solidaridad</v>
          </cell>
        </row>
        <row r="351">
          <cell r="C351">
            <v>6027</v>
          </cell>
          <cell r="D351" t="str">
            <v>Valle de Chalco Solidaridad</v>
          </cell>
        </row>
        <row r="352">
          <cell r="C352">
            <v>6027</v>
          </cell>
          <cell r="D352" t="str">
            <v>Valle de Chalco Solidaridad</v>
          </cell>
        </row>
        <row r="353">
          <cell r="C353">
            <v>6027</v>
          </cell>
          <cell r="D353" t="str">
            <v>Valle de Chalco Solidaridad</v>
          </cell>
        </row>
        <row r="354">
          <cell r="C354">
            <v>6027</v>
          </cell>
          <cell r="D354" t="str">
            <v>Valle de Chalco Solidaridad</v>
          </cell>
        </row>
        <row r="355">
          <cell r="C355">
            <v>6027</v>
          </cell>
          <cell r="D355" t="str">
            <v>Valle de Chalco Solidaridad</v>
          </cell>
        </row>
        <row r="356">
          <cell r="C356">
            <v>6027</v>
          </cell>
          <cell r="D356" t="str">
            <v>Valle de Chalco Solidaridad</v>
          </cell>
        </row>
        <row r="357">
          <cell r="C357">
            <v>6027</v>
          </cell>
          <cell r="D357" t="str">
            <v>Valle de Chalco Solidaridad</v>
          </cell>
        </row>
        <row r="358">
          <cell r="C358">
            <v>6027</v>
          </cell>
          <cell r="D358" t="str">
            <v>Valle de Chalco Solidaridad</v>
          </cell>
        </row>
        <row r="359">
          <cell r="C359">
            <v>6027</v>
          </cell>
          <cell r="D359" t="str">
            <v>Valle de Chalco Solidaridad</v>
          </cell>
        </row>
        <row r="360">
          <cell r="C360">
            <v>6027</v>
          </cell>
          <cell r="D360" t="str">
            <v>Valle de Chalco Solidaridad</v>
          </cell>
        </row>
        <row r="361">
          <cell r="C361">
            <v>6027</v>
          </cell>
          <cell r="D361" t="str">
            <v>Valle de Chalco Solidaridad</v>
          </cell>
        </row>
        <row r="362">
          <cell r="C362">
            <v>6028</v>
          </cell>
          <cell r="D362" t="str">
            <v>Amecameca de juarez</v>
          </cell>
        </row>
        <row r="363">
          <cell r="C363">
            <v>6028</v>
          </cell>
          <cell r="D363" t="str">
            <v>Amecameca de juarez</v>
          </cell>
        </row>
        <row r="364">
          <cell r="C364">
            <v>6028</v>
          </cell>
          <cell r="D364" t="str">
            <v>Amecameca de juarez</v>
          </cell>
        </row>
        <row r="365">
          <cell r="C365">
            <v>6028</v>
          </cell>
          <cell r="D365" t="str">
            <v>Amecameca de juarez</v>
          </cell>
        </row>
        <row r="366">
          <cell r="C366">
            <v>6028</v>
          </cell>
          <cell r="D366" t="str">
            <v>Amecameca de juarez</v>
          </cell>
        </row>
        <row r="367">
          <cell r="C367">
            <v>6028</v>
          </cell>
          <cell r="D367" t="str">
            <v>Amecameca de juarez</v>
          </cell>
        </row>
        <row r="368">
          <cell r="C368">
            <v>6028</v>
          </cell>
          <cell r="D368" t="str">
            <v>Amecameca de juarez</v>
          </cell>
        </row>
        <row r="369">
          <cell r="C369">
            <v>6028</v>
          </cell>
          <cell r="D369" t="str">
            <v>Amecameca de juarez</v>
          </cell>
        </row>
        <row r="370">
          <cell r="C370">
            <v>6028</v>
          </cell>
          <cell r="D370" t="str">
            <v>Amecameca de juarez</v>
          </cell>
        </row>
        <row r="371">
          <cell r="C371">
            <v>6028</v>
          </cell>
          <cell r="D371" t="str">
            <v>Amecameca de juarez</v>
          </cell>
        </row>
        <row r="372">
          <cell r="C372">
            <v>6028</v>
          </cell>
          <cell r="D372" t="str">
            <v>Amecameca de juarez</v>
          </cell>
        </row>
        <row r="373">
          <cell r="C373">
            <v>6028</v>
          </cell>
          <cell r="D373" t="str">
            <v>Amecameca de juarez</v>
          </cell>
        </row>
        <row r="374">
          <cell r="C374">
            <v>6029</v>
          </cell>
          <cell r="D374" t="str">
            <v>Teaguistenco de Galeana</v>
          </cell>
        </row>
        <row r="375">
          <cell r="C375">
            <v>6029</v>
          </cell>
          <cell r="D375" t="str">
            <v>Teaguistenco de Galeana</v>
          </cell>
        </row>
        <row r="376">
          <cell r="C376">
            <v>6029</v>
          </cell>
          <cell r="D376" t="str">
            <v>Teaguistenco de Galeana</v>
          </cell>
        </row>
        <row r="377">
          <cell r="C377">
            <v>6029</v>
          </cell>
          <cell r="D377" t="str">
            <v>Teaguistenco de Galeana</v>
          </cell>
        </row>
        <row r="378">
          <cell r="C378">
            <v>6029</v>
          </cell>
          <cell r="D378" t="str">
            <v>Teaguistenco de Galeana</v>
          </cell>
        </row>
        <row r="379">
          <cell r="C379">
            <v>6029</v>
          </cell>
          <cell r="D379" t="str">
            <v>Teaguistenco de Galeana</v>
          </cell>
        </row>
        <row r="380">
          <cell r="C380">
            <v>6029</v>
          </cell>
          <cell r="D380" t="str">
            <v>Teaguistenco de Galeana</v>
          </cell>
        </row>
        <row r="381">
          <cell r="C381">
            <v>6029</v>
          </cell>
          <cell r="D381" t="str">
            <v>Teaguistenco de Galeana</v>
          </cell>
        </row>
        <row r="382">
          <cell r="C382">
            <v>6029</v>
          </cell>
          <cell r="D382" t="str">
            <v>Teaguistenco de Galeana</v>
          </cell>
        </row>
        <row r="383">
          <cell r="C383">
            <v>6029</v>
          </cell>
          <cell r="D383" t="str">
            <v>Teaguistenco de Galeana</v>
          </cell>
        </row>
        <row r="384">
          <cell r="C384">
            <v>6029</v>
          </cell>
          <cell r="D384" t="str">
            <v>Teaguistenco de Galeana</v>
          </cell>
        </row>
        <row r="385">
          <cell r="C385">
            <v>6029</v>
          </cell>
          <cell r="D385" t="str">
            <v>Teaguistenco de Galeana</v>
          </cell>
        </row>
        <row r="386">
          <cell r="C386">
            <v>6029</v>
          </cell>
          <cell r="D386" t="str">
            <v>Teaguistenco de Galeana</v>
          </cell>
        </row>
        <row r="387">
          <cell r="C387">
            <v>6029</v>
          </cell>
          <cell r="D387" t="str">
            <v>Teaguistenco de Galeana</v>
          </cell>
        </row>
        <row r="388">
          <cell r="C388">
            <v>6030</v>
          </cell>
          <cell r="D388" t="str">
            <v>Naucalpan de Juarez</v>
          </cell>
        </row>
        <row r="389">
          <cell r="C389">
            <v>6030</v>
          </cell>
          <cell r="D389" t="str">
            <v>Naucalpan de Juarez</v>
          </cell>
        </row>
        <row r="390">
          <cell r="C390">
            <v>6030</v>
          </cell>
          <cell r="D390" t="str">
            <v>Naucalpan de Juarez</v>
          </cell>
        </row>
        <row r="391">
          <cell r="C391">
            <v>6030</v>
          </cell>
          <cell r="D391" t="str">
            <v>Naucalpan de Juarez</v>
          </cell>
        </row>
        <row r="392">
          <cell r="C392">
            <v>6030</v>
          </cell>
          <cell r="D392" t="str">
            <v>Naucalpan de Juarez</v>
          </cell>
        </row>
        <row r="393">
          <cell r="C393">
            <v>6030</v>
          </cell>
          <cell r="D393" t="str">
            <v>Naucalpan de Juarez</v>
          </cell>
        </row>
        <row r="394">
          <cell r="C394">
            <v>6030</v>
          </cell>
          <cell r="D394" t="str">
            <v>Naucalpan de Juarez</v>
          </cell>
        </row>
        <row r="395">
          <cell r="C395">
            <v>6030</v>
          </cell>
          <cell r="D395" t="str">
            <v>Naucalpan de Juarez</v>
          </cell>
        </row>
        <row r="396">
          <cell r="C396">
            <v>6030</v>
          </cell>
          <cell r="D396" t="str">
            <v>Naucalpan de Juarez</v>
          </cell>
        </row>
        <row r="397">
          <cell r="C397">
            <v>6030</v>
          </cell>
          <cell r="D397" t="str">
            <v>Naucalpan de Juarez</v>
          </cell>
        </row>
        <row r="398">
          <cell r="C398">
            <v>6030</v>
          </cell>
          <cell r="D398" t="str">
            <v>Naucalpan de Juarez</v>
          </cell>
        </row>
        <row r="399">
          <cell r="C399">
            <v>6030</v>
          </cell>
          <cell r="D399" t="str">
            <v>Naucalpan de Juarez</v>
          </cell>
        </row>
        <row r="400">
          <cell r="C400">
            <v>6031</v>
          </cell>
          <cell r="D400" t="str">
            <v>Los Reyes Acaquilpan</v>
          </cell>
        </row>
        <row r="401">
          <cell r="C401">
            <v>6031</v>
          </cell>
          <cell r="D401" t="str">
            <v>Los Reyes Acaquilpan</v>
          </cell>
        </row>
        <row r="402">
          <cell r="C402">
            <v>6031</v>
          </cell>
          <cell r="D402" t="str">
            <v>Los Reyes Acaquilpan</v>
          </cell>
        </row>
        <row r="403">
          <cell r="C403">
            <v>6031</v>
          </cell>
          <cell r="D403" t="str">
            <v>Los Reyes Acaquilpan</v>
          </cell>
        </row>
        <row r="404">
          <cell r="C404">
            <v>6031</v>
          </cell>
          <cell r="D404" t="str">
            <v>Los Reyes Acaquilpan</v>
          </cell>
        </row>
        <row r="405">
          <cell r="C405">
            <v>6031</v>
          </cell>
          <cell r="D405" t="str">
            <v>Los Reyes Acaquilpan</v>
          </cell>
        </row>
        <row r="406">
          <cell r="C406">
            <v>6031</v>
          </cell>
          <cell r="D406" t="str">
            <v>Los Reyes Acaquilpan</v>
          </cell>
        </row>
        <row r="407">
          <cell r="C407">
            <v>6031</v>
          </cell>
          <cell r="D407" t="str">
            <v>Los Reyes Acaquilpan</v>
          </cell>
        </row>
        <row r="408">
          <cell r="C408">
            <v>6031</v>
          </cell>
          <cell r="D408" t="str">
            <v>Los Reyes Acaquilpan</v>
          </cell>
        </row>
        <row r="409">
          <cell r="C409">
            <v>6031</v>
          </cell>
          <cell r="D409" t="str">
            <v>Los Reyes Acaquilpan</v>
          </cell>
        </row>
        <row r="410">
          <cell r="C410">
            <v>6031</v>
          </cell>
          <cell r="D410" t="str">
            <v>Los Reyes Acaquilpan</v>
          </cell>
        </row>
        <row r="411">
          <cell r="C411">
            <v>6031</v>
          </cell>
          <cell r="D411" t="str">
            <v>Los Reyes Acaquilpan</v>
          </cell>
        </row>
        <row r="412">
          <cell r="C412">
            <v>6031</v>
          </cell>
          <cell r="D412" t="str">
            <v>Los Reyes Acaquilpan</v>
          </cell>
        </row>
        <row r="413">
          <cell r="C413">
            <v>6031</v>
          </cell>
          <cell r="D413" t="str">
            <v>Los Reyes Acaquilpan</v>
          </cell>
        </row>
        <row r="414">
          <cell r="C414">
            <v>6031</v>
          </cell>
          <cell r="D414" t="str">
            <v>Los Reyes Acaquilpan</v>
          </cell>
        </row>
        <row r="415">
          <cell r="C415">
            <v>6031</v>
          </cell>
          <cell r="D415" t="str">
            <v>Los Reyes Acaquilpan</v>
          </cell>
        </row>
        <row r="416">
          <cell r="C416">
            <v>6031</v>
          </cell>
          <cell r="D416" t="str">
            <v>Los Reyes Acaquilpan</v>
          </cell>
        </row>
        <row r="417">
          <cell r="C417">
            <v>6032</v>
          </cell>
          <cell r="D417" t="str">
            <v>Naucalpan de Juarez</v>
          </cell>
        </row>
        <row r="418">
          <cell r="C418">
            <v>6032</v>
          </cell>
          <cell r="D418" t="str">
            <v>Naucalpan de Juarez</v>
          </cell>
        </row>
        <row r="419">
          <cell r="C419">
            <v>6032</v>
          </cell>
          <cell r="D419" t="str">
            <v>Naucalpan de Juarez</v>
          </cell>
        </row>
        <row r="420">
          <cell r="C420">
            <v>6032</v>
          </cell>
          <cell r="D420" t="str">
            <v>Naucalpan de Juarez</v>
          </cell>
        </row>
        <row r="421">
          <cell r="C421">
            <v>6032</v>
          </cell>
          <cell r="D421" t="str">
            <v>Naucalpan de Juarez</v>
          </cell>
        </row>
        <row r="422">
          <cell r="C422">
            <v>6032</v>
          </cell>
          <cell r="D422" t="str">
            <v>Naucalpan de Juarez</v>
          </cell>
        </row>
        <row r="423">
          <cell r="C423">
            <v>6032</v>
          </cell>
          <cell r="D423" t="str">
            <v>Naucalpan de Juarez</v>
          </cell>
        </row>
        <row r="424">
          <cell r="C424">
            <v>6032</v>
          </cell>
          <cell r="D424" t="str">
            <v>Naucalpan de Juarez</v>
          </cell>
        </row>
        <row r="425">
          <cell r="C425">
            <v>6032</v>
          </cell>
          <cell r="D425" t="str">
            <v>Naucalpan de Juarez</v>
          </cell>
        </row>
        <row r="426">
          <cell r="C426">
            <v>6032</v>
          </cell>
          <cell r="D426" t="str">
            <v>Naucalpan de Juarez</v>
          </cell>
        </row>
        <row r="427">
          <cell r="C427">
            <v>6032</v>
          </cell>
          <cell r="D427" t="str">
            <v>Naucalpan de Juarez</v>
          </cell>
        </row>
        <row r="428">
          <cell r="C428">
            <v>6032</v>
          </cell>
          <cell r="D428" t="str">
            <v>Naucalpan de Juarez</v>
          </cell>
        </row>
        <row r="429">
          <cell r="C429">
            <v>6033</v>
          </cell>
          <cell r="D429" t="str">
            <v>Ojo de Agua (Tecamac)</v>
          </cell>
        </row>
        <row r="430">
          <cell r="C430">
            <v>6033</v>
          </cell>
          <cell r="D430" t="str">
            <v>Ojo de Agua (Tecamac)</v>
          </cell>
        </row>
        <row r="431">
          <cell r="C431">
            <v>6033</v>
          </cell>
          <cell r="D431" t="str">
            <v>Ojo de Agua (Tecamac)</v>
          </cell>
        </row>
        <row r="432">
          <cell r="C432">
            <v>6033</v>
          </cell>
          <cell r="D432" t="str">
            <v>Ojo de Agua (Tecamac)</v>
          </cell>
        </row>
        <row r="433">
          <cell r="C433">
            <v>6033</v>
          </cell>
          <cell r="D433" t="str">
            <v>Ojo de Agua (Tecamac)</v>
          </cell>
        </row>
        <row r="434">
          <cell r="C434">
            <v>6033</v>
          </cell>
          <cell r="D434" t="str">
            <v>Ojo de Agua (Tecamac)</v>
          </cell>
        </row>
        <row r="435">
          <cell r="C435">
            <v>6033</v>
          </cell>
          <cell r="D435" t="str">
            <v>Ojo de Agua (Tecamac)</v>
          </cell>
        </row>
        <row r="436">
          <cell r="C436">
            <v>6033</v>
          </cell>
          <cell r="D436" t="str">
            <v>Ojo de Agua (Tecamac)</v>
          </cell>
        </row>
        <row r="437">
          <cell r="C437">
            <v>6033</v>
          </cell>
          <cell r="D437" t="str">
            <v>Ojo de Agua (Tecamac)</v>
          </cell>
        </row>
        <row r="438">
          <cell r="C438">
            <v>6033</v>
          </cell>
          <cell r="D438" t="str">
            <v>Ojo de Agua (Tecamac)</v>
          </cell>
        </row>
        <row r="439">
          <cell r="C439">
            <v>6033</v>
          </cell>
          <cell r="D439" t="str">
            <v>Ojo de Agua (Tecamac)</v>
          </cell>
        </row>
        <row r="440">
          <cell r="C440">
            <v>6033</v>
          </cell>
          <cell r="D440" t="str">
            <v>Ojo de Agua (Tecamac)</v>
          </cell>
        </row>
        <row r="441">
          <cell r="C441">
            <v>6033</v>
          </cell>
          <cell r="D441" t="str">
            <v>Ojo de Agua (Tecamac)</v>
          </cell>
        </row>
        <row r="442">
          <cell r="C442">
            <v>6034</v>
          </cell>
          <cell r="D442" t="str">
            <v>Touca de Lerdo</v>
          </cell>
        </row>
        <row r="443">
          <cell r="C443">
            <v>6034</v>
          </cell>
          <cell r="D443" t="str">
            <v>Touca de Lerdo</v>
          </cell>
        </row>
        <row r="444">
          <cell r="C444">
            <v>6034</v>
          </cell>
          <cell r="D444" t="str">
            <v>Touca de Lerdo</v>
          </cell>
        </row>
        <row r="445">
          <cell r="C445">
            <v>6034</v>
          </cell>
          <cell r="D445" t="str">
            <v>Touca de Lerdo</v>
          </cell>
        </row>
        <row r="446">
          <cell r="C446">
            <v>6034</v>
          </cell>
          <cell r="D446" t="str">
            <v>Touca de Lerdo</v>
          </cell>
        </row>
        <row r="447">
          <cell r="C447">
            <v>6034</v>
          </cell>
          <cell r="D447" t="str">
            <v>Touca de Lerdo</v>
          </cell>
        </row>
        <row r="448">
          <cell r="C448">
            <v>6034</v>
          </cell>
          <cell r="D448" t="str">
            <v>Touca de Lerdo</v>
          </cell>
        </row>
        <row r="449">
          <cell r="C449">
            <v>6034</v>
          </cell>
          <cell r="D449" t="str">
            <v>Touca de Lerdo</v>
          </cell>
        </row>
        <row r="450">
          <cell r="C450">
            <v>6034</v>
          </cell>
          <cell r="D450" t="str">
            <v>Touca de Lerdo</v>
          </cell>
        </row>
        <row r="451">
          <cell r="C451">
            <v>6034</v>
          </cell>
          <cell r="D451" t="str">
            <v>Touca de Lerdo</v>
          </cell>
        </row>
        <row r="452">
          <cell r="C452">
            <v>6034</v>
          </cell>
          <cell r="D452" t="str">
            <v>Touca de Lerdo</v>
          </cell>
        </row>
        <row r="453">
          <cell r="C453">
            <v>6034</v>
          </cell>
          <cell r="D453" t="str">
            <v>Touca de Lerdo</v>
          </cell>
        </row>
        <row r="454">
          <cell r="C454">
            <v>6034</v>
          </cell>
          <cell r="D454" t="str">
            <v>Touca de Lerdo</v>
          </cell>
        </row>
        <row r="455">
          <cell r="C455">
            <v>6035</v>
          </cell>
          <cell r="D455" t="str">
            <v>Metepec</v>
          </cell>
        </row>
        <row r="456">
          <cell r="C456">
            <v>6035</v>
          </cell>
          <cell r="D456" t="str">
            <v>Metepec</v>
          </cell>
        </row>
        <row r="457">
          <cell r="C457">
            <v>6035</v>
          </cell>
          <cell r="D457" t="str">
            <v>Metepec</v>
          </cell>
        </row>
        <row r="458">
          <cell r="C458">
            <v>6035</v>
          </cell>
          <cell r="D458" t="str">
            <v>Metepec</v>
          </cell>
        </row>
        <row r="459">
          <cell r="C459">
            <v>6035</v>
          </cell>
          <cell r="D459" t="str">
            <v>Metepec</v>
          </cell>
        </row>
        <row r="460">
          <cell r="C460">
            <v>6035</v>
          </cell>
          <cell r="D460" t="str">
            <v>Metepec</v>
          </cell>
        </row>
        <row r="461">
          <cell r="C461">
            <v>6035</v>
          </cell>
          <cell r="D461" t="str">
            <v>Metepec</v>
          </cell>
        </row>
        <row r="462">
          <cell r="C462">
            <v>6035</v>
          </cell>
          <cell r="D462" t="str">
            <v>Metepec</v>
          </cell>
        </row>
        <row r="463">
          <cell r="C463">
            <v>6035</v>
          </cell>
          <cell r="D463" t="str">
            <v>Metepec</v>
          </cell>
        </row>
        <row r="464">
          <cell r="C464">
            <v>6035</v>
          </cell>
          <cell r="D464" t="str">
            <v>Metepec</v>
          </cell>
        </row>
        <row r="465">
          <cell r="C465">
            <v>6035</v>
          </cell>
          <cell r="D465" t="str">
            <v>Metepec</v>
          </cell>
        </row>
        <row r="466">
          <cell r="C466">
            <v>6035</v>
          </cell>
          <cell r="D466" t="str">
            <v>Metepec</v>
          </cell>
        </row>
        <row r="467">
          <cell r="C467">
            <v>6035</v>
          </cell>
          <cell r="D467" t="str">
            <v>Metepec</v>
          </cell>
        </row>
        <row r="468">
          <cell r="C468">
            <v>6036</v>
          </cell>
          <cell r="D468" t="str">
            <v>San Miguel Zinacantepec</v>
          </cell>
        </row>
        <row r="469">
          <cell r="C469">
            <v>6036</v>
          </cell>
          <cell r="D469" t="str">
            <v>San Miguel Zinacantepec</v>
          </cell>
        </row>
        <row r="470">
          <cell r="C470">
            <v>6036</v>
          </cell>
          <cell r="D470" t="str">
            <v>San Miguel Zinacantepec</v>
          </cell>
        </row>
        <row r="471">
          <cell r="C471">
            <v>6036</v>
          </cell>
          <cell r="D471" t="str">
            <v>San Miguel Zinacantepec</v>
          </cell>
        </row>
        <row r="472">
          <cell r="C472">
            <v>6036</v>
          </cell>
          <cell r="D472" t="str">
            <v>San Miguel Zinacantepec</v>
          </cell>
        </row>
        <row r="473">
          <cell r="C473">
            <v>6036</v>
          </cell>
          <cell r="D473" t="str">
            <v>San Miguel Zinacantepec</v>
          </cell>
        </row>
        <row r="474">
          <cell r="C474">
            <v>6036</v>
          </cell>
          <cell r="D474" t="str">
            <v>San Miguel Zinacantepec</v>
          </cell>
        </row>
        <row r="475">
          <cell r="C475">
            <v>6036</v>
          </cell>
          <cell r="D475" t="str">
            <v>San Miguel Zinacantepec</v>
          </cell>
        </row>
        <row r="476">
          <cell r="C476">
            <v>6036</v>
          </cell>
          <cell r="D476" t="str">
            <v>San Miguel Zinacantepec</v>
          </cell>
        </row>
        <row r="477">
          <cell r="C477">
            <v>6036</v>
          </cell>
          <cell r="D477" t="str">
            <v>San Miguel Zinacantepec</v>
          </cell>
        </row>
        <row r="478">
          <cell r="C478">
            <v>6036</v>
          </cell>
          <cell r="D478" t="str">
            <v>San Miguel Zinacantepec</v>
          </cell>
        </row>
        <row r="479">
          <cell r="C479">
            <v>6036</v>
          </cell>
          <cell r="D479" t="str">
            <v>San Miguel Zinacantepec</v>
          </cell>
        </row>
        <row r="480">
          <cell r="C480">
            <v>6036</v>
          </cell>
          <cell r="D480" t="str">
            <v>San Miguel Zinacantepec</v>
          </cell>
        </row>
        <row r="481">
          <cell r="C481">
            <v>6037</v>
          </cell>
          <cell r="D481" t="str">
            <v>Tlanepantla de Baz</v>
          </cell>
        </row>
        <row r="482">
          <cell r="C482">
            <v>6037</v>
          </cell>
          <cell r="D482" t="str">
            <v>Tlanepantla de Baz</v>
          </cell>
        </row>
        <row r="483">
          <cell r="C483">
            <v>6037</v>
          </cell>
          <cell r="D483" t="str">
            <v>Tlanepantla de Baz</v>
          </cell>
        </row>
        <row r="484">
          <cell r="C484">
            <v>6037</v>
          </cell>
          <cell r="D484" t="str">
            <v>Tlanepantla de Baz</v>
          </cell>
        </row>
        <row r="485">
          <cell r="C485">
            <v>6037</v>
          </cell>
          <cell r="D485" t="str">
            <v>Tlanepantla de Baz</v>
          </cell>
        </row>
        <row r="486">
          <cell r="C486">
            <v>6037</v>
          </cell>
          <cell r="D486" t="str">
            <v>Tlanepantla de Baz</v>
          </cell>
        </row>
        <row r="487">
          <cell r="C487">
            <v>6037</v>
          </cell>
          <cell r="D487" t="str">
            <v>Tlanepantla de Baz</v>
          </cell>
        </row>
        <row r="488">
          <cell r="C488">
            <v>6037</v>
          </cell>
          <cell r="D488" t="str">
            <v>Tlanepantla de Baz</v>
          </cell>
        </row>
        <row r="489">
          <cell r="C489">
            <v>6037</v>
          </cell>
          <cell r="D489" t="str">
            <v>Tlanepantla de Baz</v>
          </cell>
        </row>
        <row r="490">
          <cell r="C490">
            <v>6037</v>
          </cell>
          <cell r="D490" t="str">
            <v>Tlanepantla de Baz</v>
          </cell>
        </row>
        <row r="491">
          <cell r="C491">
            <v>6037</v>
          </cell>
          <cell r="D491" t="str">
            <v>Tlanepantla de Baz</v>
          </cell>
        </row>
        <row r="492">
          <cell r="C492">
            <v>6037</v>
          </cell>
          <cell r="D492" t="str">
            <v>Tlanepantla de Baz</v>
          </cell>
        </row>
        <row r="493">
          <cell r="C493">
            <v>6037</v>
          </cell>
          <cell r="D493" t="str">
            <v>Tlanepantla de Baz</v>
          </cell>
        </row>
        <row r="494">
          <cell r="C494">
            <v>6038</v>
          </cell>
          <cell r="D494" t="str">
            <v>Coacalco de Berriozabal</v>
          </cell>
        </row>
        <row r="495">
          <cell r="C495">
            <v>6038</v>
          </cell>
          <cell r="D495" t="str">
            <v>Coacalco de Berriozabal</v>
          </cell>
        </row>
        <row r="496">
          <cell r="C496">
            <v>6038</v>
          </cell>
          <cell r="D496" t="str">
            <v>Coacalco de Berriozabal</v>
          </cell>
        </row>
        <row r="497">
          <cell r="C497">
            <v>6038</v>
          </cell>
          <cell r="D497" t="str">
            <v>Coacalco de Berriozabal</v>
          </cell>
        </row>
        <row r="498">
          <cell r="C498">
            <v>6038</v>
          </cell>
          <cell r="D498" t="str">
            <v>Coacalco de Berriozabal</v>
          </cell>
        </row>
        <row r="499">
          <cell r="C499">
            <v>6038</v>
          </cell>
          <cell r="D499" t="str">
            <v>Coacalco de Berriozabal</v>
          </cell>
        </row>
        <row r="500">
          <cell r="C500">
            <v>6038</v>
          </cell>
          <cell r="D500" t="str">
            <v>Coacalco de Berriozabal</v>
          </cell>
        </row>
        <row r="501">
          <cell r="C501">
            <v>6038</v>
          </cell>
          <cell r="D501" t="str">
            <v>Coacalco de Berriozabal</v>
          </cell>
        </row>
        <row r="502">
          <cell r="C502">
            <v>6038</v>
          </cell>
          <cell r="D502" t="str">
            <v>Coacalco de Berriozabal</v>
          </cell>
        </row>
        <row r="503">
          <cell r="C503">
            <v>6038</v>
          </cell>
          <cell r="D503" t="str">
            <v>Coacalco de Berriozabal</v>
          </cell>
        </row>
        <row r="504">
          <cell r="C504">
            <v>6038</v>
          </cell>
          <cell r="D504" t="str">
            <v>Coacalco de Berriozabal</v>
          </cell>
        </row>
        <row r="505">
          <cell r="C505">
            <v>6038</v>
          </cell>
          <cell r="D505" t="str">
            <v>Coacalco de Berriozabal</v>
          </cell>
        </row>
        <row r="506">
          <cell r="C506">
            <v>6038</v>
          </cell>
          <cell r="D506" t="str">
            <v>Coacalco de Berriozabal</v>
          </cell>
        </row>
        <row r="507">
          <cell r="C507">
            <v>6039</v>
          </cell>
          <cell r="D507" t="str">
            <v>Tepexpan (Acolman)</v>
          </cell>
        </row>
        <row r="508">
          <cell r="C508">
            <v>6039</v>
          </cell>
          <cell r="D508" t="str">
            <v>Tepexpan (Acolman)</v>
          </cell>
        </row>
        <row r="509">
          <cell r="C509">
            <v>6039</v>
          </cell>
          <cell r="D509" t="str">
            <v>Tepexpan (Acolman)</v>
          </cell>
        </row>
        <row r="510">
          <cell r="C510">
            <v>6039</v>
          </cell>
          <cell r="D510" t="str">
            <v>Tepexpan (Acolman)</v>
          </cell>
        </row>
        <row r="511">
          <cell r="C511">
            <v>6039</v>
          </cell>
          <cell r="D511" t="str">
            <v>Tepexpan (Acolman)</v>
          </cell>
        </row>
        <row r="512">
          <cell r="C512">
            <v>6039</v>
          </cell>
          <cell r="D512" t="str">
            <v>Tepexpan (Acolman)</v>
          </cell>
        </row>
        <row r="513">
          <cell r="C513">
            <v>6039</v>
          </cell>
          <cell r="D513" t="str">
            <v>Tepexpan (Acolman)</v>
          </cell>
        </row>
        <row r="514">
          <cell r="C514">
            <v>6039</v>
          </cell>
          <cell r="D514" t="str">
            <v>Tepexpan (Acolman)</v>
          </cell>
        </row>
        <row r="515">
          <cell r="C515">
            <v>6039</v>
          </cell>
          <cell r="D515" t="str">
            <v>Tepexpan (Acolman)</v>
          </cell>
        </row>
        <row r="516">
          <cell r="C516">
            <v>6039</v>
          </cell>
          <cell r="D516" t="str">
            <v>Tepexpan (Acolman)</v>
          </cell>
        </row>
        <row r="517">
          <cell r="C517">
            <v>6039</v>
          </cell>
          <cell r="D517" t="str">
            <v>Tepexpan (Acolman)</v>
          </cell>
        </row>
        <row r="518">
          <cell r="C518">
            <v>6039</v>
          </cell>
          <cell r="D518" t="str">
            <v>Tepexpan (Acolman)</v>
          </cell>
        </row>
        <row r="519">
          <cell r="C519">
            <v>6039</v>
          </cell>
          <cell r="D519" t="str">
            <v>Tepexpan (Acolman)</v>
          </cell>
        </row>
        <row r="520">
          <cell r="C520">
            <v>6040</v>
          </cell>
          <cell r="D520" t="str">
            <v>Ixtapaluca</v>
          </cell>
        </row>
        <row r="521">
          <cell r="C521">
            <v>6040</v>
          </cell>
          <cell r="D521" t="str">
            <v>Ixtapaluca</v>
          </cell>
        </row>
        <row r="522">
          <cell r="C522">
            <v>6040</v>
          </cell>
          <cell r="D522" t="str">
            <v>Ixtapaluca</v>
          </cell>
        </row>
        <row r="523">
          <cell r="C523">
            <v>6040</v>
          </cell>
          <cell r="D523" t="str">
            <v>Ixtapaluca</v>
          </cell>
        </row>
        <row r="524">
          <cell r="C524">
            <v>6040</v>
          </cell>
          <cell r="D524" t="str">
            <v>Ixtapaluca</v>
          </cell>
        </row>
        <row r="525">
          <cell r="C525">
            <v>6040</v>
          </cell>
          <cell r="D525" t="str">
            <v>Ixtapaluca</v>
          </cell>
        </row>
        <row r="526">
          <cell r="C526">
            <v>6040</v>
          </cell>
          <cell r="D526" t="str">
            <v>Ixtapaluca</v>
          </cell>
        </row>
        <row r="527">
          <cell r="C527">
            <v>6040</v>
          </cell>
          <cell r="D527" t="str">
            <v>Ixtapaluca</v>
          </cell>
        </row>
        <row r="528">
          <cell r="C528">
            <v>6040</v>
          </cell>
          <cell r="D528" t="str">
            <v>Ixtapaluca</v>
          </cell>
        </row>
        <row r="529">
          <cell r="C529">
            <v>6040</v>
          </cell>
          <cell r="D529" t="str">
            <v>Ixtapaluca</v>
          </cell>
        </row>
        <row r="530">
          <cell r="C530">
            <v>6040</v>
          </cell>
          <cell r="D530" t="str">
            <v>Ixtapaluca</v>
          </cell>
        </row>
        <row r="531">
          <cell r="C531">
            <v>6040</v>
          </cell>
          <cell r="D531" t="str">
            <v>Ixtapaluca</v>
          </cell>
        </row>
        <row r="532">
          <cell r="C532">
            <v>6040</v>
          </cell>
          <cell r="D532" t="str">
            <v>Ixtapaluca</v>
          </cell>
        </row>
        <row r="533">
          <cell r="C533">
            <v>6041</v>
          </cell>
          <cell r="D533" t="str">
            <v>CD. Nezahualcoyotl</v>
          </cell>
        </row>
        <row r="534">
          <cell r="C534">
            <v>6041</v>
          </cell>
          <cell r="D534" t="str">
            <v>CD. Nezahualcoyotl</v>
          </cell>
        </row>
        <row r="535">
          <cell r="C535">
            <v>6041</v>
          </cell>
          <cell r="D535" t="str">
            <v>CD. Nezahualcoyotl</v>
          </cell>
        </row>
        <row r="536">
          <cell r="C536">
            <v>6041</v>
          </cell>
          <cell r="D536" t="str">
            <v>CD. Nezahualcoyotl</v>
          </cell>
        </row>
        <row r="537">
          <cell r="C537">
            <v>6041</v>
          </cell>
          <cell r="D537" t="str">
            <v>CD. Nezahualcoyotl</v>
          </cell>
        </row>
        <row r="538">
          <cell r="C538">
            <v>6041</v>
          </cell>
          <cell r="D538" t="str">
            <v>CD. Nezahualcoyotl</v>
          </cell>
        </row>
        <row r="539">
          <cell r="C539">
            <v>6041</v>
          </cell>
          <cell r="D539" t="str">
            <v>CD. Nezahualcoyotl</v>
          </cell>
        </row>
        <row r="540">
          <cell r="C540">
            <v>6041</v>
          </cell>
          <cell r="D540" t="str">
            <v>CD. Nezahualcoyotl</v>
          </cell>
        </row>
        <row r="541">
          <cell r="C541">
            <v>6041</v>
          </cell>
          <cell r="D541" t="str">
            <v>CD. Nezahualcoyotl</v>
          </cell>
        </row>
        <row r="542">
          <cell r="C542">
            <v>6041</v>
          </cell>
          <cell r="D542" t="str">
            <v>CD. Nezahualcoyotl</v>
          </cell>
        </row>
        <row r="543">
          <cell r="C543">
            <v>6041</v>
          </cell>
          <cell r="D543" t="str">
            <v>CD. Nezahualcoyotl</v>
          </cell>
        </row>
        <row r="544">
          <cell r="C544">
            <v>6041</v>
          </cell>
          <cell r="D544" t="str">
            <v>CD. Nezahualcoyotl</v>
          </cell>
        </row>
        <row r="545">
          <cell r="C545">
            <v>6041</v>
          </cell>
          <cell r="D545" t="str">
            <v>CD. Nezahualcoyotl</v>
          </cell>
        </row>
        <row r="546">
          <cell r="C546">
            <v>6042</v>
          </cell>
          <cell r="D546" t="str">
            <v>Ecatepec de Morelos</v>
          </cell>
        </row>
        <row r="547">
          <cell r="C547">
            <v>6042</v>
          </cell>
          <cell r="D547" t="str">
            <v>Ecatepec de Morelos</v>
          </cell>
        </row>
        <row r="548">
          <cell r="C548">
            <v>6042</v>
          </cell>
          <cell r="D548" t="str">
            <v>Ecatepec de Morelos</v>
          </cell>
        </row>
        <row r="549">
          <cell r="C549">
            <v>6042</v>
          </cell>
          <cell r="D549" t="str">
            <v>Ecatepec de Morelos</v>
          </cell>
        </row>
        <row r="550">
          <cell r="C550">
            <v>6042</v>
          </cell>
          <cell r="D550" t="str">
            <v>Ecatepec de Morelos</v>
          </cell>
        </row>
        <row r="551">
          <cell r="C551">
            <v>6042</v>
          </cell>
          <cell r="D551" t="str">
            <v>Ecatepec de Morelos</v>
          </cell>
        </row>
        <row r="552">
          <cell r="C552">
            <v>6042</v>
          </cell>
          <cell r="D552" t="str">
            <v>Ecatepec de Morelos</v>
          </cell>
        </row>
        <row r="553">
          <cell r="C553">
            <v>6042</v>
          </cell>
          <cell r="D553" t="str">
            <v>Ecatepec de Morelos</v>
          </cell>
        </row>
        <row r="554">
          <cell r="C554">
            <v>6042</v>
          </cell>
          <cell r="D554" t="str">
            <v>Ecatepec de Morelos</v>
          </cell>
        </row>
        <row r="555">
          <cell r="C555">
            <v>6042</v>
          </cell>
          <cell r="D555" t="str">
            <v>Ecatepec de Morelos</v>
          </cell>
        </row>
        <row r="556">
          <cell r="C556">
            <v>6042</v>
          </cell>
          <cell r="D556" t="str">
            <v>Ecatepec de Morelos</v>
          </cell>
        </row>
        <row r="557">
          <cell r="C557">
            <v>6042</v>
          </cell>
          <cell r="D557" t="str">
            <v>Ecatepec de Morelos</v>
          </cell>
        </row>
        <row r="558">
          <cell r="C558">
            <v>6042</v>
          </cell>
          <cell r="D558" t="str">
            <v>Ecatepec de Morelos</v>
          </cell>
        </row>
        <row r="559">
          <cell r="C559">
            <v>6043</v>
          </cell>
          <cell r="D559" t="str">
            <v>Cuautitlan Izcalli</v>
          </cell>
        </row>
        <row r="560">
          <cell r="C560">
            <v>6043</v>
          </cell>
          <cell r="D560" t="str">
            <v>Cuautitlan Izcalli</v>
          </cell>
        </row>
        <row r="561">
          <cell r="C561">
            <v>6043</v>
          </cell>
          <cell r="D561" t="str">
            <v>Cuautitlan Izcalli</v>
          </cell>
        </row>
        <row r="562">
          <cell r="C562">
            <v>6043</v>
          </cell>
          <cell r="D562" t="str">
            <v>Cuautitlan Izcalli</v>
          </cell>
        </row>
        <row r="563">
          <cell r="C563">
            <v>6043</v>
          </cell>
          <cell r="D563" t="str">
            <v>Cuautitlan Izcalli</v>
          </cell>
        </row>
        <row r="564">
          <cell r="C564">
            <v>6043</v>
          </cell>
          <cell r="D564" t="str">
            <v>Cuautitlan Izcalli</v>
          </cell>
        </row>
        <row r="565">
          <cell r="C565">
            <v>6043</v>
          </cell>
          <cell r="D565" t="str">
            <v>Cuautitlan Izcalli</v>
          </cell>
        </row>
        <row r="566">
          <cell r="C566">
            <v>6043</v>
          </cell>
          <cell r="D566" t="str">
            <v>Cuautitlan Izcalli</v>
          </cell>
        </row>
        <row r="567">
          <cell r="C567">
            <v>6043</v>
          </cell>
          <cell r="D567" t="str">
            <v>Cuautitlan Izcalli</v>
          </cell>
        </row>
        <row r="568">
          <cell r="C568">
            <v>6043</v>
          </cell>
          <cell r="D568" t="str">
            <v>Cuautitlan Izcalli</v>
          </cell>
        </row>
        <row r="569">
          <cell r="C569">
            <v>6043</v>
          </cell>
          <cell r="D569" t="str">
            <v>Cuautitlan Izcalli</v>
          </cell>
        </row>
        <row r="570">
          <cell r="C570">
            <v>6043</v>
          </cell>
          <cell r="D570" t="str">
            <v>Cuautitlan Izcalli</v>
          </cell>
        </row>
        <row r="571">
          <cell r="C571">
            <v>6043</v>
          </cell>
          <cell r="D571" t="str">
            <v>Cuautitlan Izcalli</v>
          </cell>
        </row>
        <row r="572">
          <cell r="C572">
            <v>6044</v>
          </cell>
          <cell r="D572" t="str">
            <v>Nicolas Romero</v>
          </cell>
        </row>
        <row r="573">
          <cell r="C573">
            <v>6044</v>
          </cell>
          <cell r="D573" t="str">
            <v>Nicolas Romero</v>
          </cell>
        </row>
        <row r="574">
          <cell r="C574">
            <v>6044</v>
          </cell>
          <cell r="D574" t="str">
            <v>Nicolas Romero</v>
          </cell>
        </row>
        <row r="575">
          <cell r="C575">
            <v>6044</v>
          </cell>
          <cell r="D575" t="str">
            <v>Nicolas Romero</v>
          </cell>
        </row>
        <row r="576">
          <cell r="C576">
            <v>6044</v>
          </cell>
          <cell r="D576" t="str">
            <v>Nicolas Romero</v>
          </cell>
        </row>
        <row r="577">
          <cell r="C577">
            <v>6044</v>
          </cell>
          <cell r="D577" t="str">
            <v>Nicolas Romero</v>
          </cell>
        </row>
        <row r="578">
          <cell r="C578">
            <v>6044</v>
          </cell>
          <cell r="D578" t="str">
            <v>Nicolas Romero</v>
          </cell>
        </row>
        <row r="579">
          <cell r="C579">
            <v>6044</v>
          </cell>
          <cell r="D579" t="str">
            <v>Nicolas Romero</v>
          </cell>
        </row>
        <row r="580">
          <cell r="C580">
            <v>6044</v>
          </cell>
          <cell r="D580" t="str">
            <v>Nicolas Romero</v>
          </cell>
        </row>
        <row r="581">
          <cell r="C581">
            <v>6044</v>
          </cell>
          <cell r="D581" t="str">
            <v>Nicolas Romero</v>
          </cell>
        </row>
        <row r="582">
          <cell r="C582">
            <v>6044</v>
          </cell>
          <cell r="D582" t="str">
            <v>Nicolas Romero</v>
          </cell>
        </row>
        <row r="583">
          <cell r="C583">
            <v>6044</v>
          </cell>
          <cell r="D583" t="str">
            <v>Nicolas Romero</v>
          </cell>
        </row>
        <row r="584">
          <cell r="C584">
            <v>6044</v>
          </cell>
          <cell r="D584" t="str">
            <v>Nicolas Romero</v>
          </cell>
        </row>
        <row r="585">
          <cell r="C585">
            <v>6045</v>
          </cell>
          <cell r="D585" t="str">
            <v>Barrio la Cabecera 3a Seccion (Almoloya de Juarez)</v>
          </cell>
        </row>
        <row r="586">
          <cell r="C586">
            <v>6045</v>
          </cell>
          <cell r="D586" t="str">
            <v>Barrio la Cabecera 3a Seccion (Almoloya de Juarez)</v>
          </cell>
        </row>
        <row r="587">
          <cell r="C587">
            <v>6045</v>
          </cell>
          <cell r="D587" t="str">
            <v>Barrio la Cabecera 3a Seccion (Almoloya de Juarez)</v>
          </cell>
        </row>
        <row r="588">
          <cell r="C588">
            <v>6045</v>
          </cell>
          <cell r="D588" t="str">
            <v>Barrio la Cabecera 3a Seccion (Almoloya de Juarez)</v>
          </cell>
        </row>
        <row r="589">
          <cell r="C589">
            <v>6045</v>
          </cell>
          <cell r="D589" t="str">
            <v>Barrio la Cabecera 3a Seccion (Almoloya de Juarez)</v>
          </cell>
        </row>
        <row r="590">
          <cell r="C590">
            <v>6045</v>
          </cell>
          <cell r="D590" t="str">
            <v>Barrio la Cabecera 3a Seccion (Almoloya de Juarez)</v>
          </cell>
        </row>
        <row r="591">
          <cell r="C591">
            <v>6045</v>
          </cell>
          <cell r="D591" t="str">
            <v>Barrio la Cabecera 3a Seccion (Almoloya de Juarez)</v>
          </cell>
        </row>
        <row r="592">
          <cell r="C592">
            <v>6045</v>
          </cell>
          <cell r="D592" t="str">
            <v>Barrio la Cabecera 3a Seccion (Almoloya de Juarez)</v>
          </cell>
        </row>
        <row r="593">
          <cell r="C593">
            <v>6045</v>
          </cell>
          <cell r="D593" t="str">
            <v>Barrio la Cabecera 3a Seccion (Almoloya de Juarez)</v>
          </cell>
        </row>
        <row r="594">
          <cell r="C594">
            <v>6045</v>
          </cell>
          <cell r="D594" t="str">
            <v>Barrio la Cabecera 3a Seccion (Almoloya de Juarez)</v>
          </cell>
        </row>
        <row r="595">
          <cell r="C595">
            <v>6045</v>
          </cell>
          <cell r="D595" t="str">
            <v>Barrio la Cabecera 3a Seccion (Almoloya de Juarez)</v>
          </cell>
        </row>
        <row r="596">
          <cell r="C596">
            <v>6045</v>
          </cell>
          <cell r="D596" t="str">
            <v>Barrio la Cabecera 3a Seccion (Almoloya de Juarez)</v>
          </cell>
        </row>
        <row r="597">
          <cell r="C597">
            <v>6045</v>
          </cell>
          <cell r="D597" t="str">
            <v>Barrio la Cabecera 3a Seccion (Almoloya de Juarez)</v>
          </cell>
        </row>
      </sheetData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6325.520350231483" createdVersion="6" refreshedVersion="6" minRefreshableVersion="3" recordCount="596">
  <cacheSource type="worksheet">
    <worksheetSource ref="A5:P601" sheet="BD"/>
  </cacheSource>
  <cacheFields count="16">
    <cacheField name="CONCAT" numFmtId="0">
      <sharedItems/>
    </cacheField>
    <cacheField name="NP" numFmtId="0">
      <sharedItems containsSemiMixedTypes="0" containsString="0" containsNumber="1" containsInteger="1" minValue="1" maxValue="680"/>
    </cacheField>
    <cacheField name="TOTAL" numFmtId="0">
      <sharedItems containsSemiMixedTypes="0" containsString="0" containsNumber="1" containsInteger="1" minValue="11" maxValue="17"/>
    </cacheField>
    <cacheField name="CLAVE" numFmtId="0">
      <sharedItems containsSemiMixedTypes="0" containsString="0" containsNumber="1" containsInteger="1" minValue="6001" maxValue="6045" count="45"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</sharedItems>
    </cacheField>
    <cacheField name="DISTRITO" numFmtId="0">
      <sharedItems count="38">
        <s v="Chalco de Diaz Covarrubias"/>
        <s v="Toluca de Lerdo"/>
        <s v="Chimaihuacan"/>
        <s v="Lerma de Villada"/>
        <s v="Chimalhuacan"/>
        <s v="Ecatepec de Morelos"/>
        <s v="Tenancingo de Degollado"/>
        <s v="Tejupilco de Hidalgo"/>
        <s v="Valle de Bravo"/>
        <s v="Tultitlan de Mariano Escobedo"/>
        <s v="Teoloyucan"/>
        <s v="Atlacomulco de Fabela"/>
        <s v="Jilotepec de Andres Molina Enriquez"/>
        <s v="Ixtlahuaca de Rayon"/>
        <s v="Ciudad Adolfo Lopez Mateos"/>
        <s v="Huixquilucan de degollado"/>
        <s v="Tlanepantla de Baz"/>
        <s v="Santamaria Tultepec"/>
        <s v="Zumpango de Ocampo"/>
        <s v="Ojo de agua Tecamac"/>
        <s v="Texcoco de Mora"/>
        <s v="CD Nezahualcoyotl"/>
        <s v="Cuautitlan Izcalli"/>
        <s v="Valle de Chalco Solidaridad"/>
        <s v="Amecameca de juarez"/>
        <s v="Teaguistenco de Galeana"/>
        <s v="Naucalpan de Juarez"/>
        <s v="Los Reyes Acaquilpan"/>
        <s v="Ojo de Agua (Tecamac)"/>
        <s v="Touca de Lerdo"/>
        <s v="Metepec"/>
        <s v="San Miguel Zinacantepec"/>
        <s v="Coacalco de Berriozabal"/>
        <s v="Tepexpan (Acolman)"/>
        <s v="Ixtapaluca"/>
        <s v="CD. Nezahualcoyotl"/>
        <s v="Nicolas Romero"/>
        <s v="Barrio la Cabecera 3a Seccion (Almoloya de Juarez)"/>
      </sharedItems>
    </cacheField>
    <cacheField name="LOCALIDAD" numFmtId="0">
      <sharedItems/>
    </cacheField>
    <cacheField name="ARTICULO" numFmtId="0">
      <sharedItems count="11">
        <s v="BAFLE"/>
        <s v="BOTIQUIN"/>
        <s v="CAMARA DIGITAL"/>
        <s v="ENGARGOLADORA"/>
        <s v="EQUIPO DE PERIFONEO"/>
        <s v="GRABADORA"/>
        <s v="LAMPARA DE EMERGENCIA CHICA"/>
        <s v="LAMPARA DE EMERGENCIA GRANDE"/>
        <s v="RECEPTOR"/>
        <s v="TAJALAPIZ"/>
        <s v="TELEFONOS"/>
      </sharedItems>
    </cacheField>
    <cacheField name="MARCA " numFmtId="0">
      <sharedItems/>
    </cacheField>
    <cacheField name="INVENTARIO 1" numFmtId="0">
      <sharedItems/>
    </cacheField>
    <cacheField name="INVENTARIO M" numFmtId="0">
      <sharedItems/>
    </cacheField>
    <cacheField name="VALIDADOR" numFmtId="0">
      <sharedItems containsSemiMixedTypes="0" containsString="0" containsNumber="1" containsInteger="1" minValue="2" maxValue="13"/>
    </cacheField>
    <cacheField name="OBSERVACIONES" numFmtId="0">
      <sharedItems containsBlank="1"/>
    </cacheField>
    <cacheField name="DIA" numFmtId="0">
      <sharedItems count="6">
        <s v="Dia 5"/>
        <s v="Día 2"/>
        <s v="Día 1"/>
        <s v="Día 4"/>
        <s v="Día 3"/>
        <s v="Día 6"/>
      </sharedItems>
    </cacheField>
    <cacheField name="RUTA" numFmtId="0">
      <sharedItems containsSemiMixedTypes="0" containsString="0" containsNumber="1" containsInteger="1" minValue="1" maxValue="34"/>
    </cacheField>
    <cacheField name="H. EMBARQUE" numFmtId="18">
      <sharedItems containsSemiMixedTypes="0" containsNonDate="0" containsDate="1" containsString="0" minDate="1899-12-30T08:00:00" maxDate="1899-12-30T16:00:00" count="16">
        <d v="1899-12-30T08:00:00"/>
        <d v="1899-12-30T14:30:00"/>
        <d v="1899-12-30T10:30:00"/>
        <d v="1899-12-30T14:00:00"/>
        <d v="1899-12-30T11:30:00"/>
        <d v="1899-12-30T15:00:00"/>
        <d v="1899-12-30T11:00:00"/>
        <d v="1899-12-30T13:00:00"/>
        <d v="1899-12-30T12:30:00"/>
        <d v="1899-12-30T12:00:00"/>
        <d v="1899-12-30T09:30:00"/>
        <d v="1899-12-30T09:00:00"/>
        <d v="1899-12-30T16:00:00"/>
        <d v="1899-12-30T13:30:00"/>
        <d v="1899-12-30T15:30:00"/>
        <d v="1899-12-30T10:00:00"/>
      </sharedItems>
    </cacheField>
    <cacheField name="H. LLEGADA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Usuario" refreshedDate="46325.663873726851" refreshedVersion="6" recordCount="596">
  <cacheSource type="worksheet">
    <worksheetSource ref="B5:K601" sheet="BD"/>
  </cacheSource>
  <cacheFields count="10">
    <cacheField name="NP" numFmtId="0">
      <sharedItems containsSemiMixedTypes="0" containsString="0" containsNumber="1" containsInteger="1" minValue="1" maxValue="680"/>
    </cacheField>
    <cacheField name="TOTAL" numFmtId="0">
      <sharedItems containsSemiMixedTypes="0" containsString="0" containsNumber="1" containsInteger="1" minValue="11" maxValue="17"/>
    </cacheField>
    <cacheField name="CLAVE" numFmtId="0">
      <sharedItems containsSemiMixedTypes="0" containsString="0" containsNumber="1" containsInteger="1" minValue="6001" maxValue="6045" count="45"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</sharedItems>
    </cacheField>
    <cacheField name="DISTRITO" numFmtId="0">
      <sharedItems count="38">
        <s v="Chalco de Diaz Covarrubias"/>
        <s v="Toluca de Lerdo"/>
        <s v="Chimaihuacan"/>
        <s v="Lerma de Villada"/>
        <s v="Chimalhuacan"/>
        <s v="Ecatepec de Morelos"/>
        <s v="Tenancingo de Degollado"/>
        <s v="Tejupilco de Hidalgo"/>
        <s v="Valle de Bravo"/>
        <s v="Tultitlan de Mariano Escobedo"/>
        <s v="Teoloyucan"/>
        <s v="Atlacomulco de Fabela"/>
        <s v="Jilotepec de Andres Molina Enriquez"/>
        <s v="Ixtlahuaca de Rayon"/>
        <s v="Ciudad Adolfo Lopez Mateos"/>
        <s v="Huixquilucan de degollado"/>
        <s v="Tlanepantla de Baz"/>
        <s v="Santamaria Tultepec"/>
        <s v="Zumpango de Ocampo"/>
        <s v="Ojo de agua Tecamac"/>
        <s v="Texcoco de Mora"/>
        <s v="CD Nezahualcoyotl"/>
        <s v="Cuautitlan Izcalli"/>
        <s v="Valle de Chalco Solidaridad"/>
        <s v="Amecameca de juarez"/>
        <s v="Teaguistenco de Galeana"/>
        <s v="Naucalpan de Juarez"/>
        <s v="Los Reyes Acaquilpan"/>
        <s v="Ojo de Agua (Tecamac)"/>
        <s v="Touca de Lerdo"/>
        <s v="Metepec"/>
        <s v="San Miguel Zinacantepec"/>
        <s v="Coacalco de Berriozabal"/>
        <s v="Tepexpan (Acolman)"/>
        <s v="Ixtapaluca"/>
        <s v="CD. Nezahualcoyotl"/>
        <s v="Nicolas Romero"/>
        <s v="Barrio la Cabecera 3a Seccion (Almoloya de Juarez)"/>
      </sharedItems>
    </cacheField>
    <cacheField name="LOCALIDAD" numFmtId="0">
      <sharedItems/>
    </cacheField>
    <cacheField name="ARTICULO" numFmtId="0">
      <sharedItems/>
    </cacheField>
    <cacheField name="MARCA " numFmtId="0">
      <sharedItems/>
    </cacheField>
    <cacheField name="INVENTARIO 1" numFmtId="0">
      <sharedItems/>
    </cacheField>
    <cacheField name="INVENTARIO M" numFmtId="0">
      <sharedItems/>
    </cacheField>
    <cacheField name="VALIDADOR" numFmtId="0">
      <sharedItems containsSemiMixedTypes="0" containsString="0" containsNumber="1" containsInteger="1" minValue="2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6">
  <r>
    <s v="600125"/>
    <n v="1"/>
    <n v="13"/>
    <x v="0"/>
    <x v="0"/>
    <s v="NA"/>
    <x v="0"/>
    <s v="STEREN"/>
    <s v="IBAF00100183"/>
    <s v="IBAF00100183"/>
    <n v="12"/>
    <s v="Incluye: Cable de Alimentación,"/>
    <x v="0"/>
    <n v="25"/>
    <x v="0"/>
    <s v="12:00 hrs"/>
  </r>
  <r>
    <s v="600125"/>
    <n v="2"/>
    <n v="13"/>
    <x v="0"/>
    <x v="0"/>
    <s v="NA"/>
    <x v="1"/>
    <s v="SN"/>
    <s v="ibot00100106"/>
    <s v="IBOT00100106"/>
    <n v="12"/>
    <m/>
    <x v="0"/>
    <n v="25"/>
    <x v="0"/>
    <s v="12:00 hrs"/>
  </r>
  <r>
    <s v="600125"/>
    <n v="3"/>
    <n v="13"/>
    <x v="0"/>
    <x v="0"/>
    <s v="NA"/>
    <x v="2"/>
    <s v="SONY"/>
    <s v="ICAM00101794"/>
    <s v="ICAM00101794"/>
    <n v="12"/>
    <s v="Incluye: Memoria de 4GB, Cargador y Pila."/>
    <x v="0"/>
    <n v="25"/>
    <x v="0"/>
    <s v="12:00 hrs"/>
  </r>
  <r>
    <s v="600125"/>
    <n v="4"/>
    <n v="13"/>
    <x v="0"/>
    <x v="0"/>
    <s v="NA"/>
    <x v="3"/>
    <s v="COMBO"/>
    <s v="IENC00100144"/>
    <s v="IENC00100144"/>
    <n v="12"/>
    <m/>
    <x v="0"/>
    <n v="25"/>
    <x v="0"/>
    <s v="12:00 hrs"/>
  </r>
  <r>
    <s v="600125"/>
    <n v="5"/>
    <n v="13"/>
    <x v="0"/>
    <x v="0"/>
    <s v="NA"/>
    <x v="4"/>
    <s v="RADSON"/>
    <s v="iamp00100132"/>
    <s v="IAMP00100132"/>
    <n v="12"/>
    <m/>
    <x v="0"/>
    <n v="25"/>
    <x v="0"/>
    <s v="12:00 hrs"/>
  </r>
  <r>
    <s v="600125"/>
    <n v="6"/>
    <n v="13"/>
    <x v="0"/>
    <x v="0"/>
    <s v="NA"/>
    <x v="5"/>
    <s v="SONY"/>
    <s v="IGRA00100332"/>
    <s v="IGRA00100332"/>
    <n v="12"/>
    <m/>
    <x v="0"/>
    <n v="25"/>
    <x v="0"/>
    <s v="12:00 hrs"/>
  </r>
  <r>
    <s v="600125"/>
    <n v="7"/>
    <n v="13"/>
    <x v="0"/>
    <x v="0"/>
    <s v="NA"/>
    <x v="6"/>
    <s v="SURTEK"/>
    <s v="ILAM00101145"/>
    <s v="ILAM00101145"/>
    <n v="12"/>
    <s v="Incluye: Cable de Alimentacion (Lampara chica)"/>
    <x v="0"/>
    <n v="25"/>
    <x v="0"/>
    <s v="12:00 hrs"/>
  </r>
  <r>
    <s v="600125"/>
    <n v="8"/>
    <n v="13"/>
    <x v="0"/>
    <x v="0"/>
    <s v="NA"/>
    <x v="6"/>
    <s v="SURTEK"/>
    <s v="ILAM00101151"/>
    <s v="ILAM00101151"/>
    <n v="12"/>
    <s v="Incluye: Cable de Alimentacion (Lampara chica)"/>
    <x v="0"/>
    <n v="25"/>
    <x v="0"/>
    <s v="12:00 hrs"/>
  </r>
  <r>
    <s v="600125"/>
    <n v="9"/>
    <n v="13"/>
    <x v="0"/>
    <x v="0"/>
    <s v="NA"/>
    <x v="6"/>
    <s v="SURTEK"/>
    <s v="ILAM00101157"/>
    <s v="ILAM00101157"/>
    <n v="12"/>
    <s v="Incluye: Cable de Alimentacion (Lampara chica)"/>
    <x v="0"/>
    <n v="25"/>
    <x v="0"/>
    <s v="12:00 hrs"/>
  </r>
  <r>
    <s v="600125"/>
    <n v="10"/>
    <n v="13"/>
    <x v="0"/>
    <x v="0"/>
    <s v="NA"/>
    <x v="7"/>
    <s v="STEREN"/>
    <s v="SN"/>
    <s v="SN"/>
    <n v="2"/>
    <s v="Incluye: Cable de Alimentacion (Lampara grande)"/>
    <x v="0"/>
    <n v="25"/>
    <x v="0"/>
    <s v="12:00 hrs"/>
  </r>
  <r>
    <s v="600125"/>
    <n v="14"/>
    <n v="13"/>
    <x v="0"/>
    <x v="0"/>
    <s v="NA"/>
    <x v="8"/>
    <s v="SOUNDTRACK"/>
    <s v="isis01200111"/>
    <s v="ISIS01200111"/>
    <n v="12"/>
    <s v="Incluye: 2 Microfonos, Cable extencion Plug. Macho de 6.6mm, 2 Antenas y Eliminador y 2 soportes de microfonos"/>
    <x v="0"/>
    <n v="25"/>
    <x v="0"/>
    <s v="12:00 hrs"/>
  </r>
  <r>
    <s v="600125"/>
    <n v="15"/>
    <n v="13"/>
    <x v="0"/>
    <x v="0"/>
    <s v="NA"/>
    <x v="9"/>
    <s v="SN"/>
    <s v="itaj00100201"/>
    <s v="ITAJ00100201"/>
    <n v="12"/>
    <m/>
    <x v="0"/>
    <n v="25"/>
    <x v="0"/>
    <s v="12:00 hrs"/>
  </r>
  <r>
    <s v="600125"/>
    <n v="16"/>
    <n v="13"/>
    <x v="0"/>
    <x v="0"/>
    <s v="NA"/>
    <x v="10"/>
    <s v="TELMEX"/>
    <s v="itel00100425"/>
    <s v="ITEL00100425"/>
    <n v="12"/>
    <m/>
    <x v="0"/>
    <n v="25"/>
    <x v="0"/>
    <s v="12:00 hrs"/>
  </r>
  <r>
    <s v="600212"/>
    <n v="17"/>
    <n v="12"/>
    <x v="1"/>
    <x v="1"/>
    <s v="NA"/>
    <x v="0"/>
    <s v="STEREN"/>
    <s v="IBAF00100113"/>
    <s v="IBAF00100113"/>
    <n v="12"/>
    <s v="Incluye: Cable de Alimentación, CON CABLE PLUS 3 VIAS"/>
    <x v="1"/>
    <n v="12"/>
    <x v="1"/>
    <s v="16:30 hrs"/>
  </r>
  <r>
    <s v="600212"/>
    <n v="18"/>
    <n v="12"/>
    <x v="1"/>
    <x v="1"/>
    <s v="NA"/>
    <x v="1"/>
    <s v="SN"/>
    <s v="IBOT00100182"/>
    <s v="IBOT00100182"/>
    <n v="12"/>
    <m/>
    <x v="1"/>
    <n v="12"/>
    <x v="1"/>
    <s v="16:30 hrs"/>
  </r>
  <r>
    <s v="600212"/>
    <n v="19"/>
    <n v="12"/>
    <x v="1"/>
    <x v="1"/>
    <s v="NA"/>
    <x v="2"/>
    <s v="SONY"/>
    <s v="icam00101757"/>
    <s v="ICAM00101757"/>
    <n v="12"/>
    <m/>
    <x v="1"/>
    <n v="12"/>
    <x v="1"/>
    <s v="16:30 hrs"/>
  </r>
  <r>
    <s v="600212"/>
    <n v="20"/>
    <n v="12"/>
    <x v="1"/>
    <x v="1"/>
    <s v="NA"/>
    <x v="3"/>
    <s v="COMBO"/>
    <s v="ieng00100126"/>
    <s v="IENG00100126"/>
    <n v="12"/>
    <m/>
    <x v="1"/>
    <n v="12"/>
    <x v="1"/>
    <s v="16:30 hrs"/>
  </r>
  <r>
    <s v="600212"/>
    <n v="21"/>
    <n v="12"/>
    <x v="1"/>
    <x v="1"/>
    <s v="NA"/>
    <x v="4"/>
    <s v="RADSON"/>
    <s v="IAMP00100061"/>
    <s v="IAMP00100061"/>
    <n v="12"/>
    <m/>
    <x v="1"/>
    <n v="12"/>
    <x v="1"/>
    <s v="16:30 hrs"/>
  </r>
  <r>
    <s v="600212"/>
    <n v="22"/>
    <n v="12"/>
    <x v="1"/>
    <x v="1"/>
    <s v="NA"/>
    <x v="5"/>
    <s v="SONY"/>
    <s v="igra00100377"/>
    <s v="IGRA00100377"/>
    <n v="12"/>
    <m/>
    <x v="1"/>
    <n v="12"/>
    <x v="1"/>
    <s v="16:30 hrs"/>
  </r>
  <r>
    <s v="600212"/>
    <n v="23"/>
    <n v="12"/>
    <x v="1"/>
    <x v="1"/>
    <s v="NA"/>
    <x v="6"/>
    <s v="SURTEK"/>
    <s v="ILAM00101251"/>
    <s v="ILAM00101251"/>
    <n v="12"/>
    <s v="Incluye: Cable de Alimentacion (Lampara chica)"/>
    <x v="1"/>
    <n v="12"/>
    <x v="1"/>
    <s v="16:30 hrs"/>
  </r>
  <r>
    <s v="600212"/>
    <n v="24"/>
    <n v="12"/>
    <x v="1"/>
    <x v="1"/>
    <s v="NA"/>
    <x v="6"/>
    <s v="SURTEK"/>
    <s v="ILAM00101321"/>
    <s v="ILAM00101321"/>
    <n v="12"/>
    <s v="Incluye: Cable de Alimentacion (Lampara chica)"/>
    <x v="1"/>
    <n v="12"/>
    <x v="1"/>
    <s v="16:30 hrs"/>
  </r>
  <r>
    <s v="600212"/>
    <n v="25"/>
    <n v="12"/>
    <x v="1"/>
    <x v="1"/>
    <s v="NA"/>
    <x v="7"/>
    <s v="STEREN"/>
    <s v="SN"/>
    <s v="SN"/>
    <n v="2"/>
    <s v="Incluye: Cable de Alimentacion (Lampara grande)"/>
    <x v="1"/>
    <n v="12"/>
    <x v="1"/>
    <s v="16:30 hrs"/>
  </r>
  <r>
    <s v="600212"/>
    <n v="26"/>
    <n v="12"/>
    <x v="1"/>
    <x v="1"/>
    <s v="NA"/>
    <x v="8"/>
    <s v="SOUNDTRACK"/>
    <s v="isis01200114"/>
    <s v="ISIS01200114"/>
    <n v="12"/>
    <s v="Incluye: 2 Microfonos, Cable extencion Plug. Macho de 6.6mm, 2 Antenas y Eliminador y 2 soportes de microfonos"/>
    <x v="1"/>
    <n v="12"/>
    <x v="1"/>
    <s v="16:30 hrs"/>
  </r>
  <r>
    <s v="600212"/>
    <n v="27"/>
    <n v="12"/>
    <x v="1"/>
    <x v="1"/>
    <s v="NA"/>
    <x v="9"/>
    <s v="SN"/>
    <s v="ITAJ00100169"/>
    <s v="ITAJ00100169"/>
    <n v="12"/>
    <m/>
    <x v="1"/>
    <n v="12"/>
    <x v="1"/>
    <s v="16:30 hrs"/>
  </r>
  <r>
    <s v="600212"/>
    <n v="28"/>
    <n v="12"/>
    <x v="1"/>
    <x v="1"/>
    <s v="NA"/>
    <x v="10"/>
    <s v="TELMEX"/>
    <s v="ITEL00101131"/>
    <s v="ITEL00101131"/>
    <n v="12"/>
    <m/>
    <x v="1"/>
    <n v="12"/>
    <x v="1"/>
    <s v="16:30 hrs"/>
  </r>
  <r>
    <s v="60032"/>
    <n v="29"/>
    <n v="17"/>
    <x v="2"/>
    <x v="2"/>
    <s v="NA"/>
    <x v="0"/>
    <s v="STEREN"/>
    <s v="IBAF00100196"/>
    <s v="IBAF00100196"/>
    <n v="12"/>
    <s v="Incluye: Cable de Alimentación,"/>
    <x v="2"/>
    <n v="2"/>
    <x v="2"/>
    <s v="14:00 hrs"/>
  </r>
  <r>
    <s v="60032"/>
    <n v="30"/>
    <n v="17"/>
    <x v="2"/>
    <x v="2"/>
    <s v="NA"/>
    <x v="1"/>
    <s v="SN"/>
    <s v="IBOT00100067"/>
    <s v="IBOT00100067"/>
    <n v="12"/>
    <m/>
    <x v="2"/>
    <n v="2"/>
    <x v="2"/>
    <s v="14:00 hrs"/>
  </r>
  <r>
    <s v="60032"/>
    <n v="31"/>
    <n v="17"/>
    <x v="2"/>
    <x v="2"/>
    <s v="NA"/>
    <x v="2"/>
    <s v="SONY"/>
    <s v="ICAM00101745"/>
    <s v="ICAM00101745"/>
    <n v="12"/>
    <s v="Incluye: Memoria de 4GB, Cargador y Pila."/>
    <x v="2"/>
    <n v="2"/>
    <x v="2"/>
    <s v="14:00 hrs"/>
  </r>
  <r>
    <s v="60032"/>
    <n v="32"/>
    <n v="17"/>
    <x v="2"/>
    <x v="2"/>
    <s v="NA"/>
    <x v="3"/>
    <s v="COMBO"/>
    <s v="IENG00100216"/>
    <s v="IENG00100216"/>
    <n v="12"/>
    <m/>
    <x v="2"/>
    <n v="2"/>
    <x v="2"/>
    <s v="14:00 hrs"/>
  </r>
  <r>
    <s v="60032"/>
    <n v="33"/>
    <n v="17"/>
    <x v="2"/>
    <x v="2"/>
    <s v="NA"/>
    <x v="4"/>
    <s v="RADSON"/>
    <s v="IAMP00100045"/>
    <s v="IAMP00100045"/>
    <n v="12"/>
    <m/>
    <x v="2"/>
    <n v="2"/>
    <x v="2"/>
    <s v="14:00 hrs"/>
  </r>
  <r>
    <s v="60032"/>
    <n v="35"/>
    <n v="17"/>
    <x v="2"/>
    <x v="2"/>
    <s v="NA"/>
    <x v="5"/>
    <s v="SONY"/>
    <s v="IGRA00100313"/>
    <s v="IGRA00100313"/>
    <n v="12"/>
    <m/>
    <x v="2"/>
    <n v="2"/>
    <x v="2"/>
    <s v="14:00 hrs"/>
  </r>
  <r>
    <s v="60032"/>
    <n v="36"/>
    <n v="17"/>
    <x v="2"/>
    <x v="2"/>
    <s v="NA"/>
    <x v="6"/>
    <s v="SURTEK"/>
    <s v="ILAM00101323"/>
    <s v="ILAM00101323"/>
    <n v="12"/>
    <s v="Incluye: Cable de Alimentacion (Lampara chica)"/>
    <x v="2"/>
    <n v="2"/>
    <x v="2"/>
    <s v="14:00 hrs"/>
  </r>
  <r>
    <s v="60032"/>
    <n v="37"/>
    <n v="17"/>
    <x v="2"/>
    <x v="2"/>
    <s v="NA"/>
    <x v="6"/>
    <s v="SURTEK"/>
    <s v="ILAM00101167"/>
    <s v="ILAM00101167"/>
    <n v="12"/>
    <s v="Incluye: Cable de Alimentacion (Lampara chica)"/>
    <x v="2"/>
    <n v="2"/>
    <x v="2"/>
    <s v="14:00 hrs"/>
  </r>
  <r>
    <s v="60032"/>
    <n v="38"/>
    <n v="17"/>
    <x v="2"/>
    <x v="2"/>
    <s v="NA"/>
    <x v="6"/>
    <s v="SURTEK"/>
    <s v="ILAM00100811"/>
    <s v="ILAM00100811"/>
    <n v="12"/>
    <s v="Incluye: Cable de Alimentacion (Lampara chica)"/>
    <x v="2"/>
    <n v="2"/>
    <x v="2"/>
    <s v="14:00 hrs"/>
  </r>
  <r>
    <s v="60032"/>
    <n v="40"/>
    <n v="17"/>
    <x v="2"/>
    <x v="2"/>
    <s v="NA"/>
    <x v="6"/>
    <s v="SURTEK"/>
    <s v="ILAM00101224"/>
    <s v="ILAM00101224"/>
    <n v="12"/>
    <s v="Incluye: Cable de Alimentacion (Lampara chica)"/>
    <x v="2"/>
    <n v="2"/>
    <x v="2"/>
    <s v="14:00 hrs"/>
  </r>
  <r>
    <s v="60032"/>
    <n v="41"/>
    <n v="17"/>
    <x v="2"/>
    <x v="2"/>
    <s v="NA"/>
    <x v="6"/>
    <s v="SURTEK"/>
    <s v="ILAM00101234"/>
    <s v="ILAM00101234"/>
    <n v="12"/>
    <s v="Incluye: Cable de Alimentacion (Lampara chica)"/>
    <x v="2"/>
    <n v="2"/>
    <x v="2"/>
    <s v="14:00 hrs"/>
  </r>
  <r>
    <s v="60032"/>
    <n v="42"/>
    <n v="17"/>
    <x v="2"/>
    <x v="2"/>
    <s v="NA"/>
    <x v="6"/>
    <s v="SURTEK"/>
    <s v="ILAM00100864"/>
    <s v="ILAM00100864"/>
    <n v="12"/>
    <s v="Incluye: Cable de Alimentacion (Lampara chica)"/>
    <x v="2"/>
    <n v="2"/>
    <x v="2"/>
    <s v="14:00 hrs"/>
  </r>
  <r>
    <s v="60032"/>
    <n v="43"/>
    <n v="17"/>
    <x v="2"/>
    <x v="2"/>
    <s v="NA"/>
    <x v="6"/>
    <s v="SURTEK"/>
    <s v="ILAM00100842"/>
    <s v="ILAM00100842"/>
    <n v="12"/>
    <s v="Incluye: Cable de Alimentacion (Lampara chica)"/>
    <x v="2"/>
    <n v="2"/>
    <x v="2"/>
    <s v="14:00 hrs"/>
  </r>
  <r>
    <s v="60032"/>
    <n v="44"/>
    <n v="17"/>
    <x v="2"/>
    <x v="2"/>
    <s v="NA"/>
    <x v="7"/>
    <s v="STEREN"/>
    <s v="SN"/>
    <s v="SN"/>
    <n v="2"/>
    <s v="Incluye: Cable de Alimentacion (Lampara grande)"/>
    <x v="2"/>
    <n v="2"/>
    <x v="2"/>
    <s v="14:00 hrs"/>
  </r>
  <r>
    <s v="60032"/>
    <n v="45"/>
    <n v="17"/>
    <x v="2"/>
    <x v="2"/>
    <s v="NA"/>
    <x v="8"/>
    <s v="SOUNDTRACK"/>
    <s v="isis01200105"/>
    <s v="ISIS01200105"/>
    <n v="12"/>
    <s v="Incluye: 2 Microfonos, Cable extencion Plug. Macho de 6.6mm, 2 Antenas y Eliminador y 2 soportes de microfonos"/>
    <x v="2"/>
    <n v="2"/>
    <x v="2"/>
    <s v="14:00 hrs"/>
  </r>
  <r>
    <s v="60032"/>
    <n v="46"/>
    <n v="17"/>
    <x v="2"/>
    <x v="2"/>
    <s v="NA"/>
    <x v="9"/>
    <s v="SN"/>
    <s v="ITAJ00100283"/>
    <s v="ITAJ00100283"/>
    <n v="12"/>
    <m/>
    <x v="2"/>
    <n v="2"/>
    <x v="2"/>
    <s v="14:00 hrs"/>
  </r>
  <r>
    <s v="60032"/>
    <n v="48"/>
    <n v="17"/>
    <x v="2"/>
    <x v="2"/>
    <s v="NA"/>
    <x v="10"/>
    <s v="TELMEX"/>
    <s v="ITEL00100969"/>
    <s v="ITEL00100969"/>
    <n v="12"/>
    <m/>
    <x v="2"/>
    <n v="2"/>
    <x v="2"/>
    <s v="14:00 hrs"/>
  </r>
  <r>
    <s v="600424"/>
    <n v="49"/>
    <n v="12"/>
    <x v="3"/>
    <x v="3"/>
    <s v="NA"/>
    <x v="0"/>
    <s v="STEREN"/>
    <s v="IBAF00100086"/>
    <s v="IBAF00100086"/>
    <n v="12"/>
    <s v="Incluye: Cable de Alimentación,"/>
    <x v="3"/>
    <n v="24"/>
    <x v="3"/>
    <s v="17:00 hrs"/>
  </r>
  <r>
    <s v="600424"/>
    <n v="50"/>
    <n v="12"/>
    <x v="3"/>
    <x v="3"/>
    <s v="NA"/>
    <x v="1"/>
    <s v="SN"/>
    <s v="IBOT00100095"/>
    <s v="IBOT00100095"/>
    <n v="12"/>
    <m/>
    <x v="3"/>
    <n v="24"/>
    <x v="3"/>
    <s v="17:00 hrs"/>
  </r>
  <r>
    <s v="600424"/>
    <n v="51"/>
    <n v="12"/>
    <x v="3"/>
    <x v="3"/>
    <s v="NA"/>
    <x v="2"/>
    <s v="SONY"/>
    <s v="icam00101779"/>
    <s v="ICAM00101779"/>
    <n v="12"/>
    <s v="Incluye: Memoria de 4GB, Cargador y Pila."/>
    <x v="3"/>
    <n v="24"/>
    <x v="3"/>
    <s v="17:00 hrs"/>
  </r>
  <r>
    <s v="600424"/>
    <n v="52"/>
    <n v="12"/>
    <x v="3"/>
    <x v="3"/>
    <s v="NA"/>
    <x v="3"/>
    <s v="COMBO"/>
    <s v="IENG00100177"/>
    <s v="IENG00100177"/>
    <n v="12"/>
    <m/>
    <x v="3"/>
    <n v="24"/>
    <x v="3"/>
    <s v="17:00 hrs"/>
  </r>
  <r>
    <s v="600424"/>
    <n v="53"/>
    <n v="12"/>
    <x v="3"/>
    <x v="3"/>
    <s v="NA"/>
    <x v="4"/>
    <s v="RADSON"/>
    <s v="IAMP00100123"/>
    <s v="IAMP00100123"/>
    <n v="12"/>
    <m/>
    <x v="3"/>
    <n v="24"/>
    <x v="3"/>
    <s v="17:00 hrs"/>
  </r>
  <r>
    <s v="600424"/>
    <n v="54"/>
    <n v="12"/>
    <x v="3"/>
    <x v="3"/>
    <s v="NA"/>
    <x v="5"/>
    <s v="SONY"/>
    <s v="igra00100347"/>
    <s v="IGRA00100347"/>
    <n v="12"/>
    <m/>
    <x v="3"/>
    <n v="24"/>
    <x v="3"/>
    <s v="17:00 hrs"/>
  </r>
  <r>
    <s v="600424"/>
    <n v="55"/>
    <n v="12"/>
    <x v="3"/>
    <x v="3"/>
    <s v="NA"/>
    <x v="6"/>
    <s v="SURTEK"/>
    <s v="ILAM00100838"/>
    <s v="ILAM00100838"/>
    <n v="12"/>
    <s v="Incluye: Cable de Alimentacion (Lampara chica)"/>
    <x v="3"/>
    <n v="24"/>
    <x v="3"/>
    <s v="17:00 hrs"/>
  </r>
  <r>
    <s v="600424"/>
    <n v="57"/>
    <n v="12"/>
    <x v="3"/>
    <x v="3"/>
    <s v="NA"/>
    <x v="6"/>
    <s v="SURTEK"/>
    <s v="ILAM00100909"/>
    <s v="ILAM00100909"/>
    <n v="12"/>
    <s v="Incluye: Cable de Alimentacion (Lampara chica)"/>
    <x v="3"/>
    <n v="24"/>
    <x v="3"/>
    <s v="17:00 hrs"/>
  </r>
  <r>
    <s v="600424"/>
    <n v="58"/>
    <n v="12"/>
    <x v="3"/>
    <x v="3"/>
    <s v="NA"/>
    <x v="7"/>
    <s v="STEREN"/>
    <s v="SN"/>
    <s v="SN"/>
    <n v="2"/>
    <s v="Incluye: Cable de Alimentacion (Lampara grande)"/>
    <x v="3"/>
    <n v="24"/>
    <x v="3"/>
    <s v="17:00 hrs"/>
  </r>
  <r>
    <s v="600424"/>
    <n v="59"/>
    <n v="12"/>
    <x v="3"/>
    <x v="3"/>
    <s v="NA"/>
    <x v="8"/>
    <s v="SOUNDTRACK"/>
    <s v="ISIS01200120"/>
    <s v="ISIS01200120"/>
    <n v="12"/>
    <s v="Incluye: 2 Microfonos, Cable extencion Plug. Macho de 6.6mm, 2 Antenas y Eliminador"/>
    <x v="3"/>
    <n v="24"/>
    <x v="3"/>
    <s v="17:00 hrs"/>
  </r>
  <r>
    <s v="600424"/>
    <n v="60"/>
    <n v="12"/>
    <x v="3"/>
    <x v="3"/>
    <s v="NA"/>
    <x v="9"/>
    <s v="SN"/>
    <s v="ITAJ00100280"/>
    <s v="ITAJ00100280"/>
    <n v="12"/>
    <m/>
    <x v="3"/>
    <n v="24"/>
    <x v="3"/>
    <s v="17:00 hrs"/>
  </r>
  <r>
    <s v="600424"/>
    <n v="61"/>
    <n v="12"/>
    <x v="3"/>
    <x v="3"/>
    <s v="NA"/>
    <x v="10"/>
    <s v="TELMEX"/>
    <s v="ITEL00100724"/>
    <s v="ITEL00100724"/>
    <n v="12"/>
    <m/>
    <x v="3"/>
    <n v="24"/>
    <x v="3"/>
    <s v="17:00 hrs"/>
  </r>
  <r>
    <s v="60053"/>
    <n v="62"/>
    <n v="13"/>
    <x v="4"/>
    <x v="4"/>
    <s v="NA"/>
    <x v="0"/>
    <s v="STEREN"/>
    <s v="IBAF00100087"/>
    <s v="IBAF00100087"/>
    <n v="12"/>
    <s v="Incluye: Cable de Alimentación,"/>
    <x v="2"/>
    <n v="3"/>
    <x v="4"/>
    <s v="15:00 hrs"/>
  </r>
  <r>
    <s v="60053"/>
    <n v="63"/>
    <n v="13"/>
    <x v="4"/>
    <x v="4"/>
    <s v="NA"/>
    <x v="1"/>
    <s v="SN"/>
    <s v="IBOT00100181"/>
    <s v="IBOT00100181"/>
    <n v="12"/>
    <m/>
    <x v="2"/>
    <n v="3"/>
    <x v="4"/>
    <s v="15:00 hrs"/>
  </r>
  <r>
    <s v="60053"/>
    <n v="65"/>
    <n v="13"/>
    <x v="4"/>
    <x v="4"/>
    <s v="NA"/>
    <x v="2"/>
    <s v="SONY"/>
    <s v="icam00101791"/>
    <s v="ICAM00101791"/>
    <n v="12"/>
    <s v="Incluye: Memoria de 4GB, Cargador y Pila."/>
    <x v="2"/>
    <n v="3"/>
    <x v="4"/>
    <s v="15:00 hrs"/>
  </r>
  <r>
    <s v="60053"/>
    <n v="66"/>
    <n v="13"/>
    <x v="4"/>
    <x v="4"/>
    <s v="NA"/>
    <x v="3"/>
    <s v="COMBO"/>
    <s v="IENG00100083"/>
    <s v="IENG00100083"/>
    <n v="12"/>
    <m/>
    <x v="2"/>
    <n v="3"/>
    <x v="4"/>
    <s v="15:00 hrs"/>
  </r>
  <r>
    <s v="60053"/>
    <n v="67"/>
    <n v="13"/>
    <x v="4"/>
    <x v="4"/>
    <s v="NA"/>
    <x v="4"/>
    <s v="RADSON"/>
    <s v="IAMP00100095"/>
    <s v="IAMP00100095"/>
    <n v="12"/>
    <m/>
    <x v="2"/>
    <n v="3"/>
    <x v="4"/>
    <s v="15:00 hrs"/>
  </r>
  <r>
    <s v="60053"/>
    <n v="68"/>
    <n v="13"/>
    <x v="4"/>
    <x v="4"/>
    <s v="NA"/>
    <x v="5"/>
    <s v="SONY"/>
    <s v="igra00100281"/>
    <s v="IGRA00100281"/>
    <n v="12"/>
    <m/>
    <x v="2"/>
    <n v="3"/>
    <x v="4"/>
    <s v="15:00 hrs"/>
  </r>
  <r>
    <s v="60053"/>
    <n v="69"/>
    <n v="13"/>
    <x v="4"/>
    <x v="4"/>
    <s v="NA"/>
    <x v="6"/>
    <s v="SURTEK"/>
    <s v="ILAM00101164"/>
    <s v="ILAM00101164"/>
    <n v="12"/>
    <s v="Incluye: Cable de Alimentacion (Lampara chica)"/>
    <x v="2"/>
    <n v="3"/>
    <x v="4"/>
    <s v="15:00 hrs"/>
  </r>
  <r>
    <s v="60053"/>
    <n v="70"/>
    <n v="13"/>
    <x v="4"/>
    <x v="4"/>
    <s v="NA"/>
    <x v="6"/>
    <s v="SURTEK"/>
    <s v="ILAM00101220"/>
    <s v="ILAM00101220"/>
    <n v="12"/>
    <s v="Incluye: Cable de Alimentacion (Lampara chica)"/>
    <x v="2"/>
    <n v="3"/>
    <x v="4"/>
    <s v="15:00 hrs"/>
  </r>
  <r>
    <s v="60053"/>
    <n v="71"/>
    <n v="13"/>
    <x v="4"/>
    <x v="4"/>
    <s v="NA"/>
    <x v="6"/>
    <s v="SURTEK"/>
    <s v="ILAM00100815"/>
    <s v="ILAM00100815"/>
    <n v="12"/>
    <s v="Incluye: Cable de Alimentacion (Lampara chica)"/>
    <x v="2"/>
    <n v="3"/>
    <x v="4"/>
    <s v="15:00 hrs"/>
  </r>
  <r>
    <s v="60053"/>
    <n v="72"/>
    <n v="13"/>
    <x v="4"/>
    <x v="4"/>
    <s v="NA"/>
    <x v="7"/>
    <s v="STEREN"/>
    <s v="SN"/>
    <s v="SN"/>
    <n v="2"/>
    <s v="Incluye: Cable de Alimentacion (Lampara grande)"/>
    <x v="2"/>
    <n v="3"/>
    <x v="4"/>
    <s v="15:00 hrs"/>
  </r>
  <r>
    <s v="60053"/>
    <n v="74"/>
    <n v="13"/>
    <x v="4"/>
    <x v="4"/>
    <s v="NA"/>
    <x v="8"/>
    <s v="SOUNDTRACK"/>
    <s v="ISIS01200136"/>
    <s v="ISIS01200136"/>
    <n v="12"/>
    <s v="Incluye: 2 Microfonos, Cable extencion Plug. Macho de 6.6mm, 2 Antenas y Eliminador y 2 soportes de microfonos"/>
    <x v="2"/>
    <n v="3"/>
    <x v="4"/>
    <s v="15:00 hrs"/>
  </r>
  <r>
    <s v="60053"/>
    <n v="75"/>
    <n v="13"/>
    <x v="4"/>
    <x v="4"/>
    <s v="NA"/>
    <x v="9"/>
    <s v="SN"/>
    <s v="ITAJ00100249"/>
    <s v="ITAJ00100249"/>
    <n v="12"/>
    <m/>
    <x v="2"/>
    <n v="3"/>
    <x v="4"/>
    <s v="15:00 hrs"/>
  </r>
  <r>
    <s v="60053"/>
    <n v="76"/>
    <n v="13"/>
    <x v="4"/>
    <x v="4"/>
    <s v="NA"/>
    <x v="10"/>
    <s v="TELMEX"/>
    <s v="ITEL00100793"/>
    <s v="ITEL00100793"/>
    <n v="12"/>
    <m/>
    <x v="2"/>
    <n v="3"/>
    <x v="4"/>
    <s v="15:00 hrs"/>
  </r>
  <r>
    <s v="60067"/>
    <n v="77"/>
    <n v="13"/>
    <x v="5"/>
    <x v="5"/>
    <s v="NA"/>
    <x v="0"/>
    <s v="STEREN"/>
    <s v="IBAF00100062"/>
    <s v="IBAF00100062"/>
    <n v="12"/>
    <s v="Incluye: Cable de Alimentación,"/>
    <x v="1"/>
    <n v="7"/>
    <x v="0"/>
    <s v="12:00 hrs"/>
  </r>
  <r>
    <s v="60067"/>
    <n v="78"/>
    <n v="13"/>
    <x v="5"/>
    <x v="5"/>
    <s v="NA"/>
    <x v="1"/>
    <s v="SN"/>
    <s v="IBOT00100076"/>
    <s v="IBOT00100076"/>
    <n v="12"/>
    <m/>
    <x v="1"/>
    <n v="7"/>
    <x v="0"/>
    <s v="12:00 hrs"/>
  </r>
  <r>
    <s v="60067"/>
    <n v="79"/>
    <n v="13"/>
    <x v="5"/>
    <x v="5"/>
    <s v="NA"/>
    <x v="2"/>
    <s v="SONY"/>
    <s v="icam00101732"/>
    <s v="ICAM00101732"/>
    <n v="12"/>
    <s v="Incluye: Memoria de 4GB, Cargador y Pila."/>
    <x v="1"/>
    <n v="7"/>
    <x v="0"/>
    <s v="12:00 hrs"/>
  </r>
  <r>
    <s v="60067"/>
    <n v="80"/>
    <n v="13"/>
    <x v="5"/>
    <x v="5"/>
    <s v="NA"/>
    <x v="3"/>
    <s v="COMBO"/>
    <s v="ieng00100021"/>
    <s v="IENG00100021"/>
    <n v="12"/>
    <m/>
    <x v="1"/>
    <n v="7"/>
    <x v="0"/>
    <s v="12:00 hrs"/>
  </r>
  <r>
    <s v="60067"/>
    <n v="82"/>
    <n v="13"/>
    <x v="5"/>
    <x v="5"/>
    <s v="NA"/>
    <x v="4"/>
    <s v="RADSON"/>
    <s v="iamp00100019"/>
    <s v="IAMP00100019"/>
    <n v="12"/>
    <m/>
    <x v="1"/>
    <n v="7"/>
    <x v="0"/>
    <s v="12:00 hrs"/>
  </r>
  <r>
    <s v="60067"/>
    <n v="83"/>
    <n v="13"/>
    <x v="5"/>
    <x v="5"/>
    <s v="NA"/>
    <x v="5"/>
    <s v="SONY"/>
    <s v="igra00100297"/>
    <s v="IGRA00100297"/>
    <n v="12"/>
    <m/>
    <x v="1"/>
    <n v="7"/>
    <x v="0"/>
    <s v="12:00 hrs"/>
  </r>
  <r>
    <s v="60067"/>
    <n v="84"/>
    <n v="13"/>
    <x v="5"/>
    <x v="5"/>
    <s v="NA"/>
    <x v="6"/>
    <s v="SURTEK"/>
    <s v="ILAM00101222"/>
    <s v="ILAM00101222"/>
    <n v="12"/>
    <s v="Incluye: Cable de Alimentacion (Lampara chica)"/>
    <x v="1"/>
    <n v="7"/>
    <x v="0"/>
    <s v="12:00 hrs"/>
  </r>
  <r>
    <s v="60067"/>
    <n v="85"/>
    <n v="13"/>
    <x v="5"/>
    <x v="5"/>
    <s v="NA"/>
    <x v="6"/>
    <s v="SURTEK"/>
    <s v="ILAM00101140"/>
    <s v="ILAM00101140"/>
    <n v="12"/>
    <s v="Incluye: Cable de Alimentacion (Lampara chica)"/>
    <x v="1"/>
    <n v="7"/>
    <x v="0"/>
    <s v="12:00 hrs"/>
  </r>
  <r>
    <s v="60067"/>
    <n v="86"/>
    <n v="13"/>
    <x v="5"/>
    <x v="5"/>
    <s v="NA"/>
    <x v="6"/>
    <s v="SURTEK"/>
    <s v="ILAM00101221"/>
    <s v="ILAM00101221"/>
    <n v="12"/>
    <s v="Incluye: Cable de Alimentacion (Lampara chica)"/>
    <x v="1"/>
    <n v="7"/>
    <x v="0"/>
    <s v="12:00 hrs"/>
  </r>
  <r>
    <s v="60067"/>
    <n v="87"/>
    <n v="13"/>
    <x v="5"/>
    <x v="5"/>
    <s v="NA"/>
    <x v="7"/>
    <s v="STEREN"/>
    <s v="SN"/>
    <s v="SN"/>
    <n v="2"/>
    <s v="Incluye: Cable de Alimentacion (Lampara grande)"/>
    <x v="1"/>
    <n v="7"/>
    <x v="0"/>
    <s v="12:00 hrs"/>
  </r>
  <r>
    <s v="60067"/>
    <n v="88"/>
    <n v="13"/>
    <x v="5"/>
    <x v="5"/>
    <s v="NA"/>
    <x v="8"/>
    <s v="SOUNDTRACK"/>
    <s v="ISIS01200152"/>
    <s v="ISIS01200152"/>
    <n v="12"/>
    <s v="Incluye: 2 Microfonos, Cable extencion Plug. Macho de 6.6mm, 2 Antenas y Eliminador y 2 soportes de microfonos"/>
    <x v="1"/>
    <n v="7"/>
    <x v="0"/>
    <s v="12:00 hrs"/>
  </r>
  <r>
    <s v="60067"/>
    <n v="89"/>
    <n v="13"/>
    <x v="5"/>
    <x v="5"/>
    <s v="NA"/>
    <x v="9"/>
    <s v="SN"/>
    <s v="ITAJ00100087"/>
    <s v="ITAJ00100087"/>
    <n v="12"/>
    <m/>
    <x v="1"/>
    <n v="7"/>
    <x v="0"/>
    <s v="12:00 hrs"/>
  </r>
  <r>
    <s v="60067"/>
    <n v="91"/>
    <n v="13"/>
    <x v="5"/>
    <x v="5"/>
    <s v="NA"/>
    <x v="10"/>
    <s v="TELMEX"/>
    <s v="ITEL00100808"/>
    <s v="ITEL00100808"/>
    <n v="12"/>
    <m/>
    <x v="1"/>
    <n v="7"/>
    <x v="0"/>
    <s v="12:00 hrs"/>
  </r>
  <r>
    <s v="600731"/>
    <n v="92"/>
    <n v="15"/>
    <x v="6"/>
    <x v="6"/>
    <s v="NA"/>
    <x v="0"/>
    <s v="STEREN"/>
    <s v="IBAF00100155"/>
    <s v="IBAF00100155"/>
    <n v="12"/>
    <s v="Incluye: Cable de Alimentación,"/>
    <x v="0"/>
    <n v="31"/>
    <x v="5"/>
    <s v="19:30 hrs"/>
  </r>
  <r>
    <s v="600731"/>
    <n v="93"/>
    <n v="15"/>
    <x v="6"/>
    <x v="6"/>
    <s v="NA"/>
    <x v="1"/>
    <s v="SN"/>
    <s v="IBOT00100010"/>
    <s v="IBOT00100010"/>
    <n v="12"/>
    <m/>
    <x v="0"/>
    <n v="31"/>
    <x v="5"/>
    <s v="19:30 hrs"/>
  </r>
  <r>
    <s v="600731"/>
    <n v="94"/>
    <n v="15"/>
    <x v="6"/>
    <x v="6"/>
    <s v="NA"/>
    <x v="2"/>
    <s v="SONY"/>
    <s v="icam00101776"/>
    <s v="ICAM00101776"/>
    <n v="12"/>
    <s v="Incluye: Memoria de 4GB, Cargador y Pila."/>
    <x v="0"/>
    <n v="31"/>
    <x v="5"/>
    <s v="19:30 hrs"/>
  </r>
  <r>
    <s v="600731"/>
    <n v="95"/>
    <n v="15"/>
    <x v="6"/>
    <x v="6"/>
    <s v="NA"/>
    <x v="3"/>
    <s v="COMBO"/>
    <s v="IENG00100134"/>
    <s v="IENG00100134"/>
    <n v="12"/>
    <m/>
    <x v="0"/>
    <n v="31"/>
    <x v="5"/>
    <s v="19:30 hrs"/>
  </r>
  <r>
    <s v="600731"/>
    <n v="96"/>
    <n v="15"/>
    <x v="6"/>
    <x v="6"/>
    <s v="NA"/>
    <x v="4"/>
    <s v="RADSON"/>
    <s v="IAMP00100054"/>
    <s v="IAMP00100054"/>
    <n v="12"/>
    <m/>
    <x v="0"/>
    <n v="31"/>
    <x v="5"/>
    <s v="19:30 hrs"/>
  </r>
  <r>
    <s v="600731"/>
    <n v="97"/>
    <n v="15"/>
    <x v="6"/>
    <x v="6"/>
    <s v="NA"/>
    <x v="5"/>
    <s v="SONY"/>
    <s v="igra00100294"/>
    <s v="IGRA00100294"/>
    <n v="12"/>
    <m/>
    <x v="0"/>
    <n v="31"/>
    <x v="5"/>
    <s v="19:30 hrs"/>
  </r>
  <r>
    <s v="600731"/>
    <n v="99"/>
    <n v="15"/>
    <x v="6"/>
    <x v="6"/>
    <s v="NA"/>
    <x v="6"/>
    <s v="SURTEK"/>
    <s v="ILAM00101355"/>
    <s v="ILAM00101355"/>
    <n v="12"/>
    <s v="Incluye: Cable de Alimentacion (Lampara chica)"/>
    <x v="0"/>
    <n v="31"/>
    <x v="5"/>
    <s v="19:30 hrs"/>
  </r>
  <r>
    <s v="600731"/>
    <n v="100"/>
    <n v="15"/>
    <x v="6"/>
    <x v="6"/>
    <s v="NA"/>
    <x v="6"/>
    <s v="SURTEK"/>
    <s v="ILAM00101346"/>
    <s v="ILAM00101346"/>
    <n v="12"/>
    <s v="Incluye: Cable de Alimentacion (Lampara chica)"/>
    <x v="0"/>
    <n v="31"/>
    <x v="5"/>
    <s v="19:30 hrs"/>
  </r>
  <r>
    <s v="600731"/>
    <n v="101"/>
    <n v="15"/>
    <x v="6"/>
    <x v="6"/>
    <s v="NA"/>
    <x v="6"/>
    <s v="SURTEK"/>
    <s v="ILAM00101314"/>
    <s v="ILAM00101314"/>
    <n v="12"/>
    <s v="Incluye: Cable de Alimentacion (Lampara chica)"/>
    <x v="0"/>
    <n v="31"/>
    <x v="5"/>
    <s v="19:30 hrs"/>
  </r>
  <r>
    <s v="600731"/>
    <n v="102"/>
    <n v="15"/>
    <x v="6"/>
    <x v="6"/>
    <s v="NA"/>
    <x v="6"/>
    <s v="SURTEK"/>
    <s v="ILAM00101336"/>
    <s v="ILAM00101336"/>
    <n v="12"/>
    <s v="Incluye: Cable de Alimentacion (Lampara chica)"/>
    <x v="0"/>
    <n v="31"/>
    <x v="5"/>
    <s v="19:30 hrs"/>
  </r>
  <r>
    <s v="600731"/>
    <n v="103"/>
    <n v="15"/>
    <x v="6"/>
    <x v="6"/>
    <s v="NA"/>
    <x v="6"/>
    <s v="SURTEK"/>
    <s v="ILAM00101335"/>
    <s v="ILAM00101335"/>
    <n v="12"/>
    <s v="Incluye: Cable de Alimentacion (Lampara chica)"/>
    <x v="0"/>
    <n v="31"/>
    <x v="5"/>
    <s v="19:30 hrs"/>
  </r>
  <r>
    <s v="600731"/>
    <n v="104"/>
    <n v="15"/>
    <x v="6"/>
    <x v="6"/>
    <s v="NA"/>
    <x v="7"/>
    <s v="STEREN"/>
    <s v="SN"/>
    <s v="SN"/>
    <n v="2"/>
    <s v="Incluye: Cable de Alimentacion (Lampara grande)"/>
    <x v="0"/>
    <n v="31"/>
    <x v="5"/>
    <s v="19:30 hrs"/>
  </r>
  <r>
    <s v="600731"/>
    <n v="105"/>
    <n v="15"/>
    <x v="6"/>
    <x v="6"/>
    <s v="NA"/>
    <x v="8"/>
    <s v="SOUNDTRACK"/>
    <s v="ISIS01200085"/>
    <s v="ISIS01200085"/>
    <n v="12"/>
    <s v="Incluye: 2 Microfonos, Cable extencion Plug. Macho de 6.6mm, 2 Antenas y Eliminador y 2 soportes de microfonos"/>
    <x v="0"/>
    <n v="31"/>
    <x v="5"/>
    <s v="19:30 hrs"/>
  </r>
  <r>
    <s v="600731"/>
    <n v="106"/>
    <n v="15"/>
    <x v="6"/>
    <x v="6"/>
    <s v="NA"/>
    <x v="9"/>
    <s v="SN"/>
    <s v="ITAJ00100267"/>
    <s v="ITAJ00100267"/>
    <n v="12"/>
    <m/>
    <x v="0"/>
    <n v="31"/>
    <x v="5"/>
    <s v="19:30 hrs"/>
  </r>
  <r>
    <s v="600731"/>
    <n v="108"/>
    <n v="15"/>
    <x v="6"/>
    <x v="6"/>
    <s v="NA"/>
    <x v="10"/>
    <s v="TELMEX"/>
    <s v="ITEL00100840"/>
    <s v="ITEL00100840"/>
    <n v="12"/>
    <m/>
    <x v="0"/>
    <n v="31"/>
    <x v="5"/>
    <s v="19:30 hrs"/>
  </r>
  <r>
    <s v="600817"/>
    <n v="110"/>
    <n v="16"/>
    <x v="7"/>
    <x v="5"/>
    <s v="NA"/>
    <x v="0"/>
    <s v="STEREN"/>
    <s v="IBAF00100187"/>
    <s v="IBAF00100187"/>
    <n v="12"/>
    <s v="Incluye: Cable de Alimentación,"/>
    <x v="4"/>
    <n v="17"/>
    <x v="6"/>
    <s v="15:00 hrs"/>
  </r>
  <r>
    <s v="600817"/>
    <n v="111"/>
    <n v="16"/>
    <x v="7"/>
    <x v="5"/>
    <s v="NA"/>
    <x v="1"/>
    <s v="SN"/>
    <s v="IBOT00100057"/>
    <s v="IBOT00100057"/>
    <n v="12"/>
    <m/>
    <x v="4"/>
    <n v="17"/>
    <x v="6"/>
    <s v="15:00 hrs"/>
  </r>
  <r>
    <s v="600817"/>
    <n v="112"/>
    <n v="16"/>
    <x v="7"/>
    <x v="5"/>
    <s v="NA"/>
    <x v="2"/>
    <s v="SONY"/>
    <s v="icam00101765"/>
    <s v="ICAM00101765"/>
    <n v="12"/>
    <s v="Incluye: Memoria de 4GB, Cargador y Pila."/>
    <x v="4"/>
    <n v="17"/>
    <x v="6"/>
    <s v="15:00 hrs"/>
  </r>
  <r>
    <s v="600817"/>
    <n v="113"/>
    <n v="16"/>
    <x v="7"/>
    <x v="5"/>
    <s v="NA"/>
    <x v="3"/>
    <s v="COMBO"/>
    <s v="IENG00100202"/>
    <s v="IENG00100202"/>
    <n v="12"/>
    <m/>
    <x v="4"/>
    <n v="17"/>
    <x v="6"/>
    <s v="15:00 hrs"/>
  </r>
  <r>
    <s v="600817"/>
    <n v="114"/>
    <n v="16"/>
    <x v="7"/>
    <x v="5"/>
    <s v="NA"/>
    <x v="4"/>
    <s v="RADSON"/>
    <s v="IAMP00100027"/>
    <s v="IAMP00100027"/>
    <n v="12"/>
    <m/>
    <x v="4"/>
    <n v="17"/>
    <x v="6"/>
    <s v="15:00 hrs"/>
  </r>
  <r>
    <s v="600817"/>
    <n v="116"/>
    <n v="16"/>
    <x v="7"/>
    <x v="5"/>
    <s v="NA"/>
    <x v="5"/>
    <s v="SONY"/>
    <s v="igra00100314"/>
    <s v="IGRA00100314"/>
    <n v="12"/>
    <m/>
    <x v="4"/>
    <n v="17"/>
    <x v="6"/>
    <s v="15:00 hrs"/>
  </r>
  <r>
    <s v="600817"/>
    <n v="117"/>
    <n v="16"/>
    <x v="7"/>
    <x v="5"/>
    <s v="NA"/>
    <x v="6"/>
    <s v="SURTEK"/>
    <s v="ILAM00101301"/>
    <s v="ILAM00101301"/>
    <n v="12"/>
    <s v="Incluye: Cable de Alimentacion (Lampara chica)"/>
    <x v="4"/>
    <n v="17"/>
    <x v="6"/>
    <s v="15:00 hrs"/>
  </r>
  <r>
    <s v="600817"/>
    <n v="118"/>
    <n v="16"/>
    <x v="7"/>
    <x v="5"/>
    <s v="NA"/>
    <x v="6"/>
    <s v="SURTEK"/>
    <s v="ILAM00101352"/>
    <s v="ILAM00101352"/>
    <n v="12"/>
    <s v="Incluye: Cable de Alimentacion (Lampara chica)"/>
    <x v="4"/>
    <n v="17"/>
    <x v="6"/>
    <s v="15:00 hrs"/>
  </r>
  <r>
    <s v="600817"/>
    <n v="119"/>
    <n v="16"/>
    <x v="7"/>
    <x v="5"/>
    <s v="NA"/>
    <x v="6"/>
    <s v="SURTEK"/>
    <s v="ILAM00101357"/>
    <s v="ILAM00101357"/>
    <n v="12"/>
    <s v="Incluye: Cable de Alimentacion (Lampara chica)"/>
    <x v="4"/>
    <n v="17"/>
    <x v="6"/>
    <s v="15:00 hrs"/>
  </r>
  <r>
    <s v="600817"/>
    <n v="120"/>
    <n v="16"/>
    <x v="7"/>
    <x v="5"/>
    <s v="NA"/>
    <x v="6"/>
    <s v="SURTEK"/>
    <s v="ILAM00101216"/>
    <s v="ILAM00101216"/>
    <n v="12"/>
    <s v="Incluye: Cable de Alimentacion (Lampara chica)"/>
    <x v="4"/>
    <n v="17"/>
    <x v="6"/>
    <s v="15:00 hrs"/>
  </r>
  <r>
    <s v="600817"/>
    <n v="121"/>
    <n v="16"/>
    <x v="7"/>
    <x v="5"/>
    <s v="NA"/>
    <x v="6"/>
    <s v="SURTEK"/>
    <s v="ILAM00101305"/>
    <s v="ILAM00101305"/>
    <n v="12"/>
    <s v="Incluye: Cable de Alimentacion (Lampara chica)"/>
    <x v="4"/>
    <n v="17"/>
    <x v="6"/>
    <s v="15:00 hrs"/>
  </r>
  <r>
    <s v="600817"/>
    <n v="122"/>
    <n v="16"/>
    <x v="7"/>
    <x v="5"/>
    <s v="NA"/>
    <x v="6"/>
    <s v="SURTEK"/>
    <s v="ILAM00101330"/>
    <s v="ILAM00101330"/>
    <n v="12"/>
    <s v="Incluye: Cable de Alimentacion (Lampara chica)"/>
    <x v="4"/>
    <n v="17"/>
    <x v="6"/>
    <s v="15:00 hrs"/>
  </r>
  <r>
    <s v="600817"/>
    <n v="123"/>
    <n v="16"/>
    <x v="7"/>
    <x v="5"/>
    <s v="NA"/>
    <x v="7"/>
    <s v="STEREN"/>
    <s v="SN"/>
    <s v="SN"/>
    <n v="2"/>
    <s v="Incluye: Cable de Alimentacion (Lampara grande)"/>
    <x v="4"/>
    <n v="17"/>
    <x v="6"/>
    <s v="15:00 hrs"/>
  </r>
  <r>
    <s v="600817"/>
    <n v="125"/>
    <n v="16"/>
    <x v="7"/>
    <x v="5"/>
    <s v="NA"/>
    <x v="8"/>
    <s v="SOUNDTRACK"/>
    <s v="ISIS01200109"/>
    <s v="ISIS01200109"/>
    <n v="12"/>
    <s v="Incluye: 2 Microfonos, Cable extencion Plug. Macho de 6.6mm, 2 Antenas y Eliminador y 2 soportes de microfonos"/>
    <x v="4"/>
    <n v="17"/>
    <x v="6"/>
    <s v="15:00 hrs"/>
  </r>
  <r>
    <s v="600817"/>
    <n v="126"/>
    <n v="16"/>
    <x v="7"/>
    <x v="5"/>
    <s v="NA"/>
    <x v="9"/>
    <s v="SN"/>
    <s v="ITAJ00100094"/>
    <s v="ITAJ00100094"/>
    <n v="12"/>
    <m/>
    <x v="4"/>
    <n v="17"/>
    <x v="6"/>
    <s v="15:00 hrs"/>
  </r>
  <r>
    <s v="600817"/>
    <n v="127"/>
    <n v="16"/>
    <x v="7"/>
    <x v="5"/>
    <s v="NA"/>
    <x v="10"/>
    <s v="TELMEX"/>
    <s v="ITEL00100422"/>
    <s v="ITEL00100422"/>
    <n v="12"/>
    <m/>
    <x v="4"/>
    <n v="17"/>
    <x v="6"/>
    <s v="15:00 hrs"/>
  </r>
  <r>
    <s v="600930"/>
    <n v="127"/>
    <n v="14"/>
    <x v="8"/>
    <x v="7"/>
    <s v="NA"/>
    <x v="0"/>
    <s v="STEREN"/>
    <s v="IBAF00100074"/>
    <s v="IBAF00100074"/>
    <n v="12"/>
    <s v="Incluye: Cable de Alimentación,"/>
    <x v="0"/>
    <n v="30"/>
    <x v="3"/>
    <s v="17:00 hrs"/>
  </r>
  <r>
    <s v="600930"/>
    <n v="129"/>
    <n v="14"/>
    <x v="8"/>
    <x v="7"/>
    <s v="NA"/>
    <x v="1"/>
    <s v="SN"/>
    <s v="IBOT00100074"/>
    <s v="IBOT00100074"/>
    <n v="12"/>
    <m/>
    <x v="0"/>
    <n v="30"/>
    <x v="3"/>
    <s v="17:00 hrs"/>
  </r>
  <r>
    <s v="600930"/>
    <n v="130"/>
    <n v="14"/>
    <x v="8"/>
    <x v="7"/>
    <s v="NA"/>
    <x v="2"/>
    <s v="SONY"/>
    <s v="icam00101790"/>
    <s v="ICAM00101790"/>
    <n v="12"/>
    <s v="Incluye: Memoria de 4GB, Cargador y Pila."/>
    <x v="0"/>
    <n v="30"/>
    <x v="3"/>
    <s v="17:00 hrs"/>
  </r>
  <r>
    <s v="600930"/>
    <n v="131"/>
    <n v="14"/>
    <x v="8"/>
    <x v="7"/>
    <s v="NA"/>
    <x v="3"/>
    <s v="COMBO"/>
    <s v="IENG00100183"/>
    <s v="IENG00100183"/>
    <n v="12"/>
    <m/>
    <x v="0"/>
    <n v="30"/>
    <x v="3"/>
    <s v="17:00 hrs"/>
  </r>
  <r>
    <s v="600930"/>
    <n v="132"/>
    <n v="14"/>
    <x v="8"/>
    <x v="7"/>
    <s v="NA"/>
    <x v="4"/>
    <s v="RADSON"/>
    <s v="IAMP00100085"/>
    <s v="IAMP00100085"/>
    <n v="12"/>
    <m/>
    <x v="0"/>
    <n v="30"/>
    <x v="3"/>
    <s v="17:00 hrs"/>
  </r>
  <r>
    <s v="600930"/>
    <n v="133"/>
    <n v="14"/>
    <x v="8"/>
    <x v="7"/>
    <s v="NA"/>
    <x v="5"/>
    <s v="SONY"/>
    <s v="igra00100335"/>
    <s v="IGRA00100335"/>
    <n v="12"/>
    <m/>
    <x v="0"/>
    <n v="30"/>
    <x v="3"/>
    <s v="17:00 hrs"/>
  </r>
  <r>
    <s v="600930"/>
    <n v="134"/>
    <n v="14"/>
    <x v="8"/>
    <x v="7"/>
    <s v="NA"/>
    <x v="6"/>
    <s v="SURTEK"/>
    <s v="ILAM00101262"/>
    <s v="ILAM00101262"/>
    <n v="12"/>
    <s v="Incluye: Cable de Alimentacion (Lampara chica)"/>
    <x v="0"/>
    <n v="30"/>
    <x v="3"/>
    <s v="17:00 hrs"/>
  </r>
  <r>
    <s v="600930"/>
    <n v="135"/>
    <n v="14"/>
    <x v="8"/>
    <x v="7"/>
    <s v="NA"/>
    <x v="6"/>
    <s v="SURTEK"/>
    <s v="ILAM00101263"/>
    <s v="ILAM00101263"/>
    <n v="12"/>
    <s v="Incluye: Cable de Alimentacion (Lampara chica)"/>
    <x v="0"/>
    <n v="30"/>
    <x v="3"/>
    <s v="17:00 hrs"/>
  </r>
  <r>
    <s v="600930"/>
    <n v="137"/>
    <n v="14"/>
    <x v="8"/>
    <x v="7"/>
    <s v="NA"/>
    <x v="6"/>
    <s v="SURTEK"/>
    <s v="ILAM00101254"/>
    <s v="ILAM00101254"/>
    <n v="12"/>
    <s v="Incluye: Cable de Alimentacion (Lampara chica)"/>
    <x v="0"/>
    <n v="30"/>
    <x v="3"/>
    <s v="17:00 hrs"/>
  </r>
  <r>
    <s v="600930"/>
    <n v="138"/>
    <n v="14"/>
    <x v="8"/>
    <x v="7"/>
    <s v="NA"/>
    <x v="6"/>
    <s v="SURTEK"/>
    <s v="ILAM00101276"/>
    <s v="ILAM00101276"/>
    <n v="12"/>
    <s v="Incluye: Cable de Alimentacion (Lampara chica)"/>
    <x v="0"/>
    <n v="30"/>
    <x v="3"/>
    <s v="17:00 hrs"/>
  </r>
  <r>
    <s v="600930"/>
    <n v="139"/>
    <n v="14"/>
    <x v="8"/>
    <x v="7"/>
    <s v="NA"/>
    <x v="7"/>
    <s v="STEREN"/>
    <s v="SN"/>
    <s v="SN"/>
    <n v="2"/>
    <s v="Incluye: Cable de Alimentacion (Lampara grande)"/>
    <x v="0"/>
    <n v="30"/>
    <x v="3"/>
    <s v="17:00 hrs"/>
  </r>
  <r>
    <s v="600930"/>
    <n v="140"/>
    <n v="14"/>
    <x v="8"/>
    <x v="7"/>
    <s v="NA"/>
    <x v="8"/>
    <s v="SOUNDTRACK"/>
    <s v="isis01200078"/>
    <s v="ISIS01200078"/>
    <n v="12"/>
    <s v="Incluye: 2 Microfonos, Cable extencion Plug. Macho de 6.6mm, 2 Antenas y Eliminador y 2 soportes de microfonos"/>
    <x v="0"/>
    <n v="30"/>
    <x v="3"/>
    <s v="17:00 hrs"/>
  </r>
  <r>
    <s v="600930"/>
    <n v="141"/>
    <n v="14"/>
    <x v="8"/>
    <x v="7"/>
    <s v="NA"/>
    <x v="9"/>
    <s v="SN"/>
    <s v="ITAJ00100224"/>
    <s v="ITAJ00100224"/>
    <n v="12"/>
    <m/>
    <x v="0"/>
    <n v="30"/>
    <x v="3"/>
    <s v="17:00 hrs"/>
  </r>
  <r>
    <s v="600930"/>
    <n v="142"/>
    <n v="14"/>
    <x v="8"/>
    <x v="7"/>
    <s v="NA"/>
    <x v="10"/>
    <s v="TELMEX"/>
    <s v="ITEL00100510"/>
    <s v="ITEL00100510"/>
    <n v="12"/>
    <m/>
    <x v="0"/>
    <n v="30"/>
    <x v="3"/>
    <s v="17:00 hrs"/>
  </r>
  <r>
    <s v="601029"/>
    <n v="143"/>
    <n v="13"/>
    <x v="9"/>
    <x v="8"/>
    <s v="NA"/>
    <x v="0"/>
    <s v="STEREN"/>
    <s v="IBAF00100152"/>
    <s v="IBAF00100152"/>
    <n v="12"/>
    <s v="Incluye: Cable de Alimentación, CABLE PLUS 3 VIAS"/>
    <x v="0"/>
    <n v="29"/>
    <x v="7"/>
    <s v="16:30 hrs"/>
  </r>
  <r>
    <s v="601029"/>
    <n v="145"/>
    <n v="13"/>
    <x v="9"/>
    <x v="8"/>
    <s v="NA"/>
    <x v="1"/>
    <s v="SN"/>
    <s v="ibot00100185"/>
    <s v="IBOT00100185"/>
    <n v="12"/>
    <m/>
    <x v="0"/>
    <n v="29"/>
    <x v="7"/>
    <s v="16:30 hrs"/>
  </r>
  <r>
    <s v="601029"/>
    <n v="146"/>
    <n v="13"/>
    <x v="9"/>
    <x v="8"/>
    <s v="NA"/>
    <x v="2"/>
    <s v="SONY"/>
    <s v="ICAM00101750"/>
    <s v="ICAM00101750"/>
    <n v="12"/>
    <s v="Incluye: Memoria de 4GB, Cargador y Pila."/>
    <x v="0"/>
    <n v="29"/>
    <x v="7"/>
    <s v="16:30 hrs"/>
  </r>
  <r>
    <s v="601029"/>
    <n v="147"/>
    <n v="13"/>
    <x v="9"/>
    <x v="8"/>
    <s v="NA"/>
    <x v="3"/>
    <s v="COMBO"/>
    <s v="IENG00100167"/>
    <s v="IENG00100167"/>
    <n v="12"/>
    <m/>
    <x v="0"/>
    <n v="29"/>
    <x v="7"/>
    <s v="16:30 hrs"/>
  </r>
  <r>
    <s v="601029"/>
    <n v="148"/>
    <n v="13"/>
    <x v="9"/>
    <x v="8"/>
    <s v="NA"/>
    <x v="4"/>
    <s v="RADSON"/>
    <s v="IAMP00100041"/>
    <s v="IAMP00100041"/>
    <n v="12"/>
    <m/>
    <x v="0"/>
    <n v="29"/>
    <x v="7"/>
    <s v="16:30 hrs"/>
  </r>
  <r>
    <s v="601029"/>
    <n v="149"/>
    <n v="13"/>
    <x v="9"/>
    <x v="8"/>
    <s v="NA"/>
    <x v="5"/>
    <s v="SONY"/>
    <s v="igra00100310"/>
    <s v="IGRA00100310"/>
    <n v="12"/>
    <m/>
    <x v="0"/>
    <n v="29"/>
    <x v="7"/>
    <s v="16:30 hrs"/>
  </r>
  <r>
    <s v="601029"/>
    <n v="150"/>
    <n v="13"/>
    <x v="9"/>
    <x v="8"/>
    <s v="NA"/>
    <x v="6"/>
    <s v="SURTEK"/>
    <s v="ILAM00100784"/>
    <s v="ILAM00100784"/>
    <n v="12"/>
    <s v="Incluye: Cable de Alimentacion (Lampara chica)"/>
    <x v="0"/>
    <n v="29"/>
    <x v="7"/>
    <s v="16:30 hrs"/>
  </r>
  <r>
    <s v="601029"/>
    <n v="151"/>
    <n v="13"/>
    <x v="9"/>
    <x v="8"/>
    <s v="NA"/>
    <x v="6"/>
    <s v="SURTEK"/>
    <s v="ILAM00101230"/>
    <s v="ILAM00101230"/>
    <n v="12"/>
    <s v="Incluye: Cable de Alimentacion (Lampara chica)"/>
    <x v="0"/>
    <n v="29"/>
    <x v="7"/>
    <s v="16:30 hrs"/>
  </r>
  <r>
    <s v="601029"/>
    <n v="153"/>
    <n v="13"/>
    <x v="9"/>
    <x v="8"/>
    <s v="NA"/>
    <x v="6"/>
    <s v="SURTEK"/>
    <s v="ILAM00100892"/>
    <s v="ILAM00100892"/>
    <n v="12"/>
    <s v="Incluye: Cable de Alimentacion (Lampara chica)"/>
    <x v="0"/>
    <n v="29"/>
    <x v="7"/>
    <s v="16:30 hrs"/>
  </r>
  <r>
    <s v="601029"/>
    <n v="154"/>
    <n v="13"/>
    <x v="9"/>
    <x v="8"/>
    <s v="NA"/>
    <x v="7"/>
    <s v="STEREN"/>
    <s v="SN"/>
    <s v="SN"/>
    <n v="2"/>
    <s v="Incluye: Cable de Alimentacion (Lampara grande)"/>
    <x v="0"/>
    <n v="29"/>
    <x v="7"/>
    <s v="16:30 hrs"/>
  </r>
  <r>
    <s v="601029"/>
    <n v="155"/>
    <n v="13"/>
    <x v="9"/>
    <x v="8"/>
    <s v="NA"/>
    <x v="8"/>
    <s v="SOUNDTRACK"/>
    <s v="isis01200067"/>
    <s v="ISIS01200067"/>
    <n v="12"/>
    <s v="Incluye: 2 Microfonos, Cable extencion Plug. Macho de 6.6mm, 2 Antenas y Eliminador y 2 soportes de microfonos"/>
    <x v="0"/>
    <n v="29"/>
    <x v="7"/>
    <s v="16:30 hrs"/>
  </r>
  <r>
    <s v="601029"/>
    <n v="156"/>
    <n v="13"/>
    <x v="9"/>
    <x v="8"/>
    <s v="NA"/>
    <x v="9"/>
    <s v="SN"/>
    <s v="ITAJ00100137"/>
    <s v="ITAJ00100137"/>
    <n v="12"/>
    <m/>
    <x v="0"/>
    <n v="29"/>
    <x v="7"/>
    <s v="16:30 hrs"/>
  </r>
  <r>
    <s v="601029"/>
    <n v="157"/>
    <n v="13"/>
    <x v="9"/>
    <x v="8"/>
    <s v="NA"/>
    <x v="10"/>
    <s v="GENERICO"/>
    <s v="ITEL00100970"/>
    <s v="ITEL00100970"/>
    <n v="12"/>
    <m/>
    <x v="0"/>
    <n v="29"/>
    <x v="7"/>
    <s v="16:30 hrs"/>
  </r>
  <r>
    <s v="601134"/>
    <n v="158"/>
    <n v="13"/>
    <x v="10"/>
    <x v="9"/>
    <s v="NA"/>
    <x v="0"/>
    <s v="STEREN"/>
    <s v="IBAF00100042"/>
    <s v="IBAF00100042"/>
    <n v="12"/>
    <s v="Incluye: Cable de Alimentación,"/>
    <x v="5"/>
    <n v="34"/>
    <x v="6"/>
    <s v="17:00 hrs"/>
  </r>
  <r>
    <s v="601134"/>
    <n v="159"/>
    <n v="13"/>
    <x v="10"/>
    <x v="9"/>
    <s v="NA"/>
    <x v="1"/>
    <s v="SN"/>
    <s v="IBOT00100080"/>
    <s v="IBOT00100080"/>
    <n v="12"/>
    <m/>
    <x v="5"/>
    <n v="34"/>
    <x v="6"/>
    <s v="17:00 hrs"/>
  </r>
  <r>
    <s v="601134"/>
    <n v="161"/>
    <n v="13"/>
    <x v="10"/>
    <x v="9"/>
    <s v="NA"/>
    <x v="2"/>
    <s v="SONY"/>
    <s v="icam00101760"/>
    <s v="ICAM00101760"/>
    <n v="12"/>
    <s v="Incluye: Memoria de 4GB, Cargador y Pila."/>
    <x v="5"/>
    <n v="34"/>
    <x v="6"/>
    <s v="17:00 hrs"/>
  </r>
  <r>
    <s v="601134"/>
    <n v="162"/>
    <n v="13"/>
    <x v="10"/>
    <x v="9"/>
    <s v="NA"/>
    <x v="3"/>
    <s v="COMBO"/>
    <s v="IENG00100129"/>
    <s v="IENG00100129"/>
    <n v="12"/>
    <m/>
    <x v="5"/>
    <n v="34"/>
    <x v="6"/>
    <s v="17:00 hrs"/>
  </r>
  <r>
    <s v="601134"/>
    <n v="163"/>
    <n v="13"/>
    <x v="10"/>
    <x v="9"/>
    <s v="NA"/>
    <x v="4"/>
    <s v="RADSON"/>
    <s v="IAMP00100089"/>
    <s v="IAMP00100089"/>
    <n v="12"/>
    <m/>
    <x v="5"/>
    <n v="34"/>
    <x v="6"/>
    <s v="17:00 hrs"/>
  </r>
  <r>
    <s v="601134"/>
    <n v="164"/>
    <n v="13"/>
    <x v="10"/>
    <x v="9"/>
    <s v="NA"/>
    <x v="5"/>
    <s v="SONY"/>
    <s v="igra00100416"/>
    <s v="IGRA00100416"/>
    <n v="12"/>
    <m/>
    <x v="5"/>
    <n v="34"/>
    <x v="6"/>
    <s v="17:00 hrs"/>
  </r>
  <r>
    <s v="601134"/>
    <n v="165"/>
    <n v="13"/>
    <x v="10"/>
    <x v="9"/>
    <s v="NA"/>
    <x v="6"/>
    <s v="SURTEK"/>
    <s v="ILAM00101356"/>
    <s v="ILAM00101356"/>
    <n v="12"/>
    <s v="Incluye: Cable de Alimentacion (Lampara chica)"/>
    <x v="5"/>
    <n v="34"/>
    <x v="6"/>
    <s v="17:00 hrs"/>
  </r>
  <r>
    <s v="601134"/>
    <n v="166"/>
    <n v="13"/>
    <x v="10"/>
    <x v="9"/>
    <s v="NA"/>
    <x v="6"/>
    <s v="SURTEK"/>
    <s v="ILAM00101135"/>
    <s v="ILAM00101135"/>
    <n v="12"/>
    <s v="Incluye: Cable de Alimentacion (Lampara chica)"/>
    <x v="5"/>
    <n v="34"/>
    <x v="6"/>
    <s v="17:00 hrs"/>
  </r>
  <r>
    <s v="601134"/>
    <n v="167"/>
    <n v="13"/>
    <x v="10"/>
    <x v="9"/>
    <s v="NA"/>
    <x v="6"/>
    <s v="SURTEK"/>
    <s v="ILAM00101274"/>
    <s v="ILAM00101274"/>
    <n v="12"/>
    <s v="Incluye: Cable de Alimentacion (Lampara chica)"/>
    <x v="5"/>
    <n v="34"/>
    <x v="6"/>
    <s v="17:00 hrs"/>
  </r>
  <r>
    <s v="601134"/>
    <n v="169"/>
    <n v="13"/>
    <x v="10"/>
    <x v="9"/>
    <s v="NA"/>
    <x v="7"/>
    <s v="STEREN"/>
    <s v="SN"/>
    <s v="SN"/>
    <n v="2"/>
    <s v="Incluye: Cable de Alimentacion (Lampara grande)"/>
    <x v="5"/>
    <n v="34"/>
    <x v="6"/>
    <s v="17:00 hrs"/>
  </r>
  <r>
    <s v="601134"/>
    <n v="170"/>
    <n v="13"/>
    <x v="10"/>
    <x v="9"/>
    <s v="NA"/>
    <x v="8"/>
    <s v="SOUNDTRACK"/>
    <s v="isis01200169"/>
    <s v="ISIS01200169"/>
    <n v="12"/>
    <s v="Incluye: 2 Microfonos, Cable extencion Plug. Macho de 6.6mm, 2 Antenas y Eliminador y 2 soportes de microfonos"/>
    <x v="5"/>
    <n v="34"/>
    <x v="6"/>
    <s v="17:00 hrs"/>
  </r>
  <r>
    <s v="601134"/>
    <n v="171"/>
    <n v="13"/>
    <x v="10"/>
    <x v="9"/>
    <s v="NA"/>
    <x v="9"/>
    <s v="SN"/>
    <s v="itaj00100146"/>
    <s v="ITAJ00100146"/>
    <n v="12"/>
    <m/>
    <x v="5"/>
    <n v="34"/>
    <x v="6"/>
    <s v="17:00 hrs"/>
  </r>
  <r>
    <s v="601134"/>
    <n v="172"/>
    <n v="13"/>
    <x v="10"/>
    <x v="9"/>
    <s v="NA"/>
    <x v="10"/>
    <s v="TELMEX"/>
    <s v="itel00100428"/>
    <s v="ITEL00100428"/>
    <n v="12"/>
    <m/>
    <x v="5"/>
    <n v="34"/>
    <x v="6"/>
    <s v="17:00 hrs"/>
  </r>
  <r>
    <s v="601211"/>
    <n v="173"/>
    <n v="13"/>
    <x v="11"/>
    <x v="10"/>
    <s v="NA"/>
    <x v="0"/>
    <s v="STEREN"/>
    <s v="ibaf00100120"/>
    <s v="IBAF00100120"/>
    <n v="12"/>
    <s v="Incluye: Cable de Alimentación,"/>
    <x v="1"/>
    <n v="11"/>
    <x v="8"/>
    <s v="17:00 hrs"/>
  </r>
  <r>
    <s v="601211"/>
    <n v="174"/>
    <n v="13"/>
    <x v="11"/>
    <x v="10"/>
    <s v="NA"/>
    <x v="1"/>
    <s v="SN"/>
    <s v="ibot00100016"/>
    <s v="IBOT00100016"/>
    <n v="12"/>
    <m/>
    <x v="1"/>
    <n v="11"/>
    <x v="8"/>
    <s v="17:00 hrs"/>
  </r>
  <r>
    <s v="601211"/>
    <n v="175"/>
    <n v="13"/>
    <x v="11"/>
    <x v="10"/>
    <s v="NA"/>
    <x v="2"/>
    <s v="SONY"/>
    <s v="ICAM00101731"/>
    <s v="ICAM00101731"/>
    <n v="12"/>
    <s v="Incluye: Memoria de 4GB, Cargador y Pila."/>
    <x v="1"/>
    <n v="11"/>
    <x v="8"/>
    <s v="17:00 hrs"/>
  </r>
  <r>
    <s v="601211"/>
    <n v="177"/>
    <n v="13"/>
    <x v="11"/>
    <x v="10"/>
    <s v="NA"/>
    <x v="3"/>
    <s v="COMBO"/>
    <s v="ieng00100176"/>
    <s v="IENG00100176"/>
    <n v="12"/>
    <m/>
    <x v="1"/>
    <n v="11"/>
    <x v="8"/>
    <s v="17:00 hrs"/>
  </r>
  <r>
    <s v="601211"/>
    <n v="178"/>
    <n v="13"/>
    <x v="11"/>
    <x v="10"/>
    <s v="NA"/>
    <x v="4"/>
    <s v="RADSON"/>
    <s v="iamp00100064"/>
    <s v="IAMP00100064"/>
    <n v="12"/>
    <m/>
    <x v="1"/>
    <n v="11"/>
    <x v="8"/>
    <s v="17:00 hrs"/>
  </r>
  <r>
    <s v="601211"/>
    <n v="179"/>
    <n v="13"/>
    <x v="11"/>
    <x v="10"/>
    <s v="NA"/>
    <x v="5"/>
    <s v="SONY"/>
    <s v="IGRA00100312"/>
    <s v="IGRA00100312"/>
    <n v="12"/>
    <m/>
    <x v="1"/>
    <n v="11"/>
    <x v="8"/>
    <s v="17:00 hrs"/>
  </r>
  <r>
    <s v="601211"/>
    <n v="180"/>
    <n v="13"/>
    <x v="11"/>
    <x v="10"/>
    <s v="NA"/>
    <x v="6"/>
    <s v="SURTEK"/>
    <s v="ilam00101250"/>
    <s v="ILAM00101250"/>
    <n v="12"/>
    <s v="Incluye: Cable de Alimentacion (Lampara chica)"/>
    <x v="1"/>
    <n v="11"/>
    <x v="8"/>
    <s v="17:00 hrs"/>
  </r>
  <r>
    <s v="601211"/>
    <n v="181"/>
    <n v="13"/>
    <x v="11"/>
    <x v="10"/>
    <s v="NA"/>
    <x v="6"/>
    <s v="SURTEK"/>
    <s v="ilam00101293"/>
    <s v="ILAM00101293"/>
    <n v="12"/>
    <s v="Incluye: Cable de Alimentacion (Lampara chica)"/>
    <x v="1"/>
    <n v="11"/>
    <x v="8"/>
    <s v="17:00 hrs"/>
  </r>
  <r>
    <s v="601211"/>
    <n v="182"/>
    <n v="13"/>
    <x v="11"/>
    <x v="10"/>
    <s v="NA"/>
    <x v="6"/>
    <s v="MAVRIK"/>
    <s v="ilam00100955"/>
    <s v="ILAM00100955"/>
    <n v="12"/>
    <s v="Incluye: Cable de Alimentacion (Lampara chica)"/>
    <x v="1"/>
    <n v="11"/>
    <x v="8"/>
    <s v="17:00 hrs"/>
  </r>
  <r>
    <s v="601211"/>
    <n v="183"/>
    <n v="13"/>
    <x v="11"/>
    <x v="10"/>
    <s v="NA"/>
    <x v="7"/>
    <s v="STEREN"/>
    <s v="SN"/>
    <s v="SN"/>
    <n v="2"/>
    <s v="Incluye: Cable de Alimentacion (Lampara grande)"/>
    <x v="1"/>
    <n v="11"/>
    <x v="8"/>
    <s v="17:00 hrs"/>
  </r>
  <r>
    <s v="601211"/>
    <n v="185"/>
    <n v="13"/>
    <x v="11"/>
    <x v="10"/>
    <s v="NA"/>
    <x v="8"/>
    <s v="SOUNDTRACK"/>
    <s v="isis01200166"/>
    <s v="ISIS01200166"/>
    <n v="12"/>
    <s v="Incluye: 2 Microfonos, Cable extencion Plug. Macho de 6.6mm, 2 Antenas y Eliminador y 2 soportes de microfonos"/>
    <x v="1"/>
    <n v="11"/>
    <x v="8"/>
    <s v="17:00 hrs"/>
  </r>
  <r>
    <s v="601211"/>
    <n v="186"/>
    <n v="13"/>
    <x v="11"/>
    <x v="10"/>
    <s v="NA"/>
    <x v="9"/>
    <s v="SN"/>
    <s v="itaj00100073"/>
    <s v="ITAJ00100073"/>
    <n v="12"/>
    <m/>
    <x v="1"/>
    <n v="11"/>
    <x v="8"/>
    <s v="17:00 hrs"/>
  </r>
  <r>
    <s v="601211"/>
    <n v="187"/>
    <n v="13"/>
    <x v="11"/>
    <x v="10"/>
    <s v="NA"/>
    <x v="10"/>
    <s v="TELMEX"/>
    <s v="itel00100773"/>
    <s v="ITEL00100773"/>
    <n v="12"/>
    <m/>
    <x v="1"/>
    <n v="11"/>
    <x v="8"/>
    <s v="17:00 hrs"/>
  </r>
  <r>
    <s v="601323"/>
    <n v="188"/>
    <n v="13"/>
    <x v="12"/>
    <x v="11"/>
    <s v="NA"/>
    <x v="0"/>
    <s v="STEREN"/>
    <s v="ibaf00100126"/>
    <s v="IBAF00100126"/>
    <n v="12"/>
    <s v="Incluye: Cable de Alimentación,"/>
    <x v="3"/>
    <n v="23"/>
    <x v="7"/>
    <s v="18:30 hrs"/>
  </r>
  <r>
    <s v="601323"/>
    <n v="189"/>
    <n v="13"/>
    <x v="12"/>
    <x v="11"/>
    <s v="NA"/>
    <x v="1"/>
    <s v="SN"/>
    <s v="ibot00100166"/>
    <s v="IBOT00100166"/>
    <n v="12"/>
    <m/>
    <x v="3"/>
    <n v="23"/>
    <x v="7"/>
    <s v="18:30 hrs"/>
  </r>
  <r>
    <s v="601323"/>
    <n v="190"/>
    <n v="13"/>
    <x v="12"/>
    <x v="11"/>
    <s v="NA"/>
    <x v="2"/>
    <s v="SONY"/>
    <s v="ICAM00101771"/>
    <s v="ICAM00101771"/>
    <n v="12"/>
    <s v="Incluye: Memoria de 4GB, Cargador y Pila."/>
    <x v="3"/>
    <n v="23"/>
    <x v="7"/>
    <s v="18:30 hrs"/>
  </r>
  <r>
    <s v="601323"/>
    <n v="191"/>
    <n v="13"/>
    <x v="12"/>
    <x v="11"/>
    <s v="NA"/>
    <x v="3"/>
    <s v="COMBO"/>
    <s v="ieng00100050"/>
    <s v="IENG00100050"/>
    <n v="12"/>
    <m/>
    <x v="3"/>
    <n v="23"/>
    <x v="7"/>
    <s v="18:30 hrs"/>
  </r>
  <r>
    <s v="601323"/>
    <n v="193"/>
    <n v="13"/>
    <x v="12"/>
    <x v="11"/>
    <s v="NA"/>
    <x v="4"/>
    <s v="RADSON"/>
    <s v="iamp00100021"/>
    <s v="IAMP00100021"/>
    <n v="12"/>
    <m/>
    <x v="3"/>
    <n v="23"/>
    <x v="7"/>
    <s v="18:30 hrs"/>
  </r>
  <r>
    <s v="601323"/>
    <n v="194"/>
    <n v="13"/>
    <x v="12"/>
    <x v="11"/>
    <s v="NA"/>
    <x v="5"/>
    <s v="SONY"/>
    <s v="IGRA00100401"/>
    <s v="IGRA00100401"/>
    <n v="12"/>
    <m/>
    <x v="3"/>
    <n v="23"/>
    <x v="7"/>
    <s v="18:30 hrs"/>
  </r>
  <r>
    <s v="601323"/>
    <n v="195"/>
    <n v="13"/>
    <x v="12"/>
    <x v="11"/>
    <s v="NA"/>
    <x v="6"/>
    <s v="MAVRIK"/>
    <s v="ilam00100948"/>
    <s v="ILAM00100948"/>
    <n v="12"/>
    <s v="Incluye: Cable de Alimentacion (Lampara chica)"/>
    <x v="3"/>
    <n v="23"/>
    <x v="7"/>
    <s v="18:30 hrs"/>
  </r>
  <r>
    <s v="601323"/>
    <n v="196"/>
    <n v="13"/>
    <x v="12"/>
    <x v="11"/>
    <s v="NA"/>
    <x v="6"/>
    <s v="MAVRIK"/>
    <s v="ilam00100931"/>
    <s v="ILAM00100931"/>
    <n v="12"/>
    <s v="Incluye: Cable de Alimentacion (Lampara chica)"/>
    <x v="3"/>
    <n v="23"/>
    <x v="7"/>
    <s v="18:30 hrs"/>
  </r>
  <r>
    <s v="601323"/>
    <n v="197"/>
    <n v="13"/>
    <x v="12"/>
    <x v="11"/>
    <s v="NA"/>
    <x v="6"/>
    <s v="MAVRIK"/>
    <s v="ilam00100951"/>
    <s v="ILAM00100951"/>
    <n v="12"/>
    <s v="Incluye: Cable de Alimentacion (Lampara chica)"/>
    <x v="3"/>
    <n v="23"/>
    <x v="7"/>
    <s v="18:30 hrs"/>
  </r>
  <r>
    <s v="601323"/>
    <n v="198"/>
    <n v="13"/>
    <x v="12"/>
    <x v="11"/>
    <s v="NA"/>
    <x v="7"/>
    <s v="STEREN"/>
    <s v="SN"/>
    <s v="SN"/>
    <n v="2"/>
    <s v="Incluye: Cable de Alimentacion (Lampara grande)"/>
    <x v="3"/>
    <n v="23"/>
    <x v="7"/>
    <s v="18:30 hrs"/>
  </r>
  <r>
    <s v="601323"/>
    <n v="199"/>
    <n v="13"/>
    <x v="12"/>
    <x v="11"/>
    <s v="NA"/>
    <x v="8"/>
    <s v="SOUNDTRACK"/>
    <s v="isis01200049"/>
    <s v="ISIS01200049"/>
    <n v="12"/>
    <s v="Incluye: 2 Microfonos, Cable extencion Plug. Macho de 6.6mm, 2 Antenas y Eliminador y 2 soportes de microfonos"/>
    <x v="3"/>
    <n v="23"/>
    <x v="7"/>
    <s v="18:30 hrs"/>
  </r>
  <r>
    <s v="601323"/>
    <n v="200"/>
    <n v="13"/>
    <x v="12"/>
    <x v="11"/>
    <s v="NA"/>
    <x v="9"/>
    <s v="SN"/>
    <s v="ITAJ00100081"/>
    <s v="ITAJ00100081"/>
    <n v="12"/>
    <m/>
    <x v="3"/>
    <n v="23"/>
    <x v="7"/>
    <s v="18:30 hrs"/>
  </r>
  <r>
    <s v="601323"/>
    <n v="202"/>
    <n v="13"/>
    <x v="12"/>
    <x v="11"/>
    <s v="NA"/>
    <x v="10"/>
    <s v="TELMEX"/>
    <s v="itel00101164"/>
    <s v="ITEL00101164"/>
    <n v="12"/>
    <m/>
    <x v="3"/>
    <n v="23"/>
    <x v="7"/>
    <s v="18:30 hrs"/>
  </r>
  <r>
    <s v="601423"/>
    <n v="203"/>
    <n v="11"/>
    <x v="13"/>
    <x v="12"/>
    <s v="NA"/>
    <x v="0"/>
    <s v="STEREN"/>
    <s v="ibaf00100134"/>
    <s v="IBAF00100134"/>
    <n v="12"/>
    <s v="Incluye: Cable de Alimentación,"/>
    <x v="3"/>
    <n v="23"/>
    <x v="9"/>
    <s v="16:00 hrs"/>
  </r>
  <r>
    <s v="601423"/>
    <n v="204"/>
    <n v="11"/>
    <x v="13"/>
    <x v="12"/>
    <s v="NA"/>
    <x v="1"/>
    <s v="SN"/>
    <s v="ibot00100118"/>
    <s v="IBOT00100118"/>
    <n v="12"/>
    <m/>
    <x v="3"/>
    <n v="23"/>
    <x v="9"/>
    <s v="16:00 hrs"/>
  </r>
  <r>
    <s v="601423"/>
    <n v="205"/>
    <n v="11"/>
    <x v="13"/>
    <x v="12"/>
    <s v="NA"/>
    <x v="2"/>
    <s v="SONY"/>
    <s v="ICAM00101770"/>
    <s v="ICAM00101770"/>
    <n v="12"/>
    <s v="Incluye: Memoria de 4GB, Cargador y Pila."/>
    <x v="3"/>
    <n v="23"/>
    <x v="9"/>
    <s v="16:00 hrs"/>
  </r>
  <r>
    <s v="601423"/>
    <n v="206"/>
    <n v="11"/>
    <x v="13"/>
    <x v="12"/>
    <s v="NA"/>
    <x v="3"/>
    <s v="COMBO"/>
    <s v="ieng00100051"/>
    <s v="IENG00100051"/>
    <n v="12"/>
    <m/>
    <x v="3"/>
    <n v="23"/>
    <x v="9"/>
    <s v="16:00 hrs"/>
  </r>
  <r>
    <s v="601423"/>
    <n v="207"/>
    <n v="11"/>
    <x v="13"/>
    <x v="12"/>
    <s v="NA"/>
    <x v="4"/>
    <s v="RADSON"/>
    <s v="iamp00100028"/>
    <s v="IAMP00100028"/>
    <n v="12"/>
    <m/>
    <x v="3"/>
    <n v="23"/>
    <x v="9"/>
    <s v="16:00 hrs"/>
  </r>
  <r>
    <s v="601423"/>
    <n v="208"/>
    <n v="11"/>
    <x v="13"/>
    <x v="12"/>
    <s v="NA"/>
    <x v="5"/>
    <s v="SONY"/>
    <s v="IGRA00100380"/>
    <s v="IGRA00100380"/>
    <n v="12"/>
    <m/>
    <x v="3"/>
    <n v="23"/>
    <x v="9"/>
    <s v="16:00 hrs"/>
  </r>
  <r>
    <s v="601423"/>
    <n v="210"/>
    <n v="11"/>
    <x v="13"/>
    <x v="12"/>
    <s v="NA"/>
    <x v="6"/>
    <s v="MAVRIK"/>
    <s v="ilam00100959"/>
    <s v="ILAM00100959"/>
    <n v="12"/>
    <s v="Incluye: Cable de Alimentacion (Lampara chica)"/>
    <x v="3"/>
    <n v="23"/>
    <x v="9"/>
    <s v="16:00 hrs"/>
  </r>
  <r>
    <s v="601423"/>
    <n v="211"/>
    <n v="11"/>
    <x v="13"/>
    <x v="12"/>
    <s v="NA"/>
    <x v="7"/>
    <s v="STEREN"/>
    <s v="SN"/>
    <s v="SN"/>
    <n v="2"/>
    <s v="Incluye: Cable de Alimentacion (Lampara grande)"/>
    <x v="3"/>
    <n v="23"/>
    <x v="9"/>
    <s v="16:00 hrs"/>
  </r>
  <r>
    <s v="601423"/>
    <n v="212"/>
    <n v="11"/>
    <x v="13"/>
    <x v="12"/>
    <s v="NA"/>
    <x v="8"/>
    <s v="SOUNDTRACK"/>
    <s v="isis01200065"/>
    <s v="ISIS01200065"/>
    <n v="12"/>
    <s v="Incluye: 2 Microfonos, Cable extencion Plug. Macho de 6.6mm, 2 Antenas y Eliminador y 2 soportes de microfonos"/>
    <x v="3"/>
    <n v="23"/>
    <x v="9"/>
    <s v="16:00 hrs"/>
  </r>
  <r>
    <s v="601423"/>
    <n v="213"/>
    <n v="11"/>
    <x v="13"/>
    <x v="12"/>
    <s v="NA"/>
    <x v="9"/>
    <s v="SN"/>
    <s v="itaj00100064"/>
    <s v="ITAJ00100064"/>
    <n v="12"/>
    <m/>
    <x v="3"/>
    <n v="23"/>
    <x v="9"/>
    <s v="16:00 hrs"/>
  </r>
  <r>
    <s v="601423"/>
    <n v="214"/>
    <n v="11"/>
    <x v="13"/>
    <x v="12"/>
    <s v="NA"/>
    <x v="10"/>
    <s v="TELMEX"/>
    <s v="itel00100453"/>
    <s v="ITEL00100453"/>
    <n v="12"/>
    <m/>
    <x v="3"/>
    <n v="23"/>
    <x v="9"/>
    <s v="16:00 hrs"/>
  </r>
  <r>
    <s v="601518"/>
    <n v="215"/>
    <n v="13"/>
    <x v="14"/>
    <x v="13"/>
    <s v="NA"/>
    <x v="0"/>
    <s v="STEREN"/>
    <s v="ibaf00100158"/>
    <s v="IBAF00100158"/>
    <n v="13"/>
    <s v="Incluye: Cable de Alimentación,"/>
    <x v="4"/>
    <n v="18"/>
    <x v="9"/>
    <s v="14:30 hrs"/>
  </r>
  <r>
    <s v="601518"/>
    <n v="216"/>
    <n v="13"/>
    <x v="14"/>
    <x v="13"/>
    <s v="NA"/>
    <x v="1"/>
    <s v="SN"/>
    <s v="ibot00100122"/>
    <s v="IBOT00100122"/>
    <n v="12"/>
    <m/>
    <x v="4"/>
    <n v="18"/>
    <x v="9"/>
    <s v="14:30 hrs"/>
  </r>
  <r>
    <s v="601518"/>
    <n v="218"/>
    <n v="13"/>
    <x v="14"/>
    <x v="13"/>
    <s v="NA"/>
    <x v="2"/>
    <s v="SONY"/>
    <s v="ICAM00101755"/>
    <s v="ICAM00101755"/>
    <n v="12"/>
    <s v="Incluye: Memoria de 4GB, Cargador y Pila."/>
    <x v="4"/>
    <n v="18"/>
    <x v="9"/>
    <s v="14:30 hrs"/>
  </r>
  <r>
    <s v="601518"/>
    <n v="219"/>
    <n v="13"/>
    <x v="14"/>
    <x v="13"/>
    <s v="NA"/>
    <x v="3"/>
    <s v="COMBO"/>
    <s v="ieng00100074"/>
    <s v="IENG00100074"/>
    <n v="12"/>
    <m/>
    <x v="4"/>
    <n v="18"/>
    <x v="9"/>
    <s v="14:30 hrs"/>
  </r>
  <r>
    <s v="601518"/>
    <n v="220"/>
    <n v="13"/>
    <x v="14"/>
    <x v="13"/>
    <s v="NA"/>
    <x v="4"/>
    <s v="RADSON"/>
    <s v="iamp00100086"/>
    <s v="IAMP00100086"/>
    <n v="12"/>
    <m/>
    <x v="4"/>
    <n v="18"/>
    <x v="9"/>
    <s v="14:30 hrs"/>
  </r>
  <r>
    <s v="601518"/>
    <n v="221"/>
    <n v="13"/>
    <x v="14"/>
    <x v="13"/>
    <s v="NA"/>
    <x v="5"/>
    <s v="SONY"/>
    <s v="IGRA00100430"/>
    <s v="IGRA00100430"/>
    <n v="12"/>
    <m/>
    <x v="4"/>
    <n v="18"/>
    <x v="9"/>
    <s v="14:30 hrs"/>
  </r>
  <r>
    <s v="601518"/>
    <n v="222"/>
    <n v="13"/>
    <x v="14"/>
    <x v="13"/>
    <s v="NA"/>
    <x v="6"/>
    <s v="MAVRIK"/>
    <s v="ILAM00100981"/>
    <s v="ILAM00100981"/>
    <n v="12"/>
    <s v="Incluye: Cable de Alimentacion (Lampara chica)"/>
    <x v="4"/>
    <n v="18"/>
    <x v="9"/>
    <s v="14:30 hrs"/>
  </r>
  <r>
    <s v="601518"/>
    <n v="223"/>
    <n v="13"/>
    <x v="14"/>
    <x v="13"/>
    <s v="NA"/>
    <x v="6"/>
    <s v="MAVRIK"/>
    <s v="ILAM00100924"/>
    <s v="ILAM00100924"/>
    <n v="12"/>
    <s v="Incluye: Cable de Alimentacion (Lampara chica)"/>
    <x v="4"/>
    <n v="18"/>
    <x v="9"/>
    <s v="14:30 hrs"/>
  </r>
  <r>
    <s v="601518"/>
    <n v="224"/>
    <n v="13"/>
    <x v="14"/>
    <x v="13"/>
    <s v="NA"/>
    <x v="6"/>
    <s v="MAVRIK"/>
    <s v="ILAM00100925"/>
    <s v="ILAM00100925"/>
    <n v="12"/>
    <s v="Incluye: Cable de Alimentacion (Lampara chica)"/>
    <x v="4"/>
    <n v="18"/>
    <x v="9"/>
    <s v="14:30 hrs"/>
  </r>
  <r>
    <s v="601518"/>
    <n v="226"/>
    <n v="13"/>
    <x v="14"/>
    <x v="13"/>
    <s v="NA"/>
    <x v="7"/>
    <s v="STEREN"/>
    <s v="SN"/>
    <s v="SN"/>
    <n v="2"/>
    <s v="Incluye: Cable de Alimentacion (Lampara grande)"/>
    <x v="4"/>
    <n v="18"/>
    <x v="9"/>
    <s v="14:30 hrs"/>
  </r>
  <r>
    <s v="601518"/>
    <n v="227"/>
    <n v="13"/>
    <x v="14"/>
    <x v="13"/>
    <s v="NA"/>
    <x v="8"/>
    <s v="SOUNDTRACK"/>
    <s v="isis01200144"/>
    <s v="ISIS01200144"/>
    <n v="12"/>
    <s v="Incluye: 2 Microfonos, Cable extencion Plug. Macho de 6.6mm, 2 Antenas y Eliminador y 2 soportes de microfonos"/>
    <x v="4"/>
    <n v="18"/>
    <x v="9"/>
    <s v="14:30 hrs"/>
  </r>
  <r>
    <s v="601518"/>
    <n v="228"/>
    <n v="13"/>
    <x v="14"/>
    <x v="13"/>
    <s v="NA"/>
    <x v="9"/>
    <s v="SN"/>
    <s v="itaj00100153"/>
    <s v="ITAJ00100153"/>
    <n v="12"/>
    <m/>
    <x v="4"/>
    <n v="18"/>
    <x v="9"/>
    <s v="14:30 hrs"/>
  </r>
  <r>
    <s v="601518"/>
    <n v="229"/>
    <n v="13"/>
    <x v="14"/>
    <x v="13"/>
    <s v="NA"/>
    <x v="10"/>
    <s v="TELMEX"/>
    <s v="itel00101094"/>
    <s v="ITEL00101094"/>
    <n v="12"/>
    <m/>
    <x v="4"/>
    <n v="18"/>
    <x v="9"/>
    <s v="14:30 hrs"/>
  </r>
  <r>
    <s v="601628"/>
    <n v="230"/>
    <n v="14"/>
    <x v="15"/>
    <x v="14"/>
    <s v="NA"/>
    <x v="0"/>
    <s v="STEREN"/>
    <s v="ibaf00100048"/>
    <s v="IBAF00100048"/>
    <n v="12"/>
    <s v="Incluye: Cable de Alimentación,"/>
    <x v="0"/>
    <n v="28"/>
    <x v="6"/>
    <s v="15:30 hrs"/>
  </r>
  <r>
    <s v="601628"/>
    <n v="231"/>
    <n v="14"/>
    <x v="15"/>
    <x v="14"/>
    <s v="NA"/>
    <x v="1"/>
    <s v="SN"/>
    <s v="ibot00100044"/>
    <s v="IBOT00100044"/>
    <n v="12"/>
    <m/>
    <x v="0"/>
    <n v="28"/>
    <x v="6"/>
    <s v="15:30 hrs"/>
  </r>
  <r>
    <s v="601628"/>
    <n v="232"/>
    <n v="14"/>
    <x v="15"/>
    <x v="14"/>
    <s v="NA"/>
    <x v="2"/>
    <s v="SONY"/>
    <s v="ICAM00101801"/>
    <s v="ICAM00101801"/>
    <n v="12"/>
    <s v="Incluye: Memoria de 4GB, Cargador y Pila."/>
    <x v="0"/>
    <n v="28"/>
    <x v="6"/>
    <s v="15:30 hrs"/>
  </r>
  <r>
    <s v="601628"/>
    <n v="234"/>
    <n v="14"/>
    <x v="15"/>
    <x v="14"/>
    <s v="NA"/>
    <x v="3"/>
    <s v="COMBO"/>
    <s v="ieng00100185"/>
    <s v="IENG00100185"/>
    <n v="12"/>
    <m/>
    <x v="0"/>
    <n v="28"/>
    <x v="6"/>
    <s v="15:30 hrs"/>
  </r>
  <r>
    <s v="601628"/>
    <n v="235"/>
    <n v="14"/>
    <x v="15"/>
    <x v="14"/>
    <s v="NA"/>
    <x v="4"/>
    <s v="RADSON"/>
    <s v="iamp00100131"/>
    <s v="IAMP00100131"/>
    <n v="12"/>
    <m/>
    <x v="0"/>
    <n v="28"/>
    <x v="6"/>
    <s v="15:30 hrs"/>
  </r>
  <r>
    <s v="601628"/>
    <n v="236"/>
    <n v="14"/>
    <x v="15"/>
    <x v="14"/>
    <s v="NA"/>
    <x v="5"/>
    <s v="SONY"/>
    <s v="IGRA00100315"/>
    <s v="IGRA00100315"/>
    <n v="12"/>
    <m/>
    <x v="0"/>
    <n v="28"/>
    <x v="6"/>
    <s v="15:30 hrs"/>
  </r>
  <r>
    <s v="601628"/>
    <n v="237"/>
    <n v="14"/>
    <x v="15"/>
    <x v="14"/>
    <s v="NA"/>
    <x v="6"/>
    <s v="MAVRIK"/>
    <s v="ilam00100973"/>
    <s v="ILAM00100973"/>
    <n v="12"/>
    <s v="Incluye: Cable de Alimentacion (Lampara chica)"/>
    <x v="0"/>
    <n v="28"/>
    <x v="6"/>
    <s v="15:30 hrs"/>
  </r>
  <r>
    <s v="601628"/>
    <n v="238"/>
    <n v="14"/>
    <x v="15"/>
    <x v="14"/>
    <s v="NA"/>
    <x v="6"/>
    <s v="MAVRIK"/>
    <s v="ilam00100988"/>
    <s v="ILAM00100988"/>
    <n v="12"/>
    <s v="Incluye: Cable de Alimentacion (Lampara chica)"/>
    <x v="0"/>
    <n v="28"/>
    <x v="6"/>
    <s v="15:30 hrs"/>
  </r>
  <r>
    <s v="601628"/>
    <n v="239"/>
    <n v="14"/>
    <x v="15"/>
    <x v="14"/>
    <s v="NA"/>
    <x v="6"/>
    <s v="MAVRIK"/>
    <s v="ilam00100943"/>
    <s v="ILAM00100943"/>
    <n v="12"/>
    <s v="Incluye: Cable de Alimentacion (Lampara chica)"/>
    <x v="0"/>
    <n v="28"/>
    <x v="6"/>
    <s v="15:30 hrs"/>
  </r>
  <r>
    <s v="601628"/>
    <n v="240"/>
    <n v="14"/>
    <x v="15"/>
    <x v="14"/>
    <s v="NA"/>
    <x v="6"/>
    <s v="MAVRIK"/>
    <s v="ilam00100972"/>
    <s v="ILAM00100972"/>
    <n v="12"/>
    <s v="Incluye: Cable de Alimentacion (Lampara chica)"/>
    <x v="0"/>
    <n v="28"/>
    <x v="6"/>
    <s v="15:30 hrs"/>
  </r>
  <r>
    <s v="601628"/>
    <n v="242"/>
    <n v="14"/>
    <x v="15"/>
    <x v="14"/>
    <s v="NA"/>
    <x v="7"/>
    <s v="STEREN"/>
    <s v="SN"/>
    <s v="SN"/>
    <n v="2"/>
    <s v="Incluye: Cable de Alimentacion (Lampara grande)"/>
    <x v="0"/>
    <n v="28"/>
    <x v="6"/>
    <s v="15:30 hrs"/>
  </r>
  <r>
    <s v="601628"/>
    <n v="243"/>
    <n v="14"/>
    <x v="15"/>
    <x v="14"/>
    <s v="NA"/>
    <x v="8"/>
    <s v="SOUNDTRACK"/>
    <s v="isis01200063"/>
    <s v="ISIS01200063"/>
    <n v="12"/>
    <s v="Incluye: 2 Microfonos, Cable extencion Plug. Macho de 6.6mm, 2 Antenas y Eliminador y 2 soportes de microfonos"/>
    <x v="0"/>
    <n v="28"/>
    <x v="6"/>
    <s v="15:30 hrs"/>
  </r>
  <r>
    <s v="601628"/>
    <n v="244"/>
    <n v="14"/>
    <x v="15"/>
    <x v="14"/>
    <s v="NA"/>
    <x v="9"/>
    <s v="SN"/>
    <s v="itaj00100198"/>
    <s v="ITAJ00100198"/>
    <n v="12"/>
    <m/>
    <x v="0"/>
    <n v="28"/>
    <x v="6"/>
    <s v="15:30 hrs"/>
  </r>
  <r>
    <s v="601628"/>
    <n v="245"/>
    <n v="14"/>
    <x v="15"/>
    <x v="14"/>
    <s v="NA"/>
    <x v="10"/>
    <s v="TELMEX"/>
    <s v="itel00100463"/>
    <s v="ITEL00100463"/>
    <n v="12"/>
    <m/>
    <x v="0"/>
    <n v="28"/>
    <x v="6"/>
    <s v="15:30 hrs"/>
  </r>
  <r>
    <s v="601724"/>
    <n v="246"/>
    <n v="14"/>
    <x v="16"/>
    <x v="15"/>
    <s v="NA"/>
    <x v="0"/>
    <s v="STEREN"/>
    <s v="ibaf00100203"/>
    <s v="IBAF00100203"/>
    <n v="12"/>
    <s v="Incluye: Cable de Alimentación,"/>
    <x v="3"/>
    <n v="24"/>
    <x v="5"/>
    <s v="19:30 hrs"/>
  </r>
  <r>
    <s v="601724"/>
    <n v="247"/>
    <n v="14"/>
    <x v="16"/>
    <x v="15"/>
    <s v="NA"/>
    <x v="1"/>
    <s v="SN"/>
    <s v="ibot00100028"/>
    <s v="IBOT00100028"/>
    <n v="12"/>
    <m/>
    <x v="3"/>
    <n v="24"/>
    <x v="5"/>
    <s v="19:30 hrs"/>
  </r>
  <r>
    <s v="601724"/>
    <n v="248"/>
    <n v="14"/>
    <x v="16"/>
    <x v="15"/>
    <s v="NA"/>
    <x v="2"/>
    <s v="SONY"/>
    <s v="ICAM00101806"/>
    <s v="ICAM00101806"/>
    <n v="12"/>
    <s v="Incluye: Memoria de 4GB, Cargador y Pila."/>
    <x v="3"/>
    <n v="24"/>
    <x v="5"/>
    <s v="19:30 hrs"/>
  </r>
  <r>
    <s v="601724"/>
    <n v="250"/>
    <n v="14"/>
    <x v="16"/>
    <x v="15"/>
    <s v="NA"/>
    <x v="3"/>
    <s v="COMBO"/>
    <s v="ieng00100155"/>
    <s v="IENG00100155"/>
    <n v="12"/>
    <m/>
    <x v="3"/>
    <n v="24"/>
    <x v="5"/>
    <s v="19:30 hrs"/>
  </r>
  <r>
    <s v="601724"/>
    <n v="251"/>
    <n v="14"/>
    <x v="16"/>
    <x v="15"/>
    <s v="NA"/>
    <x v="4"/>
    <s v="RADSON"/>
    <s v="iamp00100115"/>
    <s v="IAMP00100115"/>
    <n v="12"/>
    <m/>
    <x v="3"/>
    <n v="24"/>
    <x v="5"/>
    <s v="19:30 hrs"/>
  </r>
  <r>
    <s v="601724"/>
    <n v="252"/>
    <n v="14"/>
    <x v="16"/>
    <x v="15"/>
    <s v="NA"/>
    <x v="5"/>
    <s v="SONY"/>
    <s v="IGRA00100285"/>
    <s v="IGRA00100285"/>
    <n v="12"/>
    <m/>
    <x v="3"/>
    <n v="24"/>
    <x v="5"/>
    <s v="19:30 hrs"/>
  </r>
  <r>
    <s v="601724"/>
    <n v="253"/>
    <n v="14"/>
    <x v="16"/>
    <x v="15"/>
    <s v="NA"/>
    <x v="6"/>
    <s v="MAVRIK"/>
    <s v="ilam00100996"/>
    <s v="ILAM00100996"/>
    <n v="12"/>
    <s v="Incluye: Cable de Alimentacion (Lampara chica)"/>
    <x v="3"/>
    <n v="24"/>
    <x v="5"/>
    <s v="19:30 hrs"/>
  </r>
  <r>
    <s v="601724"/>
    <n v="254"/>
    <n v="14"/>
    <x v="16"/>
    <x v="15"/>
    <s v="NA"/>
    <x v="6"/>
    <s v="MAVRIK"/>
    <s v="ilam00100993"/>
    <s v="ILAM00100993"/>
    <n v="12"/>
    <s v="Incluye: Cable de Alimentacion (Lampara chica)"/>
    <x v="3"/>
    <n v="24"/>
    <x v="5"/>
    <s v="19:30 hrs"/>
  </r>
  <r>
    <s v="601724"/>
    <n v="255"/>
    <n v="14"/>
    <x v="16"/>
    <x v="15"/>
    <s v="NA"/>
    <x v="6"/>
    <s v="MAVRIK"/>
    <s v="ilam00100947"/>
    <s v="ILAM00100947"/>
    <n v="12"/>
    <s v="Incluye: Cable de Alimentacion (Lampara chica)"/>
    <x v="3"/>
    <n v="24"/>
    <x v="5"/>
    <s v="19:30 hrs"/>
  </r>
  <r>
    <s v="601724"/>
    <n v="256"/>
    <n v="14"/>
    <x v="16"/>
    <x v="15"/>
    <s v="NA"/>
    <x v="6"/>
    <s v="MAVRIK"/>
    <s v="ilam00100956"/>
    <s v="ILAM00100956"/>
    <n v="12"/>
    <s v="Incluye: Cable de Alimentacion (Lampara chica)"/>
    <x v="3"/>
    <n v="24"/>
    <x v="5"/>
    <s v="19:30 hrs"/>
  </r>
  <r>
    <s v="601724"/>
    <n v="258"/>
    <n v="14"/>
    <x v="16"/>
    <x v="15"/>
    <s v="NA"/>
    <x v="7"/>
    <s v="STEREN"/>
    <s v="SN"/>
    <s v="SN"/>
    <n v="2"/>
    <s v="Incluye: Cable de Alimentacion (Lampara grande)"/>
    <x v="3"/>
    <n v="24"/>
    <x v="5"/>
    <s v="19:30 hrs"/>
  </r>
  <r>
    <s v="601724"/>
    <n v="259"/>
    <n v="14"/>
    <x v="16"/>
    <x v="15"/>
    <s v="NA"/>
    <x v="8"/>
    <s v="SOUNDTRACK"/>
    <s v="isis01200149"/>
    <s v="ISIS01200149"/>
    <n v="12"/>
    <s v="Incluye: 2 Microfonos, Cable extencion Plug. Macho de 6.6mm, 2 Antenas y Eliminador y 2 soportes de microfonos"/>
    <x v="3"/>
    <n v="24"/>
    <x v="5"/>
    <s v="19:30 hrs"/>
  </r>
  <r>
    <s v="601724"/>
    <n v="260"/>
    <n v="14"/>
    <x v="16"/>
    <x v="15"/>
    <s v="NA"/>
    <x v="9"/>
    <s v="SN"/>
    <s v="itaj00100232"/>
    <s v="ITAJ00100232"/>
    <n v="12"/>
    <m/>
    <x v="3"/>
    <n v="24"/>
    <x v="5"/>
    <s v="19:30 hrs"/>
  </r>
  <r>
    <s v="601724"/>
    <n v="261"/>
    <n v="14"/>
    <x v="16"/>
    <x v="15"/>
    <s v="NA"/>
    <x v="10"/>
    <s v="TELMEX"/>
    <s v="itel00100610"/>
    <s v="ITEL00100610"/>
    <n v="12"/>
    <m/>
    <x v="3"/>
    <n v="24"/>
    <x v="5"/>
    <s v="19:30 hrs"/>
  </r>
  <r>
    <s v="601821"/>
    <n v="262"/>
    <n v="12"/>
    <x v="17"/>
    <x v="16"/>
    <s v="NA"/>
    <x v="0"/>
    <s v="STEREN"/>
    <s v="ibaf00100106"/>
    <s v="IBAF00100106"/>
    <n v="12"/>
    <s v="Incluye: Cable de Alimentación,"/>
    <x v="3"/>
    <n v="21"/>
    <x v="6"/>
    <s v="14:30 hrs"/>
  </r>
  <r>
    <s v="601821"/>
    <n v="263"/>
    <n v="12"/>
    <x v="17"/>
    <x v="16"/>
    <s v="NA"/>
    <x v="1"/>
    <s v="SN"/>
    <s v="ibot00100090"/>
    <s v="IBOT00100090"/>
    <n v="12"/>
    <m/>
    <x v="3"/>
    <n v="21"/>
    <x v="6"/>
    <s v="14:30 hrs"/>
  </r>
  <r>
    <s v="601821"/>
    <n v="264"/>
    <n v="12"/>
    <x v="17"/>
    <x v="16"/>
    <s v="NA"/>
    <x v="2"/>
    <s v="SONY"/>
    <s v="ICAM00101798"/>
    <s v="ICAM00101798"/>
    <n v="12"/>
    <s v="Incluye: Memoria de 4GB, Cargador y Pila."/>
    <x v="3"/>
    <n v="21"/>
    <x v="6"/>
    <s v="14:30 hrs"/>
  </r>
  <r>
    <s v="601821"/>
    <n v="266"/>
    <n v="12"/>
    <x v="17"/>
    <x v="16"/>
    <s v="NA"/>
    <x v="3"/>
    <s v="COMBO"/>
    <s v="ieng00100043"/>
    <s v="IENG00100043"/>
    <n v="12"/>
    <m/>
    <x v="3"/>
    <n v="21"/>
    <x v="6"/>
    <s v="14:30 hrs"/>
  </r>
  <r>
    <s v="601821"/>
    <n v="267"/>
    <n v="12"/>
    <x v="17"/>
    <x v="16"/>
    <s v="NA"/>
    <x v="4"/>
    <s v="RADSON"/>
    <s v="iamp00100035"/>
    <s v="IAMP00100035"/>
    <n v="12"/>
    <m/>
    <x v="3"/>
    <n v="21"/>
    <x v="6"/>
    <s v="14:30 hrs"/>
  </r>
  <r>
    <s v="601821"/>
    <n v="268"/>
    <n v="12"/>
    <x v="17"/>
    <x v="16"/>
    <s v="NA"/>
    <x v="5"/>
    <s v="SONY"/>
    <s v="IGRA00100371"/>
    <s v="IGRA00100371"/>
    <n v="12"/>
    <m/>
    <x v="3"/>
    <n v="21"/>
    <x v="6"/>
    <s v="14:30 hrs"/>
  </r>
  <r>
    <s v="601821"/>
    <n v="269"/>
    <n v="12"/>
    <x v="17"/>
    <x v="16"/>
    <s v="NA"/>
    <x v="6"/>
    <s v="MAVRIK"/>
    <s v="ilam00100998"/>
    <s v="ILAM00100998"/>
    <n v="12"/>
    <s v="Incluye: Cable de Alimentacion (Lampara chica)"/>
    <x v="3"/>
    <n v="21"/>
    <x v="6"/>
    <s v="14:30 hrs"/>
  </r>
  <r>
    <s v="601821"/>
    <n v="270"/>
    <n v="12"/>
    <x v="17"/>
    <x v="16"/>
    <s v="NA"/>
    <x v="6"/>
    <s v="MAVRIK"/>
    <s v="ilam00100933"/>
    <s v="ILAM00100933"/>
    <n v="12"/>
    <s v="Incluye: Cable de Alimentacion (Lampara chica)"/>
    <x v="3"/>
    <n v="21"/>
    <x v="6"/>
    <s v="14:30 hrs"/>
  </r>
  <r>
    <s v="601821"/>
    <n v="271"/>
    <n v="12"/>
    <x v="17"/>
    <x v="16"/>
    <s v="NA"/>
    <x v="7"/>
    <s v="STEREN"/>
    <s v="SN"/>
    <s v="SN"/>
    <n v="2"/>
    <s v="Incluye: Cable de Alimentacion (Lampara grande)"/>
    <x v="3"/>
    <n v="21"/>
    <x v="6"/>
    <s v="14:30 hrs"/>
  </r>
  <r>
    <s v="601821"/>
    <n v="272"/>
    <n v="12"/>
    <x v="17"/>
    <x v="16"/>
    <s v="NA"/>
    <x v="8"/>
    <s v="SOUNDTRACK"/>
    <s v="isis01200059"/>
    <s v="ISIS01200059"/>
    <n v="12"/>
    <s v="Incluye: 2 Microfonos, Cable extencion Plug. Macho de 6.6mm, 2 Antenas y Eliminador y 2 soportes de microfonos"/>
    <x v="3"/>
    <n v="21"/>
    <x v="6"/>
    <s v="14:30 hrs"/>
  </r>
  <r>
    <s v="601821"/>
    <n v="274"/>
    <n v="12"/>
    <x v="17"/>
    <x v="16"/>
    <s v="NA"/>
    <x v="9"/>
    <s v="SN"/>
    <s v="itaj00100192"/>
    <s v="ITAJ00100192"/>
    <n v="12"/>
    <m/>
    <x v="3"/>
    <n v="21"/>
    <x v="6"/>
    <s v="14:30 hrs"/>
  </r>
  <r>
    <s v="601821"/>
    <n v="275"/>
    <n v="12"/>
    <x v="17"/>
    <x v="16"/>
    <s v="NA"/>
    <x v="10"/>
    <s v="TELMEX"/>
    <s v="itel00100836"/>
    <s v="ITEL00100836"/>
    <n v="12"/>
    <m/>
    <x v="3"/>
    <n v="21"/>
    <x v="6"/>
    <s v="14:30 hrs"/>
  </r>
  <r>
    <s v="601928"/>
    <n v="276"/>
    <n v="14"/>
    <x v="18"/>
    <x v="17"/>
    <s v="NA"/>
    <x v="0"/>
    <s v="STEREN"/>
    <s v="IBAF00100112"/>
    <s v="IBAF00100112"/>
    <n v="12"/>
    <s v="Incluye: Cable de Alimentación,"/>
    <x v="0"/>
    <n v="28"/>
    <x v="9"/>
    <s v="17:00 hrs"/>
  </r>
  <r>
    <s v="601928"/>
    <n v="277"/>
    <n v="14"/>
    <x v="18"/>
    <x v="17"/>
    <s v="NA"/>
    <x v="1"/>
    <s v="SN"/>
    <s v="ibot00100070"/>
    <s v="IBOT00100070"/>
    <n v="12"/>
    <m/>
    <x v="0"/>
    <n v="28"/>
    <x v="9"/>
    <s v="17:00 hrs"/>
  </r>
  <r>
    <s v="601928"/>
    <n v="278"/>
    <n v="14"/>
    <x v="18"/>
    <x v="17"/>
    <s v="NA"/>
    <x v="2"/>
    <s v="SONY"/>
    <s v="ICAM00101756"/>
    <s v="ICAM00101756"/>
    <n v="12"/>
    <s v="Incluye: Memoria de 4GB, Cargador y Pila."/>
    <x v="0"/>
    <n v="28"/>
    <x v="9"/>
    <s v="17:00 hrs"/>
  </r>
  <r>
    <s v="601928"/>
    <n v="279"/>
    <n v="14"/>
    <x v="18"/>
    <x v="17"/>
    <s v="NA"/>
    <x v="3"/>
    <s v="COMBO"/>
    <s v="ieng00100130"/>
    <s v="IENG00100130"/>
    <n v="12"/>
    <m/>
    <x v="0"/>
    <n v="28"/>
    <x v="9"/>
    <s v="17:00 hrs"/>
  </r>
  <r>
    <s v="601928"/>
    <n v="280"/>
    <n v="14"/>
    <x v="18"/>
    <x v="17"/>
    <s v="NA"/>
    <x v="4"/>
    <s v="RADSON"/>
    <s v="iamp00100065"/>
    <s v="IAMP00100065"/>
    <n v="12"/>
    <m/>
    <x v="0"/>
    <n v="28"/>
    <x v="9"/>
    <s v="17:00 hrs"/>
  </r>
  <r>
    <s v="601928"/>
    <n v="282"/>
    <n v="14"/>
    <x v="18"/>
    <x v="17"/>
    <s v="NA"/>
    <x v="5"/>
    <s v="SONY"/>
    <s v="IGRA00100321"/>
    <s v="IGRA00100321"/>
    <n v="12"/>
    <m/>
    <x v="0"/>
    <n v="28"/>
    <x v="9"/>
    <s v="17:00 hrs"/>
  </r>
  <r>
    <s v="601928"/>
    <n v="283"/>
    <n v="14"/>
    <x v="18"/>
    <x v="17"/>
    <s v="NA"/>
    <x v="6"/>
    <s v="MAVRIK"/>
    <s v="ilam00101038"/>
    <s v="ILAM00101038"/>
    <n v="12"/>
    <s v="Incluye: Cable de Alimentacion (Lampara chica)"/>
    <x v="0"/>
    <n v="28"/>
    <x v="9"/>
    <s v="17:00 hrs"/>
  </r>
  <r>
    <s v="601928"/>
    <n v="284"/>
    <n v="14"/>
    <x v="18"/>
    <x v="17"/>
    <s v="NA"/>
    <x v="6"/>
    <s v="MAVRIK"/>
    <s v="ilam00100968"/>
    <s v="ILAM00100968"/>
    <n v="12"/>
    <s v="Incluye: Cable de Alimentacion (Lampara chica)"/>
    <x v="0"/>
    <n v="28"/>
    <x v="9"/>
    <s v="17:00 hrs"/>
  </r>
  <r>
    <s v="601928"/>
    <n v="285"/>
    <n v="14"/>
    <x v="18"/>
    <x v="17"/>
    <s v="NA"/>
    <x v="6"/>
    <s v="MAVRIK"/>
    <s v="ilam00100945"/>
    <s v="ILAM00100945"/>
    <n v="12"/>
    <s v="Incluye: Cable de Alimentacion (Lampara chica)"/>
    <x v="0"/>
    <n v="28"/>
    <x v="9"/>
    <s v="17:00 hrs"/>
  </r>
  <r>
    <s v="601928"/>
    <n v="286"/>
    <n v="14"/>
    <x v="18"/>
    <x v="17"/>
    <s v="NA"/>
    <x v="6"/>
    <s v="MAVRIK"/>
    <s v="ilam00100969"/>
    <s v="ILAM00100969"/>
    <n v="12"/>
    <s v="Incluye: Cable de Alimentacion (Lampara chica)"/>
    <x v="0"/>
    <n v="28"/>
    <x v="9"/>
    <s v="17:00 hrs"/>
  </r>
  <r>
    <s v="601928"/>
    <n v="287"/>
    <n v="14"/>
    <x v="18"/>
    <x v="17"/>
    <s v="NA"/>
    <x v="7"/>
    <s v="STEREN"/>
    <s v="SN"/>
    <s v="SN"/>
    <n v="2"/>
    <s v="Incluye: Cable de Alimentacion (Lampara grande)"/>
    <x v="0"/>
    <n v="28"/>
    <x v="9"/>
    <s v="17:00 hrs"/>
  </r>
  <r>
    <s v="601928"/>
    <n v="288"/>
    <n v="14"/>
    <x v="18"/>
    <x v="17"/>
    <s v="NA"/>
    <x v="8"/>
    <s v="SOUNDTRACK"/>
    <s v="isis01200185"/>
    <s v="ISIS01200185"/>
    <n v="12"/>
    <s v="Incluye: 2 Microfonos, Cable extencion Plug. Macho de 6.6mm, 2 Antenas y Eliminador y 2 soportes de microfonos"/>
    <x v="0"/>
    <n v="28"/>
    <x v="9"/>
    <s v="17:00 hrs"/>
  </r>
  <r>
    <s v="601928"/>
    <n v="289"/>
    <n v="14"/>
    <x v="18"/>
    <x v="17"/>
    <s v="NA"/>
    <x v="9"/>
    <s v="SN"/>
    <s v="itaj00100049"/>
    <s v="ITAJ00100049"/>
    <n v="12"/>
    <m/>
    <x v="0"/>
    <n v="28"/>
    <x v="9"/>
    <s v="17:00 hrs"/>
  </r>
  <r>
    <s v="601928"/>
    <n v="291"/>
    <n v="14"/>
    <x v="18"/>
    <x v="17"/>
    <s v="NA"/>
    <x v="10"/>
    <s v="TELMEX"/>
    <s v="itel00101185"/>
    <s v="ITEL00101185"/>
    <n v="12"/>
    <m/>
    <x v="0"/>
    <n v="28"/>
    <x v="9"/>
    <s v="17:00 hrs"/>
  </r>
  <r>
    <s v="60209"/>
    <n v="292"/>
    <n v="13"/>
    <x v="19"/>
    <x v="18"/>
    <s v="NA"/>
    <x v="0"/>
    <s v="STEREN"/>
    <s v="ibaf00100180"/>
    <s v="IBAF00100180"/>
    <n v="12"/>
    <s v="Incluye: Cable de Alimentación,"/>
    <x v="1"/>
    <n v="9"/>
    <x v="2"/>
    <s v="14:30 hrs"/>
  </r>
  <r>
    <s v="60209"/>
    <n v="293"/>
    <n v="13"/>
    <x v="19"/>
    <x v="18"/>
    <s v="NA"/>
    <x v="1"/>
    <s v="SN"/>
    <s v="ibot00100109"/>
    <s v="IBOT00100109"/>
    <n v="12"/>
    <m/>
    <x v="1"/>
    <n v="9"/>
    <x v="2"/>
    <s v="14:30 hrs"/>
  </r>
  <r>
    <s v="60209"/>
    <n v="294"/>
    <n v="13"/>
    <x v="19"/>
    <x v="18"/>
    <s v="NA"/>
    <x v="2"/>
    <s v="SONY"/>
    <s v="ICAM00101761"/>
    <s v="ICAM00101761"/>
    <n v="12"/>
    <s v="Incluye: Memoria de 4GB, Cargador y Pila."/>
    <x v="1"/>
    <n v="9"/>
    <x v="2"/>
    <s v="14:30 hrs"/>
  </r>
  <r>
    <s v="60209"/>
    <n v="295"/>
    <n v="13"/>
    <x v="19"/>
    <x v="18"/>
    <s v="NA"/>
    <x v="3"/>
    <s v="COMBO"/>
    <s v="ieng00100035"/>
    <s v="IENG00100035"/>
    <n v="12"/>
    <m/>
    <x v="1"/>
    <n v="9"/>
    <x v="2"/>
    <s v="14:30 hrs"/>
  </r>
  <r>
    <s v="60209"/>
    <n v="296"/>
    <n v="13"/>
    <x v="19"/>
    <x v="18"/>
    <s v="NA"/>
    <x v="4"/>
    <s v="RADSON"/>
    <s v="iamp00100092"/>
    <s v="IAMP00100092"/>
    <n v="12"/>
    <m/>
    <x v="1"/>
    <n v="9"/>
    <x v="2"/>
    <s v="14:30 hrs"/>
  </r>
  <r>
    <s v="60209"/>
    <n v="297"/>
    <n v="13"/>
    <x v="19"/>
    <x v="18"/>
    <s v="NA"/>
    <x v="5"/>
    <s v="SONY"/>
    <s v="IGRA00100392"/>
    <s v="IGRA00100392"/>
    <n v="12"/>
    <m/>
    <x v="1"/>
    <n v="9"/>
    <x v="2"/>
    <s v="14:30 hrs"/>
  </r>
  <r>
    <s v="60209"/>
    <n v="299"/>
    <n v="13"/>
    <x v="19"/>
    <x v="18"/>
    <s v="NA"/>
    <x v="6"/>
    <s v="MAVRIK"/>
    <s v="ilam00101012"/>
    <s v="ILAM00101012"/>
    <n v="12"/>
    <s v="Incluye: Cable de Alimentacion (Lampara chica)"/>
    <x v="1"/>
    <n v="9"/>
    <x v="2"/>
    <s v="14:30 hrs"/>
  </r>
  <r>
    <s v="60209"/>
    <n v="300"/>
    <n v="13"/>
    <x v="19"/>
    <x v="18"/>
    <s v="NA"/>
    <x v="6"/>
    <s v="MAVRIK"/>
    <s v="ilam00101068"/>
    <s v="ILAM00101068"/>
    <n v="12"/>
    <s v="Incluye: Cable de Alimentacion (Lampara chica)"/>
    <x v="1"/>
    <n v="9"/>
    <x v="2"/>
    <s v="14:30 hrs"/>
  </r>
  <r>
    <s v="60209"/>
    <n v="301"/>
    <n v="13"/>
    <x v="19"/>
    <x v="18"/>
    <s v="NA"/>
    <x v="6"/>
    <s v="MAVRIK"/>
    <s v="ilam00101067"/>
    <s v="ILAM00101067"/>
    <n v="12"/>
    <s v="Incluye: Cable de Alimentacion (Lampara chica)"/>
    <x v="1"/>
    <n v="9"/>
    <x v="2"/>
    <s v="14:30 hrs"/>
  </r>
  <r>
    <s v="60209"/>
    <n v="302"/>
    <n v="13"/>
    <x v="19"/>
    <x v="18"/>
    <s v="NA"/>
    <x v="7"/>
    <s v="STEREN"/>
    <s v="SN"/>
    <s v="SN"/>
    <n v="2"/>
    <s v="Incluye: Cable de Alimentacion (Lampara grande)"/>
    <x v="1"/>
    <n v="9"/>
    <x v="2"/>
    <s v="14:30 hrs"/>
  </r>
  <r>
    <s v="60209"/>
    <n v="303"/>
    <n v="13"/>
    <x v="19"/>
    <x v="18"/>
    <s v="NA"/>
    <x v="8"/>
    <s v="SOUNDTRACK"/>
    <s v="isis01200051"/>
    <s v="ISIS01200051"/>
    <n v="12"/>
    <s v="Incluye: 2 Microfonos, Cable extencion Plug. Macho de 6.6mm, 2 Antenas y Eliminador y 2 soportes de microfonos"/>
    <x v="1"/>
    <n v="9"/>
    <x v="2"/>
    <s v="14:30 hrs"/>
  </r>
  <r>
    <s v="60209"/>
    <n v="304"/>
    <n v="13"/>
    <x v="19"/>
    <x v="18"/>
    <s v="NA"/>
    <x v="9"/>
    <s v="SN"/>
    <s v="itaj00100008"/>
    <s v="ITAJ00100008"/>
    <n v="12"/>
    <m/>
    <x v="1"/>
    <n v="9"/>
    <x v="2"/>
    <s v="14:30 hrs"/>
  </r>
  <r>
    <s v="60209"/>
    <n v="305"/>
    <n v="13"/>
    <x v="19"/>
    <x v="18"/>
    <s v="NA"/>
    <x v="10"/>
    <s v="TELMEX"/>
    <s v="itel00100880"/>
    <s v="ITEL00100880"/>
    <n v="12"/>
    <m/>
    <x v="1"/>
    <n v="9"/>
    <x v="2"/>
    <s v="14:30 hrs"/>
  </r>
  <r>
    <s v="60218"/>
    <n v="307"/>
    <n v="13"/>
    <x v="20"/>
    <x v="5"/>
    <s v="NA"/>
    <x v="0"/>
    <s v="STEREN"/>
    <s v="ibaf00100057"/>
    <s v="IBAF00100057"/>
    <n v="12"/>
    <s v="Incluye: Cable de Alimentación,"/>
    <x v="1"/>
    <n v="8"/>
    <x v="10"/>
    <s v="13:30 hrs"/>
  </r>
  <r>
    <s v="60218"/>
    <n v="308"/>
    <n v="13"/>
    <x v="20"/>
    <x v="5"/>
    <s v="NA"/>
    <x v="1"/>
    <s v="SN"/>
    <s v="ibot00100188"/>
    <s v="IBOT00100188"/>
    <n v="12"/>
    <m/>
    <x v="1"/>
    <n v="8"/>
    <x v="10"/>
    <s v="13:30 hrs"/>
  </r>
  <r>
    <s v="60218"/>
    <n v="309"/>
    <n v="13"/>
    <x v="20"/>
    <x v="5"/>
    <s v="NA"/>
    <x v="2"/>
    <s v="SONY"/>
    <s v="ICAM00101784"/>
    <s v="ICAM00101784"/>
    <n v="12"/>
    <s v="Incluye: Memoria de 4GB, Cargador y Pila."/>
    <x v="1"/>
    <n v="8"/>
    <x v="10"/>
    <s v="13:30 hrs"/>
  </r>
  <r>
    <s v="60218"/>
    <n v="310"/>
    <n v="13"/>
    <x v="20"/>
    <x v="5"/>
    <s v="NA"/>
    <x v="3"/>
    <s v="COMBO"/>
    <s v="ieng00100087"/>
    <s v="IENG00100087"/>
    <n v="12"/>
    <m/>
    <x v="1"/>
    <n v="8"/>
    <x v="10"/>
    <s v="13:30 hrs"/>
  </r>
  <r>
    <s v="60218"/>
    <n v="311"/>
    <n v="13"/>
    <x v="20"/>
    <x v="5"/>
    <s v="NA"/>
    <x v="4"/>
    <s v="RADSON"/>
    <s v="IAMP00100129"/>
    <s v="IAMP00100129"/>
    <n v="12"/>
    <m/>
    <x v="1"/>
    <n v="8"/>
    <x v="10"/>
    <s v="13:30 hrs"/>
  </r>
  <r>
    <s v="60218"/>
    <n v="312"/>
    <n v="13"/>
    <x v="20"/>
    <x v="5"/>
    <s v="NA"/>
    <x v="5"/>
    <s v="SONY"/>
    <s v="IGRA00100331"/>
    <s v="IGRA00100331"/>
    <n v="12"/>
    <m/>
    <x v="1"/>
    <n v="8"/>
    <x v="10"/>
    <s v="13:30 hrs"/>
  </r>
  <r>
    <s v="60218"/>
    <n v="313"/>
    <n v="13"/>
    <x v="20"/>
    <x v="5"/>
    <s v="NA"/>
    <x v="6"/>
    <s v="MAVRIK"/>
    <s v="ilam00100936"/>
    <s v="ILAM00100936"/>
    <n v="12"/>
    <s v="Incluye: Cable de Alimentacion (Lampara chica)"/>
    <x v="1"/>
    <n v="8"/>
    <x v="10"/>
    <s v="13:30 hrs"/>
  </r>
  <r>
    <s v="60218"/>
    <n v="315"/>
    <n v="13"/>
    <x v="20"/>
    <x v="5"/>
    <s v="NA"/>
    <x v="6"/>
    <s v="MAVRIK"/>
    <s v="ilam00101037"/>
    <s v="ILAM00101037"/>
    <n v="12"/>
    <s v="Incluye: Cable de Alimentacion (Lampara chica)"/>
    <x v="1"/>
    <n v="8"/>
    <x v="10"/>
    <s v="13:30 hrs"/>
  </r>
  <r>
    <s v="60218"/>
    <n v="316"/>
    <n v="13"/>
    <x v="20"/>
    <x v="5"/>
    <s v="NA"/>
    <x v="6"/>
    <s v="MAVRIK"/>
    <s v="ilam00101002"/>
    <s v="ILAM00101002"/>
    <n v="12"/>
    <s v="Incluye: Cable de Alimentacion (Lampara chica)"/>
    <x v="1"/>
    <n v="8"/>
    <x v="10"/>
    <s v="13:30 hrs"/>
  </r>
  <r>
    <s v="60218"/>
    <n v="317"/>
    <n v="13"/>
    <x v="20"/>
    <x v="5"/>
    <s v="NA"/>
    <x v="7"/>
    <s v="STEREN"/>
    <s v="SN"/>
    <s v="SN"/>
    <n v="2"/>
    <s v="Incluye: Cable de Alimentacion (Lampara grande)"/>
    <x v="1"/>
    <n v="8"/>
    <x v="10"/>
    <s v="13:30 hrs"/>
  </r>
  <r>
    <s v="60218"/>
    <n v="318"/>
    <n v="13"/>
    <x v="20"/>
    <x v="5"/>
    <s v="NA"/>
    <x v="8"/>
    <s v="SOUNDTRACK"/>
    <s v="isis01200148"/>
    <s v="ISIS01200148"/>
    <n v="12"/>
    <s v="Incluye: 2 Microfonos, Cable extencion Plug. Macho de 6.6mm, 2 Antenas y Eliminador y 2 soportes de microfonos"/>
    <x v="1"/>
    <n v="8"/>
    <x v="10"/>
    <s v="13:30 hrs"/>
  </r>
  <r>
    <s v="60218"/>
    <n v="319"/>
    <n v="13"/>
    <x v="20"/>
    <x v="5"/>
    <s v="NA"/>
    <x v="9"/>
    <s v="SN"/>
    <s v="itaj00100152"/>
    <s v="ITAJ00100152"/>
    <n v="12"/>
    <m/>
    <x v="1"/>
    <n v="8"/>
    <x v="10"/>
    <s v="13:30 hrs"/>
  </r>
  <r>
    <s v="60218"/>
    <n v="320"/>
    <n v="13"/>
    <x v="20"/>
    <x v="5"/>
    <s v="NA"/>
    <x v="10"/>
    <s v="TELMEX"/>
    <s v="itel00100237"/>
    <s v="ITEL00100237"/>
    <n v="12"/>
    <m/>
    <x v="1"/>
    <n v="8"/>
    <x v="10"/>
    <s v="13:30 hrs"/>
  </r>
  <r>
    <s v="602214"/>
    <n v="321"/>
    <n v="13"/>
    <x v="21"/>
    <x v="19"/>
    <s v="NA"/>
    <x v="0"/>
    <s v="STEREN"/>
    <s v="ibaf00100144"/>
    <s v="IBAF00100144"/>
    <n v="12"/>
    <s v="Incluye: Cable de Alimentación,"/>
    <x v="4"/>
    <n v="14"/>
    <x v="0"/>
    <s v="12:00 hrs"/>
  </r>
  <r>
    <s v="602214"/>
    <n v="323"/>
    <n v="13"/>
    <x v="21"/>
    <x v="19"/>
    <s v="NA"/>
    <x v="1"/>
    <s v="SN"/>
    <s v="ibot00100157"/>
    <s v="IBOT00100157"/>
    <n v="12"/>
    <m/>
    <x v="4"/>
    <n v="14"/>
    <x v="0"/>
    <s v="12:00 hrs"/>
  </r>
  <r>
    <s v="602214"/>
    <n v="324"/>
    <n v="13"/>
    <x v="21"/>
    <x v="19"/>
    <s v="NA"/>
    <x v="2"/>
    <s v="SONY"/>
    <s v="ICAM00101789"/>
    <s v="ICAM00101789"/>
    <n v="12"/>
    <s v="Incluye: Memoria de 4GB, Cargador y Pila."/>
    <x v="4"/>
    <n v="14"/>
    <x v="0"/>
    <s v="12:00 hrs"/>
  </r>
  <r>
    <s v="602214"/>
    <n v="325"/>
    <n v="13"/>
    <x v="21"/>
    <x v="19"/>
    <s v="NA"/>
    <x v="3"/>
    <s v="COMBO"/>
    <s v="ieng00100033"/>
    <s v="IENG00100033"/>
    <n v="12"/>
    <m/>
    <x v="4"/>
    <n v="14"/>
    <x v="0"/>
    <s v="12:00 hrs"/>
  </r>
  <r>
    <s v="602214"/>
    <n v="326"/>
    <n v="13"/>
    <x v="21"/>
    <x v="19"/>
    <s v="NA"/>
    <x v="4"/>
    <s v="RADSON"/>
    <s v="iamp00100071"/>
    <s v="IAMP00100071"/>
    <n v="12"/>
    <m/>
    <x v="4"/>
    <n v="14"/>
    <x v="0"/>
    <s v="12:00 hrs"/>
  </r>
  <r>
    <s v="602214"/>
    <n v="327"/>
    <n v="13"/>
    <x v="21"/>
    <x v="19"/>
    <s v="NA"/>
    <x v="5"/>
    <s v="SONY"/>
    <s v="IGRA00100415"/>
    <s v="IGRA00100415"/>
    <n v="12"/>
    <m/>
    <x v="4"/>
    <n v="14"/>
    <x v="0"/>
    <s v="12:00 hrs"/>
  </r>
  <r>
    <s v="602214"/>
    <n v="328"/>
    <n v="13"/>
    <x v="21"/>
    <x v="19"/>
    <s v="NA"/>
    <x v="6"/>
    <s v="SANELEC"/>
    <s v="ilam00100671"/>
    <s v="ILAM00100671"/>
    <n v="12"/>
    <s v="Incluye: Cable de Alimentacion (Lampara chica)"/>
    <x v="4"/>
    <n v="14"/>
    <x v="0"/>
    <s v="12:00 hrs"/>
  </r>
  <r>
    <s v="602214"/>
    <n v="329"/>
    <n v="13"/>
    <x v="21"/>
    <x v="19"/>
    <s v="NA"/>
    <x v="6"/>
    <s v="SANELEC"/>
    <s v="ilam00100797"/>
    <s v="ILAM00100797"/>
    <n v="12"/>
    <s v="Incluye: Cable de Alimentacion (Lampara chica)"/>
    <x v="4"/>
    <n v="14"/>
    <x v="0"/>
    <s v="12:00 hrs"/>
  </r>
  <r>
    <s v="602214"/>
    <n v="331"/>
    <n v="13"/>
    <x v="21"/>
    <x v="19"/>
    <s v="NA"/>
    <x v="6"/>
    <s v="SANELEC"/>
    <s v="ilam00100821"/>
    <s v="ILAM00100821"/>
    <n v="12"/>
    <s v="Incluye: Cable de Alimentacion (Lampara chica)"/>
    <x v="4"/>
    <n v="14"/>
    <x v="0"/>
    <s v="12:00 hrs"/>
  </r>
  <r>
    <s v="602214"/>
    <n v="332"/>
    <n v="13"/>
    <x v="21"/>
    <x v="19"/>
    <s v="NA"/>
    <x v="7"/>
    <s v="STEREN"/>
    <s v="SN"/>
    <s v="SN"/>
    <n v="2"/>
    <s v="Incluye: Cable de Alimentacion (Lampara grande)"/>
    <x v="4"/>
    <n v="14"/>
    <x v="0"/>
    <s v="12:00 hrs"/>
  </r>
  <r>
    <s v="602214"/>
    <n v="333"/>
    <n v="13"/>
    <x v="21"/>
    <x v="19"/>
    <s v="NA"/>
    <x v="8"/>
    <s v="SOUNDTRACK"/>
    <s v="isis01200089"/>
    <s v="ISIS01200089"/>
    <n v="12"/>
    <s v="Incluye: 2 Microfonos, Cable extencion Plug. Macho de 6.6mm, 2 Antenas y Eliminador y 2 soportes de microfonos"/>
    <x v="4"/>
    <n v="14"/>
    <x v="0"/>
    <s v="12:00 hrs"/>
  </r>
  <r>
    <s v="602214"/>
    <n v="334"/>
    <n v="13"/>
    <x v="21"/>
    <x v="19"/>
    <s v="NA"/>
    <x v="9"/>
    <s v="SN"/>
    <s v="itaj00100242"/>
    <s v="ITAJ00100242"/>
    <n v="12"/>
    <m/>
    <x v="4"/>
    <n v="14"/>
    <x v="0"/>
    <s v="12:00 hrs"/>
  </r>
  <r>
    <s v="602214"/>
    <n v="335"/>
    <n v="13"/>
    <x v="21"/>
    <x v="19"/>
    <s v="NA"/>
    <x v="10"/>
    <s v="TELMEX"/>
    <s v="itel00100477"/>
    <s v="ITEL00100477"/>
    <n v="12"/>
    <m/>
    <x v="4"/>
    <n v="14"/>
    <x v="0"/>
    <s v="12:00 hrs"/>
  </r>
  <r>
    <s v="602322"/>
    <n v="336"/>
    <n v="14"/>
    <x v="22"/>
    <x v="20"/>
    <s v="NA"/>
    <x v="0"/>
    <s v="STEREN"/>
    <s v="ibaf00100156"/>
    <s v="IBAF00100156"/>
    <n v="12"/>
    <s v="Incluye: Cable de Alimentación,"/>
    <x v="3"/>
    <n v="22"/>
    <x v="0"/>
    <s v="12:30 hrs"/>
  </r>
  <r>
    <s v="602322"/>
    <n v="337"/>
    <n v="14"/>
    <x v="22"/>
    <x v="20"/>
    <s v="NA"/>
    <x v="1"/>
    <s v="SN"/>
    <s v="ibot00100168"/>
    <s v="IBOT00100168"/>
    <n v="12"/>
    <m/>
    <x v="3"/>
    <n v="22"/>
    <x v="0"/>
    <s v="12:30 hrs"/>
  </r>
  <r>
    <s v="602322"/>
    <n v="339"/>
    <n v="14"/>
    <x v="22"/>
    <x v="20"/>
    <s v="NA"/>
    <x v="2"/>
    <s v="SONY"/>
    <s v="ICAM00101769"/>
    <s v="ICAM00101769"/>
    <n v="12"/>
    <s v="Incluye: Memoria de 4GB, Cargador y Pila."/>
    <x v="3"/>
    <n v="22"/>
    <x v="0"/>
    <s v="12:30 hrs"/>
  </r>
  <r>
    <s v="602322"/>
    <n v="340"/>
    <n v="14"/>
    <x v="22"/>
    <x v="20"/>
    <s v="NA"/>
    <x v="3"/>
    <s v="COMBO"/>
    <s v="ieng00100094"/>
    <s v="IENG00100094"/>
    <n v="12"/>
    <m/>
    <x v="3"/>
    <n v="22"/>
    <x v="0"/>
    <s v="12:30 hrs"/>
  </r>
  <r>
    <s v="602322"/>
    <n v="341"/>
    <n v="14"/>
    <x v="22"/>
    <x v="20"/>
    <s v="NA"/>
    <x v="4"/>
    <s v="RADSON"/>
    <s v="iamp00100058"/>
    <s v="IAMP00100058"/>
    <n v="12"/>
    <m/>
    <x v="3"/>
    <n v="22"/>
    <x v="0"/>
    <s v="12:30 hrs"/>
  </r>
  <r>
    <s v="602322"/>
    <n v="342"/>
    <n v="14"/>
    <x v="22"/>
    <x v="20"/>
    <s v="NA"/>
    <x v="5"/>
    <s v="SONY"/>
    <s v="IGRA00100408"/>
    <s v="IGRA00100408"/>
    <n v="12"/>
    <m/>
    <x v="3"/>
    <n v="22"/>
    <x v="0"/>
    <s v="12:30 hrs"/>
  </r>
  <r>
    <s v="602322"/>
    <n v="343"/>
    <n v="14"/>
    <x v="22"/>
    <x v="20"/>
    <s v="NA"/>
    <x v="6"/>
    <s v="STEREN"/>
    <s v="ILAM00100818"/>
    <s v="ILAM00100818"/>
    <n v="12"/>
    <s v="Incluye: Cable de Alimentacion (Lampara chica)"/>
    <x v="3"/>
    <n v="22"/>
    <x v="0"/>
    <s v="12:30 hrs"/>
  </r>
  <r>
    <s v="602322"/>
    <n v="344"/>
    <n v="14"/>
    <x v="22"/>
    <x v="20"/>
    <s v="NA"/>
    <x v="6"/>
    <s v="STEREN"/>
    <s v="ILAM00101351"/>
    <s v="ILAM00101351"/>
    <n v="12"/>
    <s v="Incluye: Cable de Alimentacion (Lampara chica)"/>
    <x v="3"/>
    <n v="22"/>
    <x v="0"/>
    <s v="12:30 hrs"/>
  </r>
  <r>
    <s v="602322"/>
    <n v="345"/>
    <n v="14"/>
    <x v="22"/>
    <x v="20"/>
    <s v="NA"/>
    <x v="6"/>
    <s v="STEREN"/>
    <s v="ILAM00101337"/>
    <s v="ILAM00101337"/>
    <n v="12"/>
    <s v="Incluye: Cable de Alimentacion (Lampara chica)"/>
    <x v="3"/>
    <n v="22"/>
    <x v="0"/>
    <s v="12:30 hrs"/>
  </r>
  <r>
    <s v="602322"/>
    <n v="347"/>
    <n v="14"/>
    <x v="22"/>
    <x v="20"/>
    <s v="NA"/>
    <x v="6"/>
    <s v="STEREN"/>
    <s v="ILAM00101154"/>
    <s v="ILAM00101154"/>
    <n v="12"/>
    <s v="Incluye: Cable de Alimentacion (Lampara chica)"/>
    <x v="3"/>
    <n v="22"/>
    <x v="0"/>
    <s v="12:30 hrs"/>
  </r>
  <r>
    <s v="602322"/>
    <n v="348"/>
    <n v="14"/>
    <x v="22"/>
    <x v="20"/>
    <s v="NA"/>
    <x v="7"/>
    <s v="STEREN"/>
    <s v="SN"/>
    <s v="SN"/>
    <n v="2"/>
    <s v="Incluye: Cable de Alimentacion (Lampara grande)"/>
    <x v="3"/>
    <n v="22"/>
    <x v="0"/>
    <s v="12:30 hrs"/>
  </r>
  <r>
    <s v="602322"/>
    <n v="349"/>
    <n v="14"/>
    <x v="22"/>
    <x v="20"/>
    <s v="NA"/>
    <x v="8"/>
    <s v="SOUNDTRACK"/>
    <s v="isis01200053"/>
    <s v="ISIS01200053"/>
    <n v="12"/>
    <s v="Incluye: 2 Microfonos, Cable extencion Plug. Macho de 6.6mm, 2 Antenas y Eliminador y 2 soportes de microfonos"/>
    <x v="3"/>
    <n v="22"/>
    <x v="0"/>
    <s v="12:30 hrs"/>
  </r>
  <r>
    <s v="602322"/>
    <n v="350"/>
    <n v="14"/>
    <x v="22"/>
    <x v="20"/>
    <s v="NA"/>
    <x v="9"/>
    <s v="SN"/>
    <s v="itaj00100180"/>
    <s v="ITAJ00100180"/>
    <n v="12"/>
    <m/>
    <x v="3"/>
    <n v="22"/>
    <x v="0"/>
    <s v="12:30 hrs"/>
  </r>
  <r>
    <s v="602322"/>
    <n v="351"/>
    <n v="14"/>
    <x v="22"/>
    <x v="20"/>
    <s v="NA"/>
    <x v="10"/>
    <s v="TELMEX"/>
    <s v="ITEL00100251"/>
    <s v="ITEL00100251"/>
    <n v="12"/>
    <m/>
    <x v="3"/>
    <n v="22"/>
    <x v="0"/>
    <s v="12:30 hrs"/>
  </r>
  <r>
    <s v="602433"/>
    <n v="352"/>
    <n v="13"/>
    <x v="23"/>
    <x v="21"/>
    <s v="NA"/>
    <x v="0"/>
    <s v="STEREN"/>
    <s v="ibaf00100052"/>
    <s v="IBAF00100052"/>
    <n v="12"/>
    <s v="Incluye: Cable de Alimentación,"/>
    <x v="5"/>
    <n v="33"/>
    <x v="11"/>
    <s v="13:00 hrs"/>
  </r>
  <r>
    <s v="602433"/>
    <n v="353"/>
    <n v="13"/>
    <x v="23"/>
    <x v="21"/>
    <s v="NA"/>
    <x v="1"/>
    <s v="SN"/>
    <s v="ibot00100158"/>
    <s v="IBOT00100158"/>
    <n v="12"/>
    <m/>
    <x v="5"/>
    <n v="33"/>
    <x v="11"/>
    <s v="13:00 hrs"/>
  </r>
  <r>
    <s v="602433"/>
    <n v="355"/>
    <n v="13"/>
    <x v="23"/>
    <x v="21"/>
    <s v="NA"/>
    <x v="2"/>
    <s v="SONY"/>
    <s v="ICAM00101736"/>
    <s v="ICAM00101736"/>
    <n v="12"/>
    <s v="Incluye: Memoria de 4GB, Cargador y Pila."/>
    <x v="5"/>
    <n v="33"/>
    <x v="11"/>
    <s v="13:00 hrs"/>
  </r>
  <r>
    <s v="602433"/>
    <n v="356"/>
    <n v="13"/>
    <x v="23"/>
    <x v="21"/>
    <s v="NA"/>
    <x v="3"/>
    <s v="COMBO"/>
    <s v="ieng00100090"/>
    <s v="IENG00100090"/>
    <n v="12"/>
    <m/>
    <x v="5"/>
    <n v="33"/>
    <x v="11"/>
    <s v="13:00 hrs"/>
  </r>
  <r>
    <s v="602433"/>
    <n v="357"/>
    <n v="13"/>
    <x v="23"/>
    <x v="21"/>
    <s v="NA"/>
    <x v="4"/>
    <s v="RADSON"/>
    <s v="iamp00100037"/>
    <s v="IAMP00100037"/>
    <n v="12"/>
    <m/>
    <x v="5"/>
    <n v="33"/>
    <x v="11"/>
    <s v="13:00 hrs"/>
  </r>
  <r>
    <s v="602433"/>
    <n v="358"/>
    <n v="13"/>
    <x v="23"/>
    <x v="21"/>
    <s v="NA"/>
    <x v="5"/>
    <s v="SONY"/>
    <s v="IGRA00100435"/>
    <s v="IGRA00100435"/>
    <n v="12"/>
    <m/>
    <x v="5"/>
    <n v="33"/>
    <x v="11"/>
    <s v="13:00 hrs"/>
  </r>
  <r>
    <s v="602433"/>
    <n v="359"/>
    <n v="13"/>
    <x v="23"/>
    <x v="21"/>
    <s v="NA"/>
    <x v="6"/>
    <s v="STEREN"/>
    <s v="ILAM00101056"/>
    <s v="ILAM00101056"/>
    <n v="12"/>
    <s v="Incluye: Cable de Alimentacion (Lampara chica)"/>
    <x v="5"/>
    <n v="33"/>
    <x v="11"/>
    <s v="13:00 hrs"/>
  </r>
  <r>
    <s v="602433"/>
    <n v="360"/>
    <n v="13"/>
    <x v="23"/>
    <x v="21"/>
    <s v="NA"/>
    <x v="6"/>
    <s v="STEREN"/>
    <s v="ILAM00100992"/>
    <s v="ILAM00100992"/>
    <n v="12"/>
    <s v="Incluye: Cable de Alimentacion (Lampara chica)"/>
    <x v="5"/>
    <n v="33"/>
    <x v="11"/>
    <s v="13:00 hrs"/>
  </r>
  <r>
    <s v="602433"/>
    <n v="361"/>
    <n v="13"/>
    <x v="23"/>
    <x v="21"/>
    <s v="NA"/>
    <x v="6"/>
    <s v="STEREN"/>
    <s v="ILAM00101039"/>
    <s v="ILAM00101039"/>
    <n v="12"/>
    <s v="Incluye: Cable de Alimentacion (Lampara chica)"/>
    <x v="5"/>
    <n v="33"/>
    <x v="11"/>
    <s v="13:00 hrs"/>
  </r>
  <r>
    <s v="602433"/>
    <n v="363"/>
    <n v="13"/>
    <x v="23"/>
    <x v="21"/>
    <s v="NA"/>
    <x v="7"/>
    <s v="STEREN"/>
    <s v="SN"/>
    <s v="SN"/>
    <n v="2"/>
    <s v="Incluye: Cable de Alimentacion (Lampara grande)"/>
    <x v="5"/>
    <n v="33"/>
    <x v="11"/>
    <s v="13:00 hrs"/>
  </r>
  <r>
    <s v="602433"/>
    <n v="364"/>
    <n v="13"/>
    <x v="23"/>
    <x v="21"/>
    <s v="NA"/>
    <x v="8"/>
    <s v="SOUNDTRACK"/>
    <s v="isis01200038"/>
    <s v="ISIS01200038"/>
    <n v="12"/>
    <s v="Incluye: 2 Microfonos, Cable extencion Plug. Macho de 6.6mm, 2 Antenas y Eliminador y 2 soportes de microfonos"/>
    <x v="5"/>
    <n v="33"/>
    <x v="11"/>
    <s v="13:00 hrs"/>
  </r>
  <r>
    <s v="602433"/>
    <n v="365"/>
    <n v="13"/>
    <x v="23"/>
    <x v="21"/>
    <s v="NA"/>
    <x v="9"/>
    <s v="SN"/>
    <s v="itaj00100106"/>
    <s v="ITAJ00100106"/>
    <n v="12"/>
    <m/>
    <x v="5"/>
    <n v="33"/>
    <x v="11"/>
    <s v="13:00 hrs"/>
  </r>
  <r>
    <s v="602433"/>
    <n v="366"/>
    <n v="13"/>
    <x v="23"/>
    <x v="21"/>
    <s v="NA"/>
    <x v="10"/>
    <s v="TELMEX"/>
    <s v="itel00101015"/>
    <s v="ITEL00101015"/>
    <n v="12"/>
    <m/>
    <x v="5"/>
    <n v="33"/>
    <x v="11"/>
    <s v="13:00 hrs"/>
  </r>
  <r>
    <s v="602532"/>
    <n v="367"/>
    <n v="13"/>
    <x v="24"/>
    <x v="21"/>
    <s v="NA"/>
    <x v="0"/>
    <s v="STEREN"/>
    <s v="ibaf00100125"/>
    <s v="IBAF00100125"/>
    <n v="12"/>
    <s v="Incluye: Cable de Alimentación,"/>
    <x v="5"/>
    <n v="32"/>
    <x v="0"/>
    <s v="12:00 hrs"/>
  </r>
  <r>
    <s v="602532"/>
    <n v="368"/>
    <n v="13"/>
    <x v="24"/>
    <x v="21"/>
    <s v="NA"/>
    <x v="1"/>
    <s v="SN"/>
    <s v="ibot00100075"/>
    <s v="IBOT00100075"/>
    <n v="12"/>
    <m/>
    <x v="5"/>
    <n v="32"/>
    <x v="0"/>
    <s v="12:00 hrs"/>
  </r>
  <r>
    <s v="602532"/>
    <n v="369"/>
    <n v="13"/>
    <x v="24"/>
    <x v="21"/>
    <s v="NA"/>
    <x v="2"/>
    <s v="SONY"/>
    <s v="ICAM00101777"/>
    <s v="ICAM00101777"/>
    <n v="12"/>
    <s v="Incluye: Memoria de 4GB, Cargador y Pila."/>
    <x v="5"/>
    <n v="32"/>
    <x v="0"/>
    <s v="12:00 hrs"/>
  </r>
  <r>
    <s v="602532"/>
    <n v="371"/>
    <n v="13"/>
    <x v="24"/>
    <x v="21"/>
    <s v="NA"/>
    <x v="3"/>
    <s v="COMBO"/>
    <s v="ieng00100071"/>
    <s v="IENG00100071"/>
    <n v="12"/>
    <m/>
    <x v="5"/>
    <n v="32"/>
    <x v="0"/>
    <s v="12:00 hrs"/>
  </r>
  <r>
    <s v="602532"/>
    <n v="372"/>
    <n v="13"/>
    <x v="24"/>
    <x v="21"/>
    <s v="NA"/>
    <x v="4"/>
    <s v="RADSON"/>
    <s v="IAMP00100112"/>
    <s v="IAMP00100112"/>
    <n v="12"/>
    <m/>
    <x v="5"/>
    <n v="32"/>
    <x v="0"/>
    <s v="12:00 hrs"/>
  </r>
  <r>
    <s v="602532"/>
    <n v="373"/>
    <n v="13"/>
    <x v="24"/>
    <x v="21"/>
    <s v="NA"/>
    <x v="5"/>
    <s v="SONY"/>
    <s v="IGRA00100328"/>
    <s v="IGRA00100328"/>
    <n v="12"/>
    <m/>
    <x v="5"/>
    <n v="32"/>
    <x v="0"/>
    <s v="12:00 hrs"/>
  </r>
  <r>
    <s v="602532"/>
    <n v="374"/>
    <n v="13"/>
    <x v="24"/>
    <x v="21"/>
    <s v="NA"/>
    <x v="6"/>
    <s v="MAVRIK"/>
    <s v="ilam00101073"/>
    <s v="ILAM00101073"/>
    <n v="12"/>
    <s v="Incluye: Cable de Alimentacion (Lampara chica)"/>
    <x v="5"/>
    <n v="32"/>
    <x v="0"/>
    <s v="12:00 hrs"/>
  </r>
  <r>
    <s v="602532"/>
    <n v="375"/>
    <n v="13"/>
    <x v="24"/>
    <x v="21"/>
    <s v="NA"/>
    <x v="6"/>
    <s v="VOLTECK"/>
    <s v="ilam00101007"/>
    <s v="ILAM00101007"/>
    <n v="12"/>
    <s v="Incluye: Cable de Alimentacion (Lampara chica)"/>
    <x v="5"/>
    <n v="32"/>
    <x v="0"/>
    <s v="12:00 hrs"/>
  </r>
  <r>
    <s v="602532"/>
    <n v="376"/>
    <n v="13"/>
    <x v="24"/>
    <x v="21"/>
    <s v="NA"/>
    <x v="6"/>
    <s v="MAVRIK"/>
    <s v="ILAM00101256"/>
    <s v="ILAM00101256"/>
    <n v="12"/>
    <s v="Incluye: Cable de Alimentacion (Lampara chica)"/>
    <x v="5"/>
    <n v="32"/>
    <x v="0"/>
    <s v="12:00 hrs"/>
  </r>
  <r>
    <s v="602532"/>
    <n v="377"/>
    <n v="13"/>
    <x v="24"/>
    <x v="21"/>
    <s v="NA"/>
    <x v="7"/>
    <s v="STEREN"/>
    <s v="SN"/>
    <s v="SN"/>
    <n v="2"/>
    <s v="Incluye: Cable de Alimentacion (Lampara grande)"/>
    <x v="5"/>
    <n v="32"/>
    <x v="0"/>
    <s v="12:00 hrs"/>
  </r>
  <r>
    <s v="602532"/>
    <n v="378"/>
    <n v="13"/>
    <x v="24"/>
    <x v="21"/>
    <s v="NA"/>
    <x v="8"/>
    <s v="SOUNDTRACK"/>
    <s v="isis01200100"/>
    <s v="ISIS01200100"/>
    <n v="12"/>
    <s v="Incluye: 2 Microfonos, Cable extencion Plug. Macho de 6.6mm, 2 Antenas y Eliminador y 2 soportes de microfonos"/>
    <x v="5"/>
    <n v="32"/>
    <x v="0"/>
    <s v="12:00 hrs"/>
  </r>
  <r>
    <s v="602532"/>
    <n v="380"/>
    <n v="13"/>
    <x v="24"/>
    <x v="21"/>
    <s v="NA"/>
    <x v="9"/>
    <s v="SN"/>
    <s v="itaj00100139"/>
    <s v="ITAJ00100139"/>
    <n v="12"/>
    <m/>
    <x v="5"/>
    <n v="32"/>
    <x v="0"/>
    <s v="12:00 hrs"/>
  </r>
  <r>
    <s v="602532"/>
    <n v="381"/>
    <n v="13"/>
    <x v="24"/>
    <x v="21"/>
    <s v="NA"/>
    <x v="10"/>
    <s v="TELMEX"/>
    <s v="itel00101127"/>
    <s v="ITEL00101127"/>
    <n v="12"/>
    <m/>
    <x v="5"/>
    <n v="32"/>
    <x v="0"/>
    <s v="12:00 hrs"/>
  </r>
  <r>
    <s v="602610"/>
    <n v="382"/>
    <n v="13"/>
    <x v="25"/>
    <x v="22"/>
    <s v="NA"/>
    <x v="0"/>
    <s v="STEREN"/>
    <s v="IBAF00100177"/>
    <s v="IBAF00100177"/>
    <n v="12"/>
    <s v="Incluye: Cable de Alimentación,"/>
    <x v="1"/>
    <n v="10"/>
    <x v="4"/>
    <s v="15:00 hrs"/>
  </r>
  <r>
    <s v="602610"/>
    <n v="383"/>
    <n v="13"/>
    <x v="25"/>
    <x v="22"/>
    <s v="NA"/>
    <x v="1"/>
    <s v="SN"/>
    <s v="IBOT00100144"/>
    <s v="IBOT00100144"/>
    <n v="12"/>
    <m/>
    <x v="1"/>
    <n v="10"/>
    <x v="4"/>
    <s v="15:00 hrs"/>
  </r>
  <r>
    <s v="602610"/>
    <n v="384"/>
    <n v="13"/>
    <x v="25"/>
    <x v="22"/>
    <s v="NA"/>
    <x v="2"/>
    <s v="SONY"/>
    <s v="icam00101734"/>
    <s v="ICAM00101734"/>
    <n v="12"/>
    <s v="Incluye: Memoria de 4GB, Cargador y Pila."/>
    <x v="1"/>
    <n v="10"/>
    <x v="4"/>
    <s v="15:00 hrs"/>
  </r>
  <r>
    <s v="602610"/>
    <n v="385"/>
    <n v="13"/>
    <x v="25"/>
    <x v="22"/>
    <s v="NA"/>
    <x v="3"/>
    <s v="COMBO"/>
    <s v="IENG00100240"/>
    <s v="IENG00100240"/>
    <n v="12"/>
    <m/>
    <x v="1"/>
    <n v="10"/>
    <x v="4"/>
    <s v="15:00 hrs"/>
  </r>
  <r>
    <s v="602610"/>
    <n v="386"/>
    <n v="13"/>
    <x v="25"/>
    <x v="22"/>
    <s v="NA"/>
    <x v="4"/>
    <s v="RADSON"/>
    <s v="IAMP00100033"/>
    <s v="IAMP00100033"/>
    <n v="12"/>
    <m/>
    <x v="1"/>
    <n v="10"/>
    <x v="4"/>
    <s v="15:00 hrs"/>
  </r>
  <r>
    <s v="602610"/>
    <n v="388"/>
    <n v="13"/>
    <x v="25"/>
    <x v="22"/>
    <s v="NA"/>
    <x v="5"/>
    <s v="SONY"/>
    <s v="igra00100404"/>
    <s v="IGRA00100404"/>
    <n v="12"/>
    <m/>
    <x v="1"/>
    <n v="10"/>
    <x v="4"/>
    <s v="15:00 hrs"/>
  </r>
  <r>
    <s v="602610"/>
    <n v="389"/>
    <n v="13"/>
    <x v="25"/>
    <x v="22"/>
    <s v="NA"/>
    <x v="6"/>
    <s v="SANELEC"/>
    <s v="ilam00100799"/>
    <s v="ILAM00100799"/>
    <n v="12"/>
    <s v="Incluye: Cable de Alimentacion (Lampara chica)"/>
    <x v="1"/>
    <n v="10"/>
    <x v="4"/>
    <s v="15:00 hrs"/>
  </r>
  <r>
    <s v="602610"/>
    <n v="390"/>
    <n v="13"/>
    <x v="25"/>
    <x v="22"/>
    <s v="NA"/>
    <x v="6"/>
    <s v="MAVRIK"/>
    <s v="ilam00100939"/>
    <s v="ILAM00100939"/>
    <n v="12"/>
    <s v="Incluye: Cable de Alimentacion (Lampara chica)"/>
    <x v="1"/>
    <n v="10"/>
    <x v="4"/>
    <s v="15:00 hrs"/>
  </r>
  <r>
    <s v="602610"/>
    <n v="391"/>
    <n v="13"/>
    <x v="25"/>
    <x v="22"/>
    <s v="NA"/>
    <x v="6"/>
    <s v="MITZU"/>
    <s v="ilam00101291"/>
    <s v="ILAM00101291"/>
    <n v="12"/>
    <s v="Incluye: Cable de Alimentacion (Lampara chica)"/>
    <x v="1"/>
    <n v="10"/>
    <x v="4"/>
    <s v="15:00 hrs"/>
  </r>
  <r>
    <s v="602610"/>
    <n v="392"/>
    <n v="13"/>
    <x v="25"/>
    <x v="22"/>
    <s v="NA"/>
    <x v="7"/>
    <s v="STEREN"/>
    <s v="SN"/>
    <s v="SN"/>
    <n v="2"/>
    <s v="Incluye: Cable de Alimentacion (Lampara grande)"/>
    <x v="1"/>
    <n v="10"/>
    <x v="4"/>
    <s v="15:00 hrs"/>
  </r>
  <r>
    <s v="602610"/>
    <n v="393"/>
    <n v="13"/>
    <x v="25"/>
    <x v="22"/>
    <s v="NA"/>
    <x v="8"/>
    <s v="SOUNDTRACK"/>
    <s v="isis01200203"/>
    <s v="ISIS01200203"/>
    <n v="12"/>
    <s v="Incluye: 2 Microfonos, Cable extencion Plug. Macho de 6.6mm, 2 Antenas y Eliminador y 2 soportes de microfonos"/>
    <x v="1"/>
    <n v="10"/>
    <x v="4"/>
    <s v="15:00 hrs"/>
  </r>
  <r>
    <s v="602610"/>
    <n v="394"/>
    <n v="13"/>
    <x v="25"/>
    <x v="22"/>
    <s v="NA"/>
    <x v="9"/>
    <s v="SN"/>
    <s v="itaj00100005"/>
    <s v="ITAJ00100005"/>
    <n v="12"/>
    <m/>
    <x v="1"/>
    <n v="10"/>
    <x v="4"/>
    <s v="15:00 hrs"/>
  </r>
  <r>
    <s v="602610"/>
    <n v="396"/>
    <n v="13"/>
    <x v="25"/>
    <x v="22"/>
    <s v="NA"/>
    <x v="10"/>
    <s v="TELMEX"/>
    <s v="itel00100386"/>
    <s v="ITEL00100386"/>
    <n v="12"/>
    <m/>
    <x v="1"/>
    <n v="10"/>
    <x v="4"/>
    <s v="15:00 hrs"/>
  </r>
  <r>
    <s v="602726"/>
    <n v="397"/>
    <n v="13"/>
    <x v="26"/>
    <x v="23"/>
    <s v="NA"/>
    <x v="0"/>
    <s v="STEREN"/>
    <s v="ibaf00100202"/>
    <s v="IBAF00100202"/>
    <n v="12"/>
    <s v="Incluye: Cable de Alimentación,"/>
    <x v="0"/>
    <n v="26"/>
    <x v="11"/>
    <s v="13:00 hrs"/>
  </r>
  <r>
    <s v="602726"/>
    <n v="398"/>
    <n v="13"/>
    <x v="26"/>
    <x v="23"/>
    <s v="NA"/>
    <x v="1"/>
    <s v="SN"/>
    <s v="ibot00100152"/>
    <s v="IBOT00100152"/>
    <n v="12"/>
    <m/>
    <x v="0"/>
    <n v="26"/>
    <x v="11"/>
    <s v="13:00 hrs"/>
  </r>
  <r>
    <s v="602726"/>
    <n v="399"/>
    <n v="13"/>
    <x v="26"/>
    <x v="23"/>
    <s v="NA"/>
    <x v="2"/>
    <s v="SONY"/>
    <s v="ICAM00101740"/>
    <s v="ICAM00101740"/>
    <n v="12"/>
    <s v="Incluye: Memoria de 4GB, Cargador y Pila."/>
    <x v="0"/>
    <n v="26"/>
    <x v="11"/>
    <s v="13:00 hrs"/>
  </r>
  <r>
    <s v="602726"/>
    <n v="400"/>
    <n v="13"/>
    <x v="26"/>
    <x v="23"/>
    <s v="NA"/>
    <x v="3"/>
    <s v="COMBO"/>
    <s v="ieng00100219"/>
    <s v="IENG00100219"/>
    <n v="12"/>
    <m/>
    <x v="0"/>
    <n v="26"/>
    <x v="11"/>
    <s v="13:00 hrs"/>
  </r>
  <r>
    <s v="602726"/>
    <n v="401"/>
    <n v="13"/>
    <x v="26"/>
    <x v="23"/>
    <s v="NA"/>
    <x v="4"/>
    <s v="RADSON"/>
    <s v="iamp00100114"/>
    <s v="IAMP00100114"/>
    <n v="12"/>
    <m/>
    <x v="0"/>
    <n v="26"/>
    <x v="11"/>
    <s v="13:00 hrs"/>
  </r>
  <r>
    <s v="602726"/>
    <n v="402"/>
    <n v="13"/>
    <x v="26"/>
    <x v="23"/>
    <s v="NA"/>
    <x v="5"/>
    <s v="SONY"/>
    <s v="IGRA00100300"/>
    <s v="IGRA00100300"/>
    <n v="12"/>
    <m/>
    <x v="0"/>
    <n v="26"/>
    <x v="11"/>
    <s v="13:00 hrs"/>
  </r>
  <r>
    <s v="602726"/>
    <n v="404"/>
    <n v="13"/>
    <x v="26"/>
    <x v="23"/>
    <s v="NA"/>
    <x v="6"/>
    <s v="SURTEK"/>
    <s v="SN"/>
    <s v="SN"/>
    <n v="2"/>
    <s v="Incluye: Cable de Alimentacion (Lampara chica)"/>
    <x v="0"/>
    <n v="26"/>
    <x v="11"/>
    <s v="13:00 hrs"/>
  </r>
  <r>
    <s v="602726"/>
    <n v="405"/>
    <n v="13"/>
    <x v="26"/>
    <x v="23"/>
    <s v="NA"/>
    <x v="6"/>
    <s v="SURTEK"/>
    <s v="SN"/>
    <s v="SN"/>
    <n v="2"/>
    <s v="Incluye: Cable de Alimentacion (Lampara chica)"/>
    <x v="0"/>
    <n v="26"/>
    <x v="11"/>
    <s v="13:00 hrs"/>
  </r>
  <r>
    <s v="602726"/>
    <n v="406"/>
    <n v="13"/>
    <x v="26"/>
    <x v="23"/>
    <s v="NA"/>
    <x v="6"/>
    <s v="MAVRIK"/>
    <s v="SN"/>
    <s v="SN"/>
    <n v="2"/>
    <s v="Incluye: Cable de Alimentacion (Lampara chica)"/>
    <x v="0"/>
    <n v="26"/>
    <x v="11"/>
    <s v="13:00 hrs"/>
  </r>
  <r>
    <s v="602726"/>
    <n v="407"/>
    <n v="13"/>
    <x v="26"/>
    <x v="23"/>
    <s v="NA"/>
    <x v="7"/>
    <s v="STEREN"/>
    <s v="SN"/>
    <s v="SN"/>
    <n v="2"/>
    <s v="Incluye: Cable de Alimentacion (Lampara grande)"/>
    <x v="0"/>
    <n v="26"/>
    <x v="11"/>
    <s v="13:00 hrs"/>
  </r>
  <r>
    <s v="602726"/>
    <n v="408"/>
    <n v="13"/>
    <x v="26"/>
    <x v="23"/>
    <s v="NA"/>
    <x v="8"/>
    <s v="SOUNDTRACK"/>
    <s v="isis01200104"/>
    <s v="ISIS01200104"/>
    <n v="12"/>
    <s v="Incluye: 2 Microfonos, Cable extencion Plug. Macho de 6.6mm, 2 Antenas y Eliminador"/>
    <x v="0"/>
    <n v="26"/>
    <x v="11"/>
    <s v="13:00 hrs"/>
  </r>
  <r>
    <s v="602726"/>
    <n v="409"/>
    <n v="13"/>
    <x v="26"/>
    <x v="23"/>
    <s v="NA"/>
    <x v="9"/>
    <s v="SN"/>
    <s v="itaj00100244"/>
    <s v="ITAJ00100244"/>
    <n v="12"/>
    <m/>
    <x v="0"/>
    <n v="26"/>
    <x v="11"/>
    <s v="13:00 hrs"/>
  </r>
  <r>
    <s v="602726"/>
    <n v="410"/>
    <n v="13"/>
    <x v="26"/>
    <x v="23"/>
    <s v="NA"/>
    <x v="10"/>
    <s v="TELMEX"/>
    <s v="itel00100664"/>
    <s v="ITEL00100664"/>
    <n v="12"/>
    <m/>
    <x v="0"/>
    <n v="26"/>
    <x v="11"/>
    <s v="13:00 hrs"/>
  </r>
  <r>
    <s v="60281"/>
    <n v="412"/>
    <n v="12"/>
    <x v="27"/>
    <x v="24"/>
    <s v="NA"/>
    <x v="0"/>
    <s v="STEREN"/>
    <s v="ibaf00100110"/>
    <s v="IBAF00100110"/>
    <n v="12"/>
    <s v="Incluye: Cable de Alimentación,"/>
    <x v="2"/>
    <n v="1"/>
    <x v="0"/>
    <s v="13:00 hrs"/>
  </r>
  <r>
    <s v="60281"/>
    <n v="413"/>
    <n v="12"/>
    <x v="27"/>
    <x v="24"/>
    <s v="NA"/>
    <x v="1"/>
    <s v="SN"/>
    <s v="ibot00100087"/>
    <s v="IBOT00100087"/>
    <n v="12"/>
    <m/>
    <x v="2"/>
    <n v="1"/>
    <x v="0"/>
    <s v="13:00 hrs"/>
  </r>
  <r>
    <s v="60281"/>
    <n v="414"/>
    <n v="12"/>
    <x v="27"/>
    <x v="24"/>
    <s v="NA"/>
    <x v="2"/>
    <s v="SONY"/>
    <s v="ICAM00101799"/>
    <s v="ICAM00101799"/>
    <n v="12"/>
    <s v="Incluye: Memoria de 4GB, Cargador y Pila."/>
    <x v="2"/>
    <n v="1"/>
    <x v="0"/>
    <s v="13:00 hrs"/>
  </r>
  <r>
    <s v="60281"/>
    <n v="415"/>
    <n v="12"/>
    <x v="27"/>
    <x v="24"/>
    <s v="NA"/>
    <x v="3"/>
    <s v="COMBO"/>
    <s v="ieng00100056"/>
    <s v="IENG00100056"/>
    <n v="12"/>
    <m/>
    <x v="2"/>
    <n v="1"/>
    <x v="0"/>
    <s v="13:00 hrs"/>
  </r>
  <r>
    <s v="60281"/>
    <n v="416"/>
    <n v="12"/>
    <x v="27"/>
    <x v="24"/>
    <s v="NA"/>
    <x v="4"/>
    <s v="RADSON"/>
    <s v="IAMP00100042"/>
    <s v="IAMP00100042"/>
    <n v="12"/>
    <m/>
    <x v="2"/>
    <n v="1"/>
    <x v="0"/>
    <s v="13:00 hrs"/>
  </r>
  <r>
    <s v="60281"/>
    <n v="417"/>
    <n v="12"/>
    <x v="27"/>
    <x v="24"/>
    <s v="NA"/>
    <x v="5"/>
    <s v="SONY"/>
    <s v="IGRA00100427"/>
    <s v="IGRA00100427"/>
    <n v="12"/>
    <m/>
    <x v="2"/>
    <n v="1"/>
    <x v="0"/>
    <s v="13:00 hrs"/>
  </r>
  <r>
    <s v="60281"/>
    <n v="418"/>
    <n v="12"/>
    <x v="27"/>
    <x v="24"/>
    <s v="NA"/>
    <x v="6"/>
    <s v="MAVRIK"/>
    <s v="SN"/>
    <s v="SN"/>
    <n v="2"/>
    <s v="Incluye: Cable de Alimentacion (Lampara chica)"/>
    <x v="2"/>
    <n v="1"/>
    <x v="0"/>
    <s v="13:00 hrs"/>
  </r>
  <r>
    <s v="60281"/>
    <n v="420"/>
    <n v="12"/>
    <x v="27"/>
    <x v="24"/>
    <s v="NA"/>
    <x v="6"/>
    <s v="MARVIK"/>
    <s v="ILAM0101080"/>
    <s v="ILAM0101080"/>
    <n v="11"/>
    <s v="Incluye: Cable de Alimentacion (Lampara chica)"/>
    <x v="2"/>
    <n v="1"/>
    <x v="0"/>
    <s v="13:00 hrs"/>
  </r>
  <r>
    <s v="60281"/>
    <n v="421"/>
    <n v="12"/>
    <x v="27"/>
    <x v="24"/>
    <s v="NA"/>
    <x v="7"/>
    <s v="STEREN"/>
    <s v="SN"/>
    <s v="SN"/>
    <n v="2"/>
    <s v="Incluye: Cable de Alimentacion (Lampara grande)"/>
    <x v="2"/>
    <n v="1"/>
    <x v="0"/>
    <s v="13:00 hrs"/>
  </r>
  <r>
    <s v="60281"/>
    <n v="422"/>
    <n v="12"/>
    <x v="27"/>
    <x v="24"/>
    <s v="NA"/>
    <x v="8"/>
    <s v="SOUNDTRACK"/>
    <s v="isis01200098"/>
    <s v="ISIS01200098"/>
    <n v="12"/>
    <s v="Incluye: 2 Microfonos, Cable extencion Plug. Macho de 6.6mm, 2 Antenas y Eliminador y 2 soportes de microfonos"/>
    <x v="2"/>
    <n v="1"/>
    <x v="0"/>
    <s v="13:00 hrs"/>
  </r>
  <r>
    <s v="60281"/>
    <n v="423"/>
    <n v="12"/>
    <x v="27"/>
    <x v="24"/>
    <s v="NA"/>
    <x v="9"/>
    <s v="SN"/>
    <s v="itaj00100150"/>
    <s v="ITAJ00100150"/>
    <n v="12"/>
    <m/>
    <x v="2"/>
    <n v="1"/>
    <x v="0"/>
    <s v="13:00 hrs"/>
  </r>
  <r>
    <s v="60281"/>
    <n v="424"/>
    <n v="12"/>
    <x v="27"/>
    <x v="24"/>
    <s v="NA"/>
    <x v="10"/>
    <s v="TELMEX"/>
    <s v="itel00100583"/>
    <s v="ITEL00100583"/>
    <n v="12"/>
    <m/>
    <x v="2"/>
    <n v="1"/>
    <x v="0"/>
    <s v="13:00 hrs"/>
  </r>
  <r>
    <s v="602931"/>
    <n v="425"/>
    <n v="14"/>
    <x v="28"/>
    <x v="25"/>
    <s v="NA"/>
    <x v="0"/>
    <s v="STEREN"/>
    <s v="ibaf00100207"/>
    <s v="IBAF00100207"/>
    <n v="12"/>
    <s v="Incluye: Cable de Alimentación,"/>
    <x v="0"/>
    <n v="31"/>
    <x v="12"/>
    <s v="21:30 hrs"/>
  </r>
  <r>
    <s v="602931"/>
    <n v="426"/>
    <n v="14"/>
    <x v="28"/>
    <x v="25"/>
    <s v="NA"/>
    <x v="1"/>
    <s v="SN"/>
    <s v="ibot00100131"/>
    <s v="IBOT00100131"/>
    <n v="12"/>
    <m/>
    <x v="0"/>
    <n v="31"/>
    <x v="12"/>
    <s v="21:30 hrs"/>
  </r>
  <r>
    <s v="602931"/>
    <n v="428"/>
    <n v="14"/>
    <x v="28"/>
    <x v="25"/>
    <s v="NA"/>
    <x v="2"/>
    <s v="SONY"/>
    <s v="ICAM00101758"/>
    <s v="ICAM00101758"/>
    <n v="12"/>
    <s v="Incluye: Memoria de 4GB, Cargador y Pila."/>
    <x v="0"/>
    <n v="31"/>
    <x v="12"/>
    <s v="21:30 hrs"/>
  </r>
  <r>
    <s v="602931"/>
    <n v="429"/>
    <n v="14"/>
    <x v="28"/>
    <x v="25"/>
    <s v="NA"/>
    <x v="3"/>
    <s v="COMBO"/>
    <s v="ieng00100008"/>
    <s v="IENG00100008"/>
    <n v="12"/>
    <m/>
    <x v="0"/>
    <n v="31"/>
    <x v="12"/>
    <s v="21:30 hrs"/>
  </r>
  <r>
    <s v="602931"/>
    <n v="430"/>
    <n v="14"/>
    <x v="28"/>
    <x v="25"/>
    <s v="NA"/>
    <x v="4"/>
    <s v="RADSON"/>
    <s v="iamp00100039"/>
    <s v="IAMP00100039"/>
    <n v="12"/>
    <m/>
    <x v="0"/>
    <n v="31"/>
    <x v="12"/>
    <s v="21:30 hrs"/>
  </r>
  <r>
    <s v="602931"/>
    <n v="431"/>
    <n v="14"/>
    <x v="28"/>
    <x v="25"/>
    <s v="NA"/>
    <x v="5"/>
    <s v="SONY"/>
    <s v="IGRA00100367"/>
    <s v="IGRA00100367"/>
    <n v="12"/>
    <m/>
    <x v="0"/>
    <n v="31"/>
    <x v="12"/>
    <s v="21:30 hrs"/>
  </r>
  <r>
    <s v="602931"/>
    <n v="432"/>
    <n v="14"/>
    <x v="28"/>
    <x v="25"/>
    <s v="NA"/>
    <x v="6"/>
    <s v="SURTEK"/>
    <s v="SN"/>
    <s v="SN"/>
    <n v="2"/>
    <s v="Incluye: Cable de Alimentacion (Lampara chica)"/>
    <x v="0"/>
    <n v="31"/>
    <x v="12"/>
    <s v="21:30 hrs"/>
  </r>
  <r>
    <s v="602931"/>
    <n v="433"/>
    <n v="14"/>
    <x v="28"/>
    <x v="25"/>
    <s v="NA"/>
    <x v="6"/>
    <s v="SURTEK"/>
    <s v="SN"/>
    <s v="SN"/>
    <n v="2"/>
    <s v="Incluye: Cable de Alimentacion (Lampara chica)"/>
    <x v="0"/>
    <n v="31"/>
    <x v="12"/>
    <s v="21:30 hrs"/>
  </r>
  <r>
    <s v="602931"/>
    <n v="434"/>
    <n v="14"/>
    <x v="28"/>
    <x v="25"/>
    <s v="NA"/>
    <x v="6"/>
    <s v="SURTEK"/>
    <s v="SN"/>
    <s v="SN"/>
    <n v="2"/>
    <s v="Incluye: Cable de Alimentacion (Lampara chica)"/>
    <x v="0"/>
    <n v="31"/>
    <x v="12"/>
    <s v="21:30 hrs"/>
  </r>
  <r>
    <s v="602931"/>
    <n v="436"/>
    <n v="14"/>
    <x v="28"/>
    <x v="25"/>
    <s v="NA"/>
    <x v="6"/>
    <s v="SURTEK"/>
    <s v="SN"/>
    <s v="SN"/>
    <n v="2"/>
    <s v="Incluye: Cable de Alimentacion (Lampara chica)"/>
    <x v="0"/>
    <n v="31"/>
    <x v="12"/>
    <s v="21:30 hrs"/>
  </r>
  <r>
    <s v="602931"/>
    <n v="437"/>
    <n v="14"/>
    <x v="28"/>
    <x v="25"/>
    <s v="NA"/>
    <x v="7"/>
    <s v="STEREN"/>
    <s v="SN"/>
    <s v="SN"/>
    <n v="2"/>
    <s v="Incluye: Cable de Alimentacion (Lampara grande)"/>
    <x v="0"/>
    <n v="31"/>
    <x v="12"/>
    <s v="21:30 hrs"/>
  </r>
  <r>
    <s v="602931"/>
    <n v="438"/>
    <n v="14"/>
    <x v="28"/>
    <x v="25"/>
    <s v="NA"/>
    <x v="8"/>
    <s v="SOUNDTRACK"/>
    <s v="isis01200115"/>
    <s v="ISIS01200115"/>
    <n v="12"/>
    <s v="Incluye: 2 Microfonos, Cable extencion Plug. Macho de 6.6mm, 2 Antenas y Eliminador y 2 soportes de microfonos"/>
    <x v="0"/>
    <n v="31"/>
    <x v="12"/>
    <s v="21:30 hrs"/>
  </r>
  <r>
    <s v="602931"/>
    <n v="439"/>
    <n v="14"/>
    <x v="28"/>
    <x v="25"/>
    <s v="NA"/>
    <x v="9"/>
    <s v="SN"/>
    <s v="itaj00100012"/>
    <s v="ITAJ00100012"/>
    <n v="12"/>
    <m/>
    <x v="0"/>
    <n v="31"/>
    <x v="12"/>
    <s v="21:30 hrs"/>
  </r>
  <r>
    <s v="602931"/>
    <n v="440"/>
    <n v="14"/>
    <x v="28"/>
    <x v="25"/>
    <s v="NA"/>
    <x v="10"/>
    <s v="TELMEX"/>
    <s v="itel00100946"/>
    <s v="ITEL00100946"/>
    <n v="12"/>
    <m/>
    <x v="0"/>
    <n v="31"/>
    <x v="12"/>
    <s v="21:30 hrs"/>
  </r>
  <r>
    <s v="60306"/>
    <n v="441"/>
    <n v="12"/>
    <x v="29"/>
    <x v="26"/>
    <s v="NA"/>
    <x v="0"/>
    <s v="STEREN"/>
    <s v="ibaf00100067"/>
    <s v="IBAF00100067"/>
    <n v="12"/>
    <s v="Incluye: Cable de Alimentación,"/>
    <x v="2"/>
    <n v="6"/>
    <x v="1"/>
    <s v="18:0 hrs"/>
  </r>
  <r>
    <s v="60306"/>
    <n v="442"/>
    <n v="12"/>
    <x v="29"/>
    <x v="26"/>
    <s v="NA"/>
    <x v="1"/>
    <s v="SN"/>
    <s v="ibot00100035"/>
    <s v="IBOT00100035"/>
    <n v="12"/>
    <m/>
    <x v="2"/>
    <n v="6"/>
    <x v="1"/>
    <s v="18:0 hrs"/>
  </r>
  <r>
    <s v="60306"/>
    <n v="444"/>
    <n v="12"/>
    <x v="29"/>
    <x v="26"/>
    <s v="NA"/>
    <x v="2"/>
    <s v="SONY"/>
    <s v="ICAM00101781"/>
    <s v="ICAM00101781"/>
    <n v="12"/>
    <s v="Incluye: Memoria de 4GB, Cargador y Pila."/>
    <x v="2"/>
    <n v="6"/>
    <x v="1"/>
    <s v="18:0 hrs"/>
  </r>
  <r>
    <s v="60306"/>
    <n v="445"/>
    <n v="12"/>
    <x v="29"/>
    <x v="26"/>
    <s v="NA"/>
    <x v="3"/>
    <s v="COMBO"/>
    <s v="ieng00100170"/>
    <s v="IENG00100170"/>
    <n v="12"/>
    <m/>
    <x v="2"/>
    <n v="6"/>
    <x v="1"/>
    <s v="18:0 hrs"/>
  </r>
  <r>
    <s v="60306"/>
    <n v="446"/>
    <n v="12"/>
    <x v="29"/>
    <x v="26"/>
    <s v="NA"/>
    <x v="4"/>
    <s v="RADSON"/>
    <s v="iamp00100094"/>
    <s v="IAMP00100094"/>
    <n v="12"/>
    <m/>
    <x v="2"/>
    <n v="6"/>
    <x v="1"/>
    <s v="18:0 hrs"/>
  </r>
  <r>
    <s v="60306"/>
    <n v="447"/>
    <n v="12"/>
    <x v="29"/>
    <x v="26"/>
    <s v="NA"/>
    <x v="5"/>
    <s v="SONY"/>
    <s v="IGRA00100417"/>
    <s v="IGRA00100417"/>
    <n v="12"/>
    <m/>
    <x v="2"/>
    <n v="6"/>
    <x v="1"/>
    <s v="18:0 hrs"/>
  </r>
  <r>
    <s v="60306"/>
    <n v="448"/>
    <n v="12"/>
    <x v="29"/>
    <x v="26"/>
    <s v="NA"/>
    <x v="6"/>
    <s v="STEREN"/>
    <s v="SN"/>
    <s v="SN"/>
    <n v="2"/>
    <s v="Incluye: Cable de Alimentacion (Lampara chica)"/>
    <x v="2"/>
    <n v="6"/>
    <x v="1"/>
    <s v="18:0 hrs"/>
  </r>
  <r>
    <s v="60306"/>
    <n v="449"/>
    <n v="12"/>
    <x v="29"/>
    <x v="26"/>
    <s v="NA"/>
    <x v="6"/>
    <s v="STEREN"/>
    <s v="SN"/>
    <s v="SN"/>
    <n v="2"/>
    <s v="Incluye: Cable de Alimentacion (Lampara chica)"/>
    <x v="2"/>
    <n v="6"/>
    <x v="1"/>
    <s v="18:0 hrs"/>
  </r>
  <r>
    <s v="60306"/>
    <n v="450"/>
    <n v="12"/>
    <x v="29"/>
    <x v="26"/>
    <s v="NA"/>
    <x v="7"/>
    <s v="STEREN"/>
    <s v="SN"/>
    <s v="SN"/>
    <n v="2"/>
    <s v="Incluye: Cable de Alimentacion (Lampara grande)"/>
    <x v="2"/>
    <n v="6"/>
    <x v="1"/>
    <s v="18:0 hrs"/>
  </r>
  <r>
    <s v="60306"/>
    <n v="452"/>
    <n v="12"/>
    <x v="29"/>
    <x v="26"/>
    <s v="NA"/>
    <x v="8"/>
    <s v="SOUNDTRACK"/>
    <s v="isis01200157"/>
    <s v="ISIS01200157"/>
    <n v="12"/>
    <s v="Incluye: 2 Microfonos, Cable extencion Plug. Macho de 6.6mm, 2 Antenas y Eliminador y 2 soportes de microfonos"/>
    <x v="2"/>
    <n v="6"/>
    <x v="1"/>
    <s v="18:0 hrs"/>
  </r>
  <r>
    <s v="60306"/>
    <n v="453"/>
    <n v="12"/>
    <x v="29"/>
    <x v="26"/>
    <s v="NA"/>
    <x v="9"/>
    <s v="SN"/>
    <s v="itaj00100240"/>
    <s v="ITAJ00100240"/>
    <n v="12"/>
    <m/>
    <x v="2"/>
    <n v="6"/>
    <x v="1"/>
    <s v="18:0 hrs"/>
  </r>
  <r>
    <s v="60306"/>
    <n v="454"/>
    <n v="12"/>
    <x v="29"/>
    <x v="26"/>
    <s v="NA"/>
    <x v="10"/>
    <s v="TELMEX"/>
    <s v="itel00100429"/>
    <s v="ITEL00100429"/>
    <n v="12"/>
    <m/>
    <x v="2"/>
    <n v="6"/>
    <x v="1"/>
    <s v="18:0 hrs"/>
  </r>
  <r>
    <s v="60314"/>
    <n v="455"/>
    <n v="17"/>
    <x v="30"/>
    <x v="27"/>
    <s v="NA"/>
    <x v="0"/>
    <s v="STEREN"/>
    <s v="ibaf00100093"/>
    <s v="IBAF00100093"/>
    <n v="12"/>
    <s v="Incluye: Cable de Alimentación,"/>
    <x v="2"/>
    <n v="4"/>
    <x v="4"/>
    <s v="16:00 hrs"/>
  </r>
  <r>
    <s v="60314"/>
    <n v="456"/>
    <n v="17"/>
    <x v="30"/>
    <x v="27"/>
    <s v="NA"/>
    <x v="1"/>
    <s v="SN"/>
    <s v="ibot00100108"/>
    <s v="IBOT00100108"/>
    <n v="12"/>
    <m/>
    <x v="2"/>
    <n v="4"/>
    <x v="4"/>
    <s v="16:00 hrs"/>
  </r>
  <r>
    <s v="60314"/>
    <n v="457"/>
    <n v="17"/>
    <x v="30"/>
    <x v="27"/>
    <s v="NA"/>
    <x v="2"/>
    <s v="SONY"/>
    <s v="ICAM00101787"/>
    <s v="ICAM00101787"/>
    <n v="12"/>
    <s v="Incluye: Memoria de 4GB, Cargador y Pila."/>
    <x v="2"/>
    <n v="4"/>
    <x v="4"/>
    <s v="16:00 hrs"/>
  </r>
  <r>
    <s v="60314"/>
    <n v="458"/>
    <n v="17"/>
    <x v="30"/>
    <x v="27"/>
    <s v="NA"/>
    <x v="3"/>
    <s v="COMBO"/>
    <s v="ieng00100034"/>
    <s v="IENG00100034"/>
    <n v="12"/>
    <m/>
    <x v="2"/>
    <n v="4"/>
    <x v="4"/>
    <s v="16:00 hrs"/>
  </r>
  <r>
    <s v="60314"/>
    <n v="460"/>
    <n v="17"/>
    <x v="30"/>
    <x v="27"/>
    <s v="NA"/>
    <x v="4"/>
    <s v="RADSON"/>
    <s v="iamp00100135"/>
    <s v="IAMP00100135"/>
    <n v="12"/>
    <m/>
    <x v="2"/>
    <n v="4"/>
    <x v="4"/>
    <s v="16:00 hrs"/>
  </r>
  <r>
    <s v="60314"/>
    <n v="461"/>
    <n v="17"/>
    <x v="30"/>
    <x v="27"/>
    <s v="NA"/>
    <x v="5"/>
    <s v="SONY"/>
    <s v="IGRA00100412"/>
    <s v="IGRA00100412"/>
    <n v="12"/>
    <m/>
    <x v="2"/>
    <n v="4"/>
    <x v="4"/>
    <s v="16:00 hrs"/>
  </r>
  <r>
    <s v="60314"/>
    <n v="462"/>
    <n v="17"/>
    <x v="30"/>
    <x v="27"/>
    <s v="NA"/>
    <x v="6"/>
    <s v="STEREN"/>
    <s v="SN"/>
    <s v="SN"/>
    <n v="2"/>
    <s v="Incluye: Cable de Alimentacion (Lampara chica)"/>
    <x v="2"/>
    <n v="4"/>
    <x v="4"/>
    <s v="16:00 hrs"/>
  </r>
  <r>
    <s v="60314"/>
    <n v="463"/>
    <n v="17"/>
    <x v="30"/>
    <x v="27"/>
    <s v="NA"/>
    <x v="6"/>
    <s v="STEREN"/>
    <s v="SN"/>
    <s v="SN"/>
    <n v="2"/>
    <s v="Incluye: Cable de Alimentacion (Lampara chica)"/>
    <x v="2"/>
    <n v="4"/>
    <x v="4"/>
    <s v="16:00 hrs"/>
  </r>
  <r>
    <s v="60314"/>
    <n v="464"/>
    <n v="17"/>
    <x v="30"/>
    <x v="27"/>
    <s v="NA"/>
    <x v="6"/>
    <s v="STEREN"/>
    <s v="SN"/>
    <s v="SN"/>
    <n v="2"/>
    <s v="Incluye: Cable de Alimentacion (Lampara chica)"/>
    <x v="2"/>
    <n v="4"/>
    <x v="4"/>
    <s v="16:00 hrs"/>
  </r>
  <r>
    <s v="60314"/>
    <n v="465"/>
    <n v="17"/>
    <x v="30"/>
    <x v="27"/>
    <s v="NA"/>
    <x v="6"/>
    <s v="SANELEC"/>
    <s v="SN"/>
    <s v="SN"/>
    <n v="2"/>
    <s v="Incluye: Cable de Alimentacion (Lampara chica)"/>
    <x v="2"/>
    <n v="4"/>
    <x v="4"/>
    <s v="16:00 hrs"/>
  </r>
  <r>
    <s v="60314"/>
    <n v="466"/>
    <n v="17"/>
    <x v="30"/>
    <x v="27"/>
    <s v="NA"/>
    <x v="6"/>
    <s v="SANELEC"/>
    <s v="SN"/>
    <s v="SN"/>
    <n v="2"/>
    <s v="Incluye: Cable de Alimentacion (Lampara chica)"/>
    <x v="2"/>
    <n v="4"/>
    <x v="4"/>
    <s v="16:00 hrs"/>
  </r>
  <r>
    <s v="60314"/>
    <n v="467"/>
    <n v="17"/>
    <x v="30"/>
    <x v="27"/>
    <s v="NA"/>
    <x v="6"/>
    <s v="SANELEC"/>
    <s v="SN"/>
    <s v="SN"/>
    <n v="2"/>
    <s v="Incluye: Cable de Alimentacion (Lampara chica)"/>
    <x v="2"/>
    <n v="4"/>
    <x v="4"/>
    <s v="16:00 hrs"/>
  </r>
  <r>
    <s v="60314"/>
    <n v="469"/>
    <n v="17"/>
    <x v="30"/>
    <x v="27"/>
    <s v="NA"/>
    <x v="6"/>
    <s v="MAVRIK"/>
    <s v="SN"/>
    <s v="SN"/>
    <n v="2"/>
    <s v="Incluye: Cable de Alimentacion (Lampara chica)"/>
    <x v="2"/>
    <n v="4"/>
    <x v="4"/>
    <s v="16:00 hrs"/>
  </r>
  <r>
    <s v="60314"/>
    <n v="470"/>
    <n v="17"/>
    <x v="30"/>
    <x v="27"/>
    <s v="NA"/>
    <x v="7"/>
    <s v="STEREN"/>
    <s v="SN"/>
    <s v="SN"/>
    <n v="2"/>
    <s v="Incluye: Cable de Alimentacion (Lampara grande)"/>
    <x v="2"/>
    <n v="4"/>
    <x v="4"/>
    <s v="16:00 hrs"/>
  </r>
  <r>
    <s v="60314"/>
    <n v="471"/>
    <n v="17"/>
    <x v="30"/>
    <x v="27"/>
    <s v="NA"/>
    <x v="8"/>
    <s v="SOUNDTRACK"/>
    <s v="isis01200069"/>
    <s v="ISIS01200069"/>
    <n v="12"/>
    <s v="Incluye: 2 Microfonos, Cable extencion Plug. Macho de 6.6mm, 2 Antenas y Eliminador y 2 soportes de microfonos"/>
    <x v="2"/>
    <n v="4"/>
    <x v="4"/>
    <s v="16:00 hrs"/>
  </r>
  <r>
    <s v="60314"/>
    <n v="472"/>
    <n v="17"/>
    <x v="30"/>
    <x v="27"/>
    <s v="NA"/>
    <x v="9"/>
    <s v="SN"/>
    <s v="itaj00100186"/>
    <s v="ITAJ00100186"/>
    <n v="12"/>
    <m/>
    <x v="2"/>
    <n v="4"/>
    <x v="4"/>
    <s v="16:00 hrs"/>
  </r>
  <r>
    <s v="60314"/>
    <n v="473"/>
    <n v="17"/>
    <x v="30"/>
    <x v="27"/>
    <s v="NA"/>
    <x v="10"/>
    <s v="TELMEX"/>
    <s v="itel00100268"/>
    <s v="ITEL00100268"/>
    <n v="12"/>
    <m/>
    <x v="2"/>
    <n v="4"/>
    <x v="4"/>
    <s v="16:00 hrs"/>
  </r>
  <r>
    <s v="60325"/>
    <n v="474"/>
    <n v="12"/>
    <x v="31"/>
    <x v="26"/>
    <s v="NA"/>
    <x v="0"/>
    <s v="STEREN"/>
    <s v="IBAF00100096"/>
    <s v="IBAF00100096"/>
    <n v="13"/>
    <s v="Incluye: Cable de Alimentación,"/>
    <x v="2"/>
    <n v="5"/>
    <x v="13"/>
    <s v="17:00 hrs"/>
  </r>
  <r>
    <s v="60325"/>
    <n v="475"/>
    <n v="12"/>
    <x v="31"/>
    <x v="26"/>
    <s v="NA"/>
    <x v="1"/>
    <s v="SN"/>
    <s v="IBOT00100043"/>
    <s v="IBOT00100043"/>
    <n v="12"/>
    <m/>
    <x v="2"/>
    <n v="5"/>
    <x v="13"/>
    <s v="17:00 hrs"/>
  </r>
  <r>
    <s v="60325"/>
    <n v="477"/>
    <n v="12"/>
    <x v="31"/>
    <x v="26"/>
    <s v="NA"/>
    <x v="2"/>
    <s v="SONY"/>
    <s v="icam00101810"/>
    <s v="ICAM00101810"/>
    <n v="12"/>
    <s v="Incluye: Memoria de 4GB, Cargador y Pila."/>
    <x v="2"/>
    <n v="5"/>
    <x v="13"/>
    <s v="17:00 hrs"/>
  </r>
  <r>
    <s v="60325"/>
    <n v="478"/>
    <n v="12"/>
    <x v="31"/>
    <x v="26"/>
    <s v="NA"/>
    <x v="3"/>
    <s v="COMBO"/>
    <s v="IENG00100047"/>
    <s v="IENG00100047"/>
    <n v="12"/>
    <m/>
    <x v="2"/>
    <n v="5"/>
    <x v="13"/>
    <s v="17:00 hrs"/>
  </r>
  <r>
    <s v="60325"/>
    <n v="479"/>
    <n v="12"/>
    <x v="31"/>
    <x v="26"/>
    <s v="NA"/>
    <x v="4"/>
    <s v="RADSON"/>
    <s v="iamp00100128"/>
    <s v="IAMP00100128"/>
    <n v="12"/>
    <m/>
    <x v="2"/>
    <n v="5"/>
    <x v="13"/>
    <s v="17:00 hrs"/>
  </r>
  <r>
    <s v="60325"/>
    <n v="480"/>
    <n v="12"/>
    <x v="31"/>
    <x v="26"/>
    <s v="NA"/>
    <x v="5"/>
    <s v="SONY"/>
    <s v="igra00100346"/>
    <s v="IGRA00100346"/>
    <n v="12"/>
    <m/>
    <x v="2"/>
    <n v="5"/>
    <x v="13"/>
    <s v="17:00 hrs"/>
  </r>
  <r>
    <s v="60325"/>
    <n v="481"/>
    <n v="12"/>
    <x v="31"/>
    <x v="26"/>
    <s v="NA"/>
    <x v="6"/>
    <s v="STEREN"/>
    <s v="SN"/>
    <s v="SN"/>
    <n v="2"/>
    <s v="Incluye: Cable de Alimentacion (Lampara chica)"/>
    <x v="2"/>
    <n v="5"/>
    <x v="13"/>
    <s v="17:00 hrs"/>
  </r>
  <r>
    <s v="60325"/>
    <n v="482"/>
    <n v="12"/>
    <x v="31"/>
    <x v="26"/>
    <s v="NA"/>
    <x v="6"/>
    <s v="STEREN"/>
    <s v="SN"/>
    <s v="SN"/>
    <n v="2"/>
    <s v="Incluye: Cable de Alimentacion (Lampara chica)"/>
    <x v="2"/>
    <n v="5"/>
    <x v="13"/>
    <s v="17:00 hrs"/>
  </r>
  <r>
    <s v="60325"/>
    <n v="483"/>
    <n v="12"/>
    <x v="31"/>
    <x v="26"/>
    <s v="NA"/>
    <x v="7"/>
    <s v="STEREN"/>
    <s v="SN"/>
    <s v="SN"/>
    <n v="2"/>
    <s v="Incluye: Cable de Alimentacion (Lampara grande)"/>
    <x v="2"/>
    <n v="5"/>
    <x v="13"/>
    <s v="17:00 hrs"/>
  </r>
  <r>
    <s v="60325"/>
    <n v="485"/>
    <n v="12"/>
    <x v="31"/>
    <x v="26"/>
    <s v="NA"/>
    <x v="8"/>
    <s v="SOUNDTRACK"/>
    <s v="isis01200141"/>
    <s v="ISIS01200141"/>
    <n v="12"/>
    <s v="Incluye: 2 Microfonos, Cable extencion Plug. Macho de 6.6mm, 2 Antenas y Eliminador y 2 soportes de microfonos"/>
    <x v="2"/>
    <n v="5"/>
    <x v="13"/>
    <s v="17:00 hrs"/>
  </r>
  <r>
    <s v="60325"/>
    <n v="486"/>
    <n v="12"/>
    <x v="31"/>
    <x v="26"/>
    <s v="NA"/>
    <x v="9"/>
    <s v="SN"/>
    <s v="itaj00100213"/>
    <s v="ITAJ00100213"/>
    <n v="12"/>
    <m/>
    <x v="2"/>
    <n v="5"/>
    <x v="13"/>
    <s v="17:00 hrs"/>
  </r>
  <r>
    <s v="60325"/>
    <n v="487"/>
    <n v="12"/>
    <x v="31"/>
    <x v="26"/>
    <s v="NA"/>
    <x v="10"/>
    <s v="TELMEX"/>
    <s v="itel00100494"/>
    <s v="ITEL00100494"/>
    <n v="12"/>
    <m/>
    <x v="2"/>
    <n v="5"/>
    <x v="13"/>
    <s v="17:00 hrs"/>
  </r>
  <r>
    <s v="603315"/>
    <n v="488"/>
    <n v="13"/>
    <x v="32"/>
    <x v="28"/>
    <s v="NA"/>
    <x v="0"/>
    <s v="STEREN"/>
    <s v="ibaf00100056"/>
    <s v="IBAF00100056"/>
    <n v="12"/>
    <s v="Incluye: Cable de Alimentación,"/>
    <x v="4"/>
    <n v="15"/>
    <x v="11"/>
    <s v="13:00 hrs"/>
  </r>
  <r>
    <s v="603315"/>
    <n v="489"/>
    <n v="13"/>
    <x v="32"/>
    <x v="28"/>
    <s v="NA"/>
    <x v="1"/>
    <s v="SN"/>
    <s v="ibot00100125"/>
    <s v="IBOT00100125"/>
    <n v="12"/>
    <m/>
    <x v="4"/>
    <n v="15"/>
    <x v="11"/>
    <s v="13:00 hrs"/>
  </r>
  <r>
    <s v="603315"/>
    <n v="490"/>
    <n v="13"/>
    <x v="32"/>
    <x v="28"/>
    <s v="NA"/>
    <x v="2"/>
    <s v="SONY"/>
    <s v="ICAM00101780"/>
    <s v="ICAM00101780"/>
    <n v="12"/>
    <s v="Incluye: Memoria de 4GB, Cargador y Pila."/>
    <x v="4"/>
    <n v="15"/>
    <x v="11"/>
    <s v="13:00 hrs"/>
  </r>
  <r>
    <s v="603315"/>
    <n v="491"/>
    <n v="13"/>
    <x v="32"/>
    <x v="28"/>
    <s v="NA"/>
    <x v="3"/>
    <s v="COMBO"/>
    <s v="ieng00100203"/>
    <s v="IENG00100203"/>
    <n v="12"/>
    <m/>
    <x v="4"/>
    <n v="15"/>
    <x v="11"/>
    <s v="13:00 hrs"/>
  </r>
  <r>
    <s v="603315"/>
    <n v="493"/>
    <n v="13"/>
    <x v="32"/>
    <x v="28"/>
    <s v="NA"/>
    <x v="4"/>
    <s v="RADSON"/>
    <s v="iamp00100080"/>
    <s v="IAMP00100080"/>
    <n v="12"/>
    <m/>
    <x v="4"/>
    <n v="15"/>
    <x v="11"/>
    <s v="13:00 hrs"/>
  </r>
  <r>
    <s v="603315"/>
    <n v="494"/>
    <n v="13"/>
    <x v="32"/>
    <x v="28"/>
    <s v="NA"/>
    <x v="5"/>
    <s v="SONY"/>
    <s v="IGRA00100400"/>
    <s v="IGRA00100400"/>
    <n v="12"/>
    <m/>
    <x v="4"/>
    <n v="15"/>
    <x v="11"/>
    <s v="13:00 hrs"/>
  </r>
  <r>
    <s v="603315"/>
    <n v="495"/>
    <n v="13"/>
    <x v="32"/>
    <x v="28"/>
    <s v="NA"/>
    <x v="6"/>
    <s v="STEREN"/>
    <s v="SN"/>
    <s v="SN"/>
    <n v="2"/>
    <s v="Incluye: Cable de Alimentacion (Lampara chica)"/>
    <x v="4"/>
    <n v="15"/>
    <x v="11"/>
    <s v="13:00 hrs"/>
  </r>
  <r>
    <s v="603315"/>
    <n v="496"/>
    <n v="13"/>
    <x v="32"/>
    <x v="28"/>
    <s v="NA"/>
    <x v="6"/>
    <s v="STEREN"/>
    <s v="SN"/>
    <s v="SN"/>
    <n v="2"/>
    <s v="Incluye: Cable de Alimentacion (Lampara chica)"/>
    <x v="4"/>
    <n v="15"/>
    <x v="11"/>
    <s v="13:00 hrs"/>
  </r>
  <r>
    <s v="603315"/>
    <n v="497"/>
    <n v="13"/>
    <x v="32"/>
    <x v="28"/>
    <s v="NA"/>
    <x v="6"/>
    <s v="VOLTECK"/>
    <s v="SN"/>
    <s v="SN"/>
    <n v="2"/>
    <s v="Incluye: Cable de Alimentacion (Lampara chica)"/>
    <x v="4"/>
    <n v="15"/>
    <x v="11"/>
    <s v="13:00 hrs"/>
  </r>
  <r>
    <s v="603315"/>
    <n v="498"/>
    <n v="13"/>
    <x v="32"/>
    <x v="28"/>
    <s v="NA"/>
    <x v="7"/>
    <s v="STEREN"/>
    <s v="SN"/>
    <s v="SN"/>
    <n v="2"/>
    <s v="Incluye: Cable de Alimentacion (Lampara grande)"/>
    <x v="4"/>
    <n v="15"/>
    <x v="11"/>
    <s v="13:00 hrs"/>
  </r>
  <r>
    <s v="603315"/>
    <n v="499"/>
    <n v="13"/>
    <x v="32"/>
    <x v="28"/>
    <s v="NA"/>
    <x v="8"/>
    <s v="SOUNDTRACK"/>
    <s v="isis01200184"/>
    <s v="ISIS01200184"/>
    <n v="12"/>
    <s v="Incluye: 2 Microfonos, Cable extencion Plug. Macho de 6.6mm, 2 Antenas y Eliminador y 2 soportes de microfonos"/>
    <x v="4"/>
    <n v="15"/>
    <x v="11"/>
    <s v="13:00 hrs"/>
  </r>
  <r>
    <s v="603315"/>
    <n v="501"/>
    <n v="13"/>
    <x v="32"/>
    <x v="28"/>
    <s v="NA"/>
    <x v="9"/>
    <s v="SN"/>
    <s v="itaj00100080"/>
    <s v="ITAJ00100080"/>
    <n v="12"/>
    <m/>
    <x v="4"/>
    <n v="15"/>
    <x v="11"/>
    <s v="13:00 hrs"/>
  </r>
  <r>
    <s v="603315"/>
    <n v="502"/>
    <n v="13"/>
    <x v="32"/>
    <x v="28"/>
    <s v="NA"/>
    <x v="10"/>
    <s v="TELMEX"/>
    <s v="itel00100973"/>
    <s v="ITEL00100973"/>
    <n v="12"/>
    <m/>
    <x v="4"/>
    <n v="15"/>
    <x v="11"/>
    <s v="13:00 hrs"/>
  </r>
  <r>
    <s v="603413"/>
    <n v="503"/>
    <n v="13"/>
    <x v="33"/>
    <x v="29"/>
    <s v="NA"/>
    <x v="0"/>
    <s v="STEREN"/>
    <s v="ibaf00100055"/>
    <s v="IBAF00100055"/>
    <n v="12"/>
    <s v="Incluye: Cable de Alimentación,"/>
    <x v="1"/>
    <n v="13"/>
    <x v="14"/>
    <s v="18:30 hrs"/>
  </r>
  <r>
    <s v="603413"/>
    <n v="504"/>
    <n v="13"/>
    <x v="33"/>
    <x v="29"/>
    <s v="NA"/>
    <x v="1"/>
    <s v="SN"/>
    <s v="ibot00100149"/>
    <s v="IBOT00100149"/>
    <n v="12"/>
    <m/>
    <x v="1"/>
    <n v="13"/>
    <x v="14"/>
    <s v="18:30 hrs"/>
  </r>
  <r>
    <s v="603413"/>
    <n v="505"/>
    <n v="13"/>
    <x v="33"/>
    <x v="29"/>
    <s v="NA"/>
    <x v="2"/>
    <s v="SONY"/>
    <s v="ICAM00101773"/>
    <s v="ICAM00101773"/>
    <n v="12"/>
    <s v="Incluye: Memoria de 4GB, Cargador y Pila."/>
    <x v="1"/>
    <n v="13"/>
    <x v="14"/>
    <s v="18:30 hrs"/>
  </r>
  <r>
    <s v="603413"/>
    <n v="506"/>
    <n v="13"/>
    <x v="33"/>
    <x v="29"/>
    <s v="NA"/>
    <x v="3"/>
    <s v="COMBO"/>
    <s v="ieng00100211"/>
    <s v="IENG00100211"/>
    <n v="12"/>
    <m/>
    <x v="1"/>
    <n v="13"/>
    <x v="14"/>
    <s v="18:30 hrs"/>
  </r>
  <r>
    <s v="603413"/>
    <n v="507"/>
    <n v="13"/>
    <x v="33"/>
    <x v="29"/>
    <s v="NA"/>
    <x v="4"/>
    <s v="RADSON"/>
    <s v="iamp00100036"/>
    <s v="IAMP00100036"/>
    <n v="12"/>
    <m/>
    <x v="1"/>
    <n v="13"/>
    <x v="14"/>
    <s v="18:30 hrs"/>
  </r>
  <r>
    <s v="603413"/>
    <n v="509"/>
    <n v="13"/>
    <x v="33"/>
    <x v="29"/>
    <s v="NA"/>
    <x v="5"/>
    <s v="SONY"/>
    <s v="IGRA00100307"/>
    <s v="IGRA00100307"/>
    <n v="12"/>
    <m/>
    <x v="1"/>
    <n v="13"/>
    <x v="14"/>
    <s v="18:30 hrs"/>
  </r>
  <r>
    <s v="603413"/>
    <n v="510"/>
    <n v="13"/>
    <x v="33"/>
    <x v="29"/>
    <s v="NA"/>
    <x v="6"/>
    <s v="VOLTECK"/>
    <s v="SN"/>
    <s v="SN"/>
    <n v="2"/>
    <s v="Incluye: Cable de Alimentacion (Lampara chica)"/>
    <x v="1"/>
    <n v="13"/>
    <x v="14"/>
    <s v="18:30 hrs"/>
  </r>
  <r>
    <s v="603413"/>
    <n v="511"/>
    <n v="13"/>
    <x v="33"/>
    <x v="29"/>
    <s v="NA"/>
    <x v="6"/>
    <s v="VOLTECK"/>
    <s v="SN"/>
    <s v="SN"/>
    <n v="2"/>
    <s v="Incluye: Cable de Alimentacion (Lampara chica)"/>
    <x v="1"/>
    <n v="13"/>
    <x v="14"/>
    <s v="18:30 hrs"/>
  </r>
  <r>
    <s v="603413"/>
    <n v="512"/>
    <n v="13"/>
    <x v="33"/>
    <x v="29"/>
    <s v="NA"/>
    <x v="6"/>
    <s v="HIPER"/>
    <s v="SN"/>
    <s v="SN"/>
    <n v="2"/>
    <s v="Incluye: Cable de Alimentacion (Lampara chica)"/>
    <x v="1"/>
    <n v="13"/>
    <x v="14"/>
    <s v="18:30 hrs"/>
  </r>
  <r>
    <s v="603413"/>
    <n v="513"/>
    <n v="13"/>
    <x v="33"/>
    <x v="29"/>
    <s v="NA"/>
    <x v="7"/>
    <s v="STEREN"/>
    <s v="SN"/>
    <s v="SN"/>
    <n v="2"/>
    <s v="Incluye: Cable de Alimentacion (Lampara grande)"/>
    <x v="1"/>
    <n v="13"/>
    <x v="14"/>
    <s v="18:30 hrs"/>
  </r>
  <r>
    <s v="603413"/>
    <n v="514"/>
    <n v="13"/>
    <x v="33"/>
    <x v="29"/>
    <s v="NA"/>
    <x v="8"/>
    <s v="SOUNDTRACK"/>
    <s v="isis01200145"/>
    <s v="ISIS01200145"/>
    <n v="12"/>
    <s v="Incluye: 2 Microfonos, Cable extencion Plug. Macho de 6.6mm, 2 Antenas y Eliminador y 2 soportes de microfonos"/>
    <x v="1"/>
    <n v="13"/>
    <x v="14"/>
    <s v="18:30 hrs"/>
  </r>
  <r>
    <s v="603413"/>
    <n v="515"/>
    <n v="13"/>
    <x v="33"/>
    <x v="29"/>
    <s v="NA"/>
    <x v="9"/>
    <s v="SN"/>
    <s v="itaj00100063"/>
    <s v="ITAJ00100063"/>
    <n v="12"/>
    <m/>
    <x v="1"/>
    <n v="13"/>
    <x v="14"/>
    <s v="18:30 hrs"/>
  </r>
  <r>
    <s v="603413"/>
    <n v="517"/>
    <n v="13"/>
    <x v="33"/>
    <x v="29"/>
    <s v="NA"/>
    <x v="10"/>
    <s v="TELMEX"/>
    <s v="itel00101116"/>
    <s v="ITEL00101116"/>
    <n v="12"/>
    <m/>
    <x v="1"/>
    <n v="13"/>
    <x v="14"/>
    <s v="18:30 hrs"/>
  </r>
  <r>
    <s v="603519"/>
    <n v="518"/>
    <n v="13"/>
    <x v="34"/>
    <x v="30"/>
    <s v="NA"/>
    <x v="0"/>
    <s v="STEREN"/>
    <s v="ibaf00100154"/>
    <s v="IBAF00100154"/>
    <n v="12"/>
    <s v="Incluye: Cable de Alimentación,"/>
    <x v="4"/>
    <n v="19"/>
    <x v="5"/>
    <s v="19:00 hrs"/>
  </r>
  <r>
    <s v="603519"/>
    <n v="519"/>
    <n v="13"/>
    <x v="34"/>
    <x v="30"/>
    <s v="NA"/>
    <x v="1"/>
    <s v="SN"/>
    <s v="ibot00100132"/>
    <s v="IBOT00100132"/>
    <n v="12"/>
    <m/>
    <x v="4"/>
    <n v="19"/>
    <x v="5"/>
    <s v="19:00 hrs"/>
  </r>
  <r>
    <s v="603519"/>
    <n v="520"/>
    <n v="13"/>
    <x v="34"/>
    <x v="30"/>
    <s v="NA"/>
    <x v="2"/>
    <s v="SONY"/>
    <s v="ICAM00101729"/>
    <s v="ICAM00101729"/>
    <n v="12"/>
    <s v="Incluye: Memoria de 4GB, Cargador y Pila."/>
    <x v="4"/>
    <n v="19"/>
    <x v="5"/>
    <s v="19:00 hrs"/>
  </r>
  <r>
    <s v="603519"/>
    <n v="521"/>
    <n v="13"/>
    <x v="34"/>
    <x v="30"/>
    <s v="NA"/>
    <x v="3"/>
    <s v="COMBO"/>
    <s v="ieng00100154"/>
    <s v="IENG00100154"/>
    <n v="12"/>
    <m/>
    <x v="4"/>
    <n v="19"/>
    <x v="5"/>
    <s v="19:00 hrs"/>
  </r>
  <r>
    <s v="603519"/>
    <n v="522"/>
    <n v="13"/>
    <x v="34"/>
    <x v="30"/>
    <s v="NA"/>
    <x v="4"/>
    <s v="RADSON"/>
    <s v="SN"/>
    <s v="SN"/>
    <n v="2"/>
    <m/>
    <x v="4"/>
    <n v="19"/>
    <x v="5"/>
    <s v="19:00 hrs"/>
  </r>
  <r>
    <s v="603519"/>
    <n v="523"/>
    <n v="13"/>
    <x v="34"/>
    <x v="30"/>
    <s v="NA"/>
    <x v="5"/>
    <s v="SONY"/>
    <s v="IGRA00100364"/>
    <s v="IGRA00100364"/>
    <n v="12"/>
    <m/>
    <x v="4"/>
    <n v="19"/>
    <x v="5"/>
    <s v="19:00 hrs"/>
  </r>
  <r>
    <s v="603519"/>
    <n v="525"/>
    <n v="13"/>
    <x v="34"/>
    <x v="30"/>
    <s v="NA"/>
    <x v="6"/>
    <s v="SURTEK"/>
    <s v="ilam00101258"/>
    <s v="ILAM00101258"/>
    <n v="12"/>
    <s v="Incluye: Cable de Alimentacion (Lampara chica)"/>
    <x v="4"/>
    <n v="19"/>
    <x v="5"/>
    <s v="19:00 hrs"/>
  </r>
  <r>
    <s v="603519"/>
    <n v="526"/>
    <n v="13"/>
    <x v="34"/>
    <x v="30"/>
    <s v="NA"/>
    <x v="6"/>
    <s v="SURTEK"/>
    <s v="ilam00101296"/>
    <s v="ILAM00101296"/>
    <n v="12"/>
    <s v="Incluye: Cable de Alimentacion (Lampara chica)"/>
    <x v="4"/>
    <n v="19"/>
    <x v="5"/>
    <s v="19:00 hrs"/>
  </r>
  <r>
    <s v="603519"/>
    <n v="527"/>
    <n v="13"/>
    <x v="34"/>
    <x v="30"/>
    <s v="NA"/>
    <x v="6"/>
    <s v="SURTEK"/>
    <s v="ilam00101179"/>
    <s v="ILAM00101179"/>
    <n v="12"/>
    <s v="Incluye: Cable de Alimentacion (Lampara chica)"/>
    <x v="4"/>
    <n v="19"/>
    <x v="5"/>
    <s v="19:00 hrs"/>
  </r>
  <r>
    <s v="603519"/>
    <n v="528"/>
    <n v="13"/>
    <x v="34"/>
    <x v="30"/>
    <s v="NA"/>
    <x v="7"/>
    <s v="STEREN"/>
    <s v="SN"/>
    <s v="SN"/>
    <n v="2"/>
    <s v="Incluye: Cable de Alimentacion (Lampara grande)"/>
    <x v="4"/>
    <n v="19"/>
    <x v="5"/>
    <s v="19:00 hrs"/>
  </r>
  <r>
    <s v="603519"/>
    <n v="529"/>
    <n v="13"/>
    <x v="34"/>
    <x v="30"/>
    <s v="NA"/>
    <x v="8"/>
    <s v="SOUNDTRACK"/>
    <s v="isis01200081"/>
    <s v="ISIS01200081"/>
    <n v="12"/>
    <s v="Incluye: 2 Microfonos, Cable extencion Plug. Macho de 6.6mm, 2 Antenas y Eliminador y 2 soportes de microfonos"/>
    <x v="4"/>
    <n v="19"/>
    <x v="5"/>
    <s v="19:00 hrs"/>
  </r>
  <r>
    <s v="603519"/>
    <n v="530"/>
    <n v="13"/>
    <x v="34"/>
    <x v="30"/>
    <s v="NA"/>
    <x v="9"/>
    <s v="SN"/>
    <s v="itaj00100083"/>
    <s v="ITAJ00100083"/>
    <n v="12"/>
    <m/>
    <x v="4"/>
    <n v="19"/>
    <x v="5"/>
    <s v="19:00 hrs"/>
  </r>
  <r>
    <s v="603519"/>
    <n v="531"/>
    <n v="13"/>
    <x v="34"/>
    <x v="30"/>
    <s v="NA"/>
    <x v="10"/>
    <s v="TELMEX"/>
    <s v="itel00101046"/>
    <s v="ITEL00101046"/>
    <n v="12"/>
    <m/>
    <x v="4"/>
    <n v="19"/>
    <x v="5"/>
    <s v="19:00 hrs"/>
  </r>
  <r>
    <s v="603619"/>
    <n v="533"/>
    <n v="13"/>
    <x v="35"/>
    <x v="31"/>
    <s v="NA"/>
    <x v="0"/>
    <s v="STEREN"/>
    <s v="ibaf00100039"/>
    <s v="IBAF00100039"/>
    <n v="12"/>
    <s v="Incluye: Cable de Alimentación,"/>
    <x v="4"/>
    <n v="19"/>
    <x v="3"/>
    <s v="17:30 hrs"/>
  </r>
  <r>
    <s v="603619"/>
    <n v="534"/>
    <n v="13"/>
    <x v="35"/>
    <x v="31"/>
    <s v="NA"/>
    <x v="1"/>
    <s v="SN"/>
    <s v="ibot00100165"/>
    <s v="IBOT00100165"/>
    <n v="12"/>
    <m/>
    <x v="4"/>
    <n v="19"/>
    <x v="3"/>
    <s v="17:30 hrs"/>
  </r>
  <r>
    <s v="603619"/>
    <n v="535"/>
    <n v="13"/>
    <x v="35"/>
    <x v="31"/>
    <s v="NA"/>
    <x v="2"/>
    <s v="SONY"/>
    <s v="ICAM00101785"/>
    <s v="ICAM00101785"/>
    <n v="12"/>
    <s v="Incluye: Memoria de 4GB, Cargador y Pila."/>
    <x v="4"/>
    <n v="19"/>
    <x v="3"/>
    <s v="17:30 hrs"/>
  </r>
  <r>
    <s v="603619"/>
    <n v="536"/>
    <n v="13"/>
    <x v="35"/>
    <x v="31"/>
    <s v="NA"/>
    <x v="3"/>
    <s v="COMBO"/>
    <s v="ieng00100174"/>
    <s v="IENG00100174"/>
    <n v="12"/>
    <m/>
    <x v="4"/>
    <n v="19"/>
    <x v="3"/>
    <s v="17:30 hrs"/>
  </r>
  <r>
    <s v="603619"/>
    <n v="537"/>
    <n v="13"/>
    <x v="35"/>
    <x v="31"/>
    <s v="NA"/>
    <x v="4"/>
    <s v="RADSON"/>
    <s v="IAM00100088"/>
    <s v="IAM00100088"/>
    <n v="11"/>
    <m/>
    <x v="4"/>
    <n v="19"/>
    <x v="3"/>
    <s v="17:30 hrs"/>
  </r>
  <r>
    <s v="603619"/>
    <n v="538"/>
    <n v="13"/>
    <x v="35"/>
    <x v="31"/>
    <s v="NA"/>
    <x v="5"/>
    <s v="SONY"/>
    <s v="IGRA00100374"/>
    <s v="IGRA00100374"/>
    <n v="12"/>
    <m/>
    <x v="4"/>
    <n v="19"/>
    <x v="3"/>
    <s v="17:30 hrs"/>
  </r>
  <r>
    <s v="603619"/>
    <n v="539"/>
    <n v="13"/>
    <x v="35"/>
    <x v="31"/>
    <s v="NA"/>
    <x v="6"/>
    <s v="SURTEK"/>
    <s v="ILAM00101150"/>
    <s v="ILAM00101150"/>
    <n v="12"/>
    <s v="Incluye: Cable de Alimentacion (Lampara chica)"/>
    <x v="4"/>
    <n v="19"/>
    <x v="3"/>
    <s v="17:30 hrs"/>
  </r>
  <r>
    <s v="603619"/>
    <n v="541"/>
    <n v="13"/>
    <x v="35"/>
    <x v="31"/>
    <s v="NA"/>
    <x v="6"/>
    <s v="SURTEK"/>
    <s v="ilam00101144"/>
    <s v="ILAM00101144"/>
    <n v="12"/>
    <s v="Incluye: Cable de Alimentacion (Lampara chica)"/>
    <x v="4"/>
    <n v="19"/>
    <x v="3"/>
    <s v="17:30 hrs"/>
  </r>
  <r>
    <s v="603619"/>
    <n v="542"/>
    <n v="13"/>
    <x v="35"/>
    <x v="31"/>
    <s v="NA"/>
    <x v="6"/>
    <s v="SURTEK"/>
    <s v="ilam00101149"/>
    <s v="ILAM00101149"/>
    <n v="12"/>
    <s v="Incluye: Cable de Alimentacion (Lampara chica)"/>
    <x v="4"/>
    <n v="19"/>
    <x v="3"/>
    <s v="17:30 hrs"/>
  </r>
  <r>
    <s v="603619"/>
    <n v="543"/>
    <n v="13"/>
    <x v="35"/>
    <x v="31"/>
    <s v="NA"/>
    <x v="7"/>
    <s v="STEREN"/>
    <s v="SN"/>
    <s v="SN"/>
    <n v="2"/>
    <s v="Incluye: Cable de Alimentacion (Lampara grande)"/>
    <x v="4"/>
    <n v="19"/>
    <x v="3"/>
    <s v="17:30 hrs"/>
  </r>
  <r>
    <s v="603619"/>
    <n v="544"/>
    <n v="13"/>
    <x v="35"/>
    <x v="31"/>
    <s v="NA"/>
    <x v="8"/>
    <s v="SOUNDTRACK"/>
    <s v="isis01200175"/>
    <s v="ISIS01200175"/>
    <n v="12"/>
    <s v="Incluye: 2 Microfonos, Cable extencion Plug. Macho de 6.6mm, 2 Antenas y Eliminador y 2 soportes de microfonos"/>
    <x v="4"/>
    <n v="19"/>
    <x v="3"/>
    <s v="17:30 hrs"/>
  </r>
  <r>
    <s v="603619"/>
    <n v="545"/>
    <n v="13"/>
    <x v="35"/>
    <x v="31"/>
    <s v="NA"/>
    <x v="9"/>
    <s v="SN"/>
    <s v="itaj00100156"/>
    <s v="ITAJ00100156"/>
    <n v="12"/>
    <m/>
    <x v="4"/>
    <n v="19"/>
    <x v="3"/>
    <s v="17:30 hrs"/>
  </r>
  <r>
    <s v="603619"/>
    <n v="546"/>
    <n v="13"/>
    <x v="35"/>
    <x v="31"/>
    <s v="NA"/>
    <x v="10"/>
    <s v="TELMEX"/>
    <s v="ITEL00100910"/>
    <s v="ITEL00100910"/>
    <n v="12"/>
    <m/>
    <x v="4"/>
    <n v="19"/>
    <x v="3"/>
    <s v="17:30 hrs"/>
  </r>
  <r>
    <s v="603720"/>
    <n v="547"/>
    <n v="13"/>
    <x v="36"/>
    <x v="16"/>
    <s v="NA"/>
    <x v="0"/>
    <s v="STEREN"/>
    <s v="ibaf00100073"/>
    <s v="IBAF00100073"/>
    <n v="12"/>
    <s v="Incluye: Cable de Alimentación,"/>
    <x v="3"/>
    <n v="20"/>
    <x v="15"/>
    <s v="13:30 hrs"/>
  </r>
  <r>
    <s v="603720"/>
    <n v="549"/>
    <n v="13"/>
    <x v="36"/>
    <x v="16"/>
    <s v="NA"/>
    <x v="1"/>
    <s v="SN"/>
    <s v="ibot00100062"/>
    <s v="IBOT00100062"/>
    <n v="12"/>
    <m/>
    <x v="3"/>
    <n v="20"/>
    <x v="15"/>
    <s v="13:30 hrs"/>
  </r>
  <r>
    <s v="603720"/>
    <n v="550"/>
    <n v="13"/>
    <x v="36"/>
    <x v="16"/>
    <s v="NA"/>
    <x v="2"/>
    <s v="SONY"/>
    <s v="ICAM00101730"/>
    <s v="ICAM00101730"/>
    <n v="12"/>
    <s v="Incluye: Memoria de 4GB, Cargador y Pila."/>
    <x v="3"/>
    <n v="20"/>
    <x v="15"/>
    <s v="13:30 hrs"/>
  </r>
  <r>
    <s v="603720"/>
    <n v="551"/>
    <n v="13"/>
    <x v="36"/>
    <x v="16"/>
    <s v="NA"/>
    <x v="3"/>
    <s v="COMBO"/>
    <s v="ieng00100205"/>
    <s v="IENG00100205"/>
    <n v="12"/>
    <m/>
    <x v="3"/>
    <n v="20"/>
    <x v="15"/>
    <s v="13:30 hrs"/>
  </r>
  <r>
    <s v="603720"/>
    <n v="552"/>
    <n v="13"/>
    <x v="36"/>
    <x v="16"/>
    <s v="NA"/>
    <x v="4"/>
    <s v="RADSON"/>
    <s v="SN"/>
    <s v="SN"/>
    <n v="2"/>
    <m/>
    <x v="3"/>
    <n v="20"/>
    <x v="15"/>
    <s v="13:30 hrs"/>
  </r>
  <r>
    <s v="603720"/>
    <n v="553"/>
    <n v="13"/>
    <x v="36"/>
    <x v="16"/>
    <s v="NA"/>
    <x v="5"/>
    <s v="SONY"/>
    <s v="IGRA00100304"/>
    <s v="IGRA00100304"/>
    <n v="12"/>
    <m/>
    <x v="3"/>
    <n v="20"/>
    <x v="15"/>
    <s v="13:30 hrs"/>
  </r>
  <r>
    <s v="603720"/>
    <n v="554"/>
    <n v="13"/>
    <x v="36"/>
    <x v="16"/>
    <s v="NA"/>
    <x v="6"/>
    <s v="SURTEK"/>
    <s v="ilam00101190"/>
    <s v="ILAM00101190"/>
    <n v="12"/>
    <s v="Incluye: Cable de Alimentacion (Lampara chica)"/>
    <x v="3"/>
    <n v="20"/>
    <x v="15"/>
    <s v="13:30 hrs"/>
  </r>
  <r>
    <s v="603720"/>
    <n v="555"/>
    <n v="13"/>
    <x v="36"/>
    <x v="16"/>
    <s v="NA"/>
    <x v="6"/>
    <s v="SURTEK"/>
    <s v="ilam00101113"/>
    <s v="ILAM00101113"/>
    <n v="12"/>
    <s v="Incluye: Cable de Alimentacion (Lampara chica)"/>
    <x v="3"/>
    <n v="20"/>
    <x v="15"/>
    <s v="13:30 hrs"/>
  </r>
  <r>
    <s v="603720"/>
    <n v="556"/>
    <n v="13"/>
    <x v="36"/>
    <x v="16"/>
    <s v="NA"/>
    <x v="6"/>
    <s v="SURTEK"/>
    <s v="ilam00101132"/>
    <s v="ILAM00101132"/>
    <n v="12"/>
    <s v="Incluye: Cable de Alimentacion (Lampara chica)"/>
    <x v="3"/>
    <n v="20"/>
    <x v="15"/>
    <s v="13:30 hrs"/>
  </r>
  <r>
    <s v="603720"/>
    <n v="558"/>
    <n v="13"/>
    <x v="36"/>
    <x v="16"/>
    <s v="NA"/>
    <x v="7"/>
    <s v="STEREN"/>
    <s v="SN"/>
    <s v="SN"/>
    <n v="2"/>
    <s v="Incluye: Cable de Alimentacion (Lampara grande)"/>
    <x v="3"/>
    <n v="20"/>
    <x v="15"/>
    <s v="13:30 hrs"/>
  </r>
  <r>
    <s v="603720"/>
    <n v="559"/>
    <n v="13"/>
    <x v="36"/>
    <x v="16"/>
    <s v="NA"/>
    <x v="8"/>
    <s v="SOUNDTRACK"/>
    <s v="isis01200137"/>
    <s v="ISIS01200137"/>
    <n v="12"/>
    <s v="Incluye: 2 Microfonos, Cable extencion Plug. Macho de 6.6mm, 2 Antenas y Eliminador y 2 soportes de microfonos"/>
    <x v="3"/>
    <n v="20"/>
    <x v="15"/>
    <s v="13:30 hrs"/>
  </r>
  <r>
    <s v="603720"/>
    <n v="560"/>
    <n v="13"/>
    <x v="36"/>
    <x v="16"/>
    <s v="NA"/>
    <x v="9"/>
    <s v="SN"/>
    <s v="itaj00100105"/>
    <s v="ITAJ00100105"/>
    <n v="12"/>
    <m/>
    <x v="3"/>
    <n v="20"/>
    <x v="15"/>
    <s v="13:30 hrs"/>
  </r>
  <r>
    <s v="603720"/>
    <n v="561"/>
    <n v="13"/>
    <x v="36"/>
    <x v="16"/>
    <s v="NA"/>
    <x v="10"/>
    <s v="TELMEX"/>
    <s v="itel00100311"/>
    <s v="ITEL00100311"/>
    <n v="12"/>
    <m/>
    <x v="3"/>
    <n v="20"/>
    <x v="15"/>
    <s v="13:30 hrs"/>
  </r>
  <r>
    <s v="603834"/>
    <n v="562"/>
    <n v="13"/>
    <x v="37"/>
    <x v="32"/>
    <s v="NA"/>
    <x v="0"/>
    <s v="STEREN"/>
    <s v="ibaf00100157"/>
    <s v="IBAF00100157"/>
    <n v="12"/>
    <s v="Incluye: Cable de Alimentación,"/>
    <x v="5"/>
    <n v="34"/>
    <x v="15"/>
    <s v="15:00 hrs"/>
  </r>
  <r>
    <s v="603834"/>
    <n v="563"/>
    <n v="13"/>
    <x v="37"/>
    <x v="32"/>
    <s v="NA"/>
    <x v="1"/>
    <s v="SN"/>
    <s v="ibot00100143"/>
    <s v="IBOT00100143"/>
    <n v="12"/>
    <m/>
    <x v="5"/>
    <n v="34"/>
    <x v="15"/>
    <s v="15:00 hrs"/>
  </r>
  <r>
    <s v="603834"/>
    <n v="564"/>
    <n v="13"/>
    <x v="37"/>
    <x v="32"/>
    <s v="NA"/>
    <x v="2"/>
    <s v="SONY"/>
    <s v="ICAM00101788"/>
    <s v="ICAM00101788"/>
    <n v="12"/>
    <s v="Incluye: Memoria de 4GB, Cargador y Pila."/>
    <x v="5"/>
    <n v="34"/>
    <x v="15"/>
    <s v="15:00 hrs"/>
  </r>
  <r>
    <s v="603834"/>
    <n v="566"/>
    <n v="13"/>
    <x v="37"/>
    <x v="32"/>
    <s v="NA"/>
    <x v="3"/>
    <s v="COMBO"/>
    <s v="ieng00100257"/>
    <s v="IENG00100257"/>
    <n v="12"/>
    <m/>
    <x v="5"/>
    <n v="34"/>
    <x v="15"/>
    <s v="15:00 hrs"/>
  </r>
  <r>
    <s v="603834"/>
    <n v="567"/>
    <n v="13"/>
    <x v="37"/>
    <x v="32"/>
    <s v="NA"/>
    <x v="4"/>
    <s v="RADSON"/>
    <s v="iamp00100043"/>
    <s v="IAMP00100043"/>
    <n v="12"/>
    <m/>
    <x v="5"/>
    <n v="34"/>
    <x v="15"/>
    <s v="15:00 hrs"/>
  </r>
  <r>
    <s v="603834"/>
    <n v="568"/>
    <n v="13"/>
    <x v="37"/>
    <x v="32"/>
    <s v="NA"/>
    <x v="5"/>
    <s v="SONY"/>
    <s v="IGRA00100394"/>
    <s v="IGRA00100394"/>
    <n v="12"/>
    <m/>
    <x v="5"/>
    <n v="34"/>
    <x v="15"/>
    <s v="15:00 hrs"/>
  </r>
  <r>
    <s v="603834"/>
    <n v="569"/>
    <n v="13"/>
    <x v="37"/>
    <x v="32"/>
    <s v="NA"/>
    <x v="6"/>
    <s v="SURTEK"/>
    <s v="ilam00100877"/>
    <s v="ILAM00100877"/>
    <n v="12"/>
    <s v="Incluye: Cable de Alimentacion (Lampara chica)"/>
    <x v="5"/>
    <n v="34"/>
    <x v="15"/>
    <s v="15:00 hrs"/>
  </r>
  <r>
    <s v="603834"/>
    <n v="570"/>
    <n v="13"/>
    <x v="37"/>
    <x v="32"/>
    <s v="NA"/>
    <x v="6"/>
    <s v="SURTEK"/>
    <s v="ilam00101318"/>
    <s v="ILAM00101318"/>
    <n v="12"/>
    <s v="Incluye: Cable de Alimentacion (Lampara chica)"/>
    <x v="5"/>
    <n v="34"/>
    <x v="15"/>
    <s v="15:00 hrs"/>
  </r>
  <r>
    <s v="603834"/>
    <n v="571"/>
    <n v="13"/>
    <x v="37"/>
    <x v="32"/>
    <s v="NA"/>
    <x v="6"/>
    <s v="SURTEK"/>
    <s v="ilam00101209"/>
    <s v="ILAM00101209"/>
    <n v="12"/>
    <s v="Incluye: Cable de Alimentacion (Lampara chica)"/>
    <x v="5"/>
    <n v="34"/>
    <x v="15"/>
    <s v="15:00 hrs"/>
  </r>
  <r>
    <s v="603834"/>
    <n v="572"/>
    <n v="13"/>
    <x v="37"/>
    <x v="32"/>
    <s v="NA"/>
    <x v="7"/>
    <s v="STEREN"/>
    <s v="SN"/>
    <s v="SN"/>
    <n v="2"/>
    <s v="Incluye: Cable de Alimentacion (Lampara grande)"/>
    <x v="5"/>
    <n v="34"/>
    <x v="15"/>
    <s v="15:00 hrs"/>
  </r>
  <r>
    <s v="603834"/>
    <n v="574"/>
    <n v="13"/>
    <x v="37"/>
    <x v="32"/>
    <s v="NA"/>
    <x v="8"/>
    <s v="SOUNDTRACK"/>
    <s v="isis01200050"/>
    <s v="ISIS01200050"/>
    <n v="12"/>
    <s v="Incluye: 2 Microfonos, Cable extencion Plug. Macho de 6.6mm, 2 Antenas y Eliminador y 2 soportes de microfonos"/>
    <x v="5"/>
    <n v="34"/>
    <x v="15"/>
    <s v="15:00 hrs"/>
  </r>
  <r>
    <s v="603834"/>
    <n v="575"/>
    <n v="13"/>
    <x v="37"/>
    <x v="32"/>
    <s v="NA"/>
    <x v="9"/>
    <s v="SN"/>
    <s v="ITAJ00100101"/>
    <s v="ITAJ00100101"/>
    <n v="12"/>
    <m/>
    <x v="5"/>
    <n v="34"/>
    <x v="15"/>
    <s v="15:00 hrs"/>
  </r>
  <r>
    <s v="603834"/>
    <n v="576"/>
    <n v="13"/>
    <x v="37"/>
    <x v="32"/>
    <s v="NA"/>
    <x v="10"/>
    <s v="TELMEX"/>
    <s v="itel00100806"/>
    <s v="ITEL00100806"/>
    <n v="12"/>
    <m/>
    <x v="5"/>
    <n v="34"/>
    <x v="15"/>
    <s v="15:00 hrs"/>
  </r>
  <r>
    <s v="603922"/>
    <n v="577"/>
    <n v="13"/>
    <x v="38"/>
    <x v="33"/>
    <s v="NA"/>
    <x v="0"/>
    <s v="STEREN"/>
    <s v="ibaf00100166"/>
    <s v="IBAF00100166"/>
    <n v="12"/>
    <s v="Incluye: Cable de Alimentación,"/>
    <x v="3"/>
    <n v="22"/>
    <x v="11"/>
    <s v="13:00 hrs"/>
  </r>
  <r>
    <s v="603922"/>
    <n v="578"/>
    <n v="13"/>
    <x v="38"/>
    <x v="33"/>
    <s v="NA"/>
    <x v="1"/>
    <s v="SN"/>
    <s v="ibot00100129"/>
    <s v="IBOT00100129"/>
    <n v="12"/>
    <m/>
    <x v="3"/>
    <n v="22"/>
    <x v="11"/>
    <s v="13:00 hrs"/>
  </r>
  <r>
    <s v="603922"/>
    <n v="579"/>
    <n v="13"/>
    <x v="38"/>
    <x v="33"/>
    <s v="NA"/>
    <x v="2"/>
    <s v="SONY"/>
    <s v="ICAM00101751"/>
    <s v="ICAM00101751"/>
    <n v="12"/>
    <s v="Incluye: Memoria de 4GB, Cargador y Pila."/>
    <x v="3"/>
    <n v="22"/>
    <x v="11"/>
    <s v="13:00 hrs"/>
  </r>
  <r>
    <s v="603922"/>
    <n v="580"/>
    <n v="13"/>
    <x v="38"/>
    <x v="33"/>
    <s v="NA"/>
    <x v="3"/>
    <s v="COMBO"/>
    <s v="ieng00100002"/>
    <s v="IENG00100002"/>
    <n v="12"/>
    <m/>
    <x v="3"/>
    <n v="22"/>
    <x v="11"/>
    <s v="13:00 hrs"/>
  </r>
  <r>
    <s v="603922"/>
    <n v="582"/>
    <n v="13"/>
    <x v="38"/>
    <x v="33"/>
    <s v="NA"/>
    <x v="4"/>
    <s v="RADSON"/>
    <s v="SN"/>
    <s v="SN"/>
    <n v="2"/>
    <m/>
    <x v="3"/>
    <n v="22"/>
    <x v="11"/>
    <s v="13:00 hrs"/>
  </r>
  <r>
    <s v="603922"/>
    <n v="583"/>
    <n v="13"/>
    <x v="38"/>
    <x v="33"/>
    <s v="NA"/>
    <x v="5"/>
    <s v="SONY"/>
    <s v="IGRA00100372"/>
    <s v="IGRA00100372"/>
    <n v="12"/>
    <m/>
    <x v="3"/>
    <n v="22"/>
    <x v="11"/>
    <s v="13:00 hrs"/>
  </r>
  <r>
    <s v="603922"/>
    <n v="584"/>
    <n v="13"/>
    <x v="38"/>
    <x v="33"/>
    <s v="NA"/>
    <x v="6"/>
    <s v="SURTEK"/>
    <s v="ilam00100893"/>
    <s v="ILAM00100893"/>
    <n v="12"/>
    <s v="Incluye: Cable de Alimentacion (Lampara chica)"/>
    <x v="3"/>
    <n v="22"/>
    <x v="11"/>
    <s v="13:00 hrs"/>
  </r>
  <r>
    <s v="603922"/>
    <n v="585"/>
    <n v="13"/>
    <x v="38"/>
    <x v="33"/>
    <s v="NA"/>
    <x v="6"/>
    <s v="SURTEK"/>
    <s v="ilam00101341"/>
    <s v="ILAM00101341"/>
    <n v="12"/>
    <s v="Incluye: Cable de Alimentacion (Lampara chica)"/>
    <x v="3"/>
    <n v="22"/>
    <x v="11"/>
    <s v="13:00 hrs"/>
  </r>
  <r>
    <s v="603922"/>
    <n v="586"/>
    <n v="13"/>
    <x v="38"/>
    <x v="33"/>
    <s v="NA"/>
    <x v="6"/>
    <s v="SURTEK"/>
    <s v="ilam00101141"/>
    <s v="ILAM00101141"/>
    <n v="12"/>
    <s v="Incluye: Cable de Alimentacion (Lampara chica)"/>
    <x v="3"/>
    <n v="22"/>
    <x v="11"/>
    <s v="13:00 hrs"/>
  </r>
  <r>
    <s v="603922"/>
    <n v="587"/>
    <n v="13"/>
    <x v="38"/>
    <x v="33"/>
    <s v="NA"/>
    <x v="7"/>
    <s v="STEREN"/>
    <s v="SN"/>
    <s v="SN"/>
    <n v="2"/>
    <s v="Incluye: Cable de Alimentacion (Lampara grande)"/>
    <x v="3"/>
    <n v="22"/>
    <x v="11"/>
    <s v="13:00 hrs"/>
  </r>
  <r>
    <s v="603922"/>
    <n v="588"/>
    <n v="13"/>
    <x v="38"/>
    <x v="33"/>
    <s v="NA"/>
    <x v="8"/>
    <s v="SOUNDTRACK"/>
    <s v="isis01200201"/>
    <s v="ISIS01200201"/>
    <n v="12"/>
    <s v="Incluye: 2 Microfonos, Cable extencion Plug. Macho de 6.6mm, 2 Antenas y Eliminador y 2 soportes de microfonos"/>
    <x v="3"/>
    <n v="22"/>
    <x v="11"/>
    <s v="13:00 hrs"/>
  </r>
  <r>
    <s v="603922"/>
    <n v="590"/>
    <n v="13"/>
    <x v="38"/>
    <x v="33"/>
    <s v="NA"/>
    <x v="9"/>
    <s v="SN"/>
    <s v="itaj00100173"/>
    <s v="ITAJ00100173"/>
    <n v="12"/>
    <m/>
    <x v="3"/>
    <n v="22"/>
    <x v="11"/>
    <s v="13:00 hrs"/>
  </r>
  <r>
    <s v="603922"/>
    <n v="591"/>
    <n v="13"/>
    <x v="38"/>
    <x v="33"/>
    <s v="NA"/>
    <x v="10"/>
    <s v="TELMEX"/>
    <s v="itel00101001"/>
    <s v="ITEL00101001"/>
    <n v="12"/>
    <m/>
    <x v="3"/>
    <n v="22"/>
    <x v="11"/>
    <s v="13:00 hrs"/>
  </r>
  <r>
    <s v="60401"/>
    <n v="592"/>
    <n v="13"/>
    <x v="39"/>
    <x v="34"/>
    <s v="NA"/>
    <x v="0"/>
    <s v="STEREN"/>
    <s v="ibaf00100045"/>
    <s v="IBAF00100045"/>
    <n v="12"/>
    <s v="Incluye: Cable de Alimentación,"/>
    <x v="2"/>
    <n v="1"/>
    <x v="11"/>
    <s v="16:30 hrs"/>
  </r>
  <r>
    <s v="60401"/>
    <n v="593"/>
    <n v="13"/>
    <x v="39"/>
    <x v="34"/>
    <s v="NA"/>
    <x v="1"/>
    <s v="SN"/>
    <s v="ibot00100051"/>
    <s v="IBOT00100051"/>
    <n v="12"/>
    <m/>
    <x v="2"/>
    <n v="1"/>
    <x v="11"/>
    <s v="16:30 hrs"/>
  </r>
  <r>
    <s v="60401"/>
    <n v="594"/>
    <n v="13"/>
    <x v="39"/>
    <x v="34"/>
    <s v="NA"/>
    <x v="2"/>
    <s v="SONY"/>
    <s v="ICAM00101762"/>
    <s v="ICAM00101762"/>
    <n v="12"/>
    <s v="Incluye: Memoria de 4GB, Cargador y Pila."/>
    <x v="2"/>
    <n v="1"/>
    <x v="11"/>
    <s v="16:30 hrs"/>
  </r>
  <r>
    <s v="60401"/>
    <n v="595"/>
    <n v="13"/>
    <x v="39"/>
    <x v="34"/>
    <s v="NA"/>
    <x v="3"/>
    <s v="COMBO"/>
    <s v="IENG00100251"/>
    <s v="IENG00100251"/>
    <n v="12"/>
    <m/>
    <x v="2"/>
    <n v="1"/>
    <x v="11"/>
    <s v="16:30 hrs"/>
  </r>
  <r>
    <s v="60401"/>
    <n v="596"/>
    <n v="13"/>
    <x v="39"/>
    <x v="34"/>
    <s v="NA"/>
    <x v="4"/>
    <s v="RADSON"/>
    <s v="SN"/>
    <s v="SN"/>
    <n v="2"/>
    <m/>
    <x v="2"/>
    <n v="1"/>
    <x v="11"/>
    <s v="16:30 hrs"/>
  </r>
  <r>
    <s v="60401"/>
    <n v="598"/>
    <n v="13"/>
    <x v="39"/>
    <x v="34"/>
    <s v="NA"/>
    <x v="5"/>
    <s v="SONY"/>
    <s v="IGRA00100383"/>
    <s v="IGRA00100383"/>
    <n v="12"/>
    <m/>
    <x v="2"/>
    <n v="1"/>
    <x v="11"/>
    <s v="16:30 hrs"/>
  </r>
  <r>
    <s v="60401"/>
    <n v="599"/>
    <n v="13"/>
    <x v="39"/>
    <x v="34"/>
    <s v="NA"/>
    <x v="6"/>
    <s v="SURTEK"/>
    <s v="ilam00101299"/>
    <s v="ILAM00101299"/>
    <n v="12"/>
    <s v="Incluye: Cable de Alimentacion (Lampara chica)"/>
    <x v="2"/>
    <n v="1"/>
    <x v="11"/>
    <s v="16:30 hrs"/>
  </r>
  <r>
    <s v="60401"/>
    <n v="600"/>
    <n v="13"/>
    <x v="39"/>
    <x v="34"/>
    <s v="NA"/>
    <x v="6"/>
    <s v="SURTEK"/>
    <s v="ilam00101281"/>
    <s v="ILAM00101281"/>
    <n v="12"/>
    <s v="Incluye: Cable de Alimentacion (Lampara chica)"/>
    <x v="2"/>
    <n v="1"/>
    <x v="11"/>
    <s v="16:30 hrs"/>
  </r>
  <r>
    <s v="60401"/>
    <n v="601"/>
    <n v="13"/>
    <x v="39"/>
    <x v="34"/>
    <s v="NA"/>
    <x v="6"/>
    <s v="SURTEK"/>
    <s v="ilam00101211"/>
    <s v="ILAM00101211"/>
    <n v="12"/>
    <s v="Incluye: Cable de Alimentacion (Lampara chica)"/>
    <x v="2"/>
    <n v="1"/>
    <x v="11"/>
    <s v="16:30 hrs"/>
  </r>
  <r>
    <s v="60401"/>
    <n v="602"/>
    <n v="13"/>
    <x v="39"/>
    <x v="34"/>
    <s v="NA"/>
    <x v="7"/>
    <s v="STEREN"/>
    <s v="SN"/>
    <s v="SN"/>
    <n v="2"/>
    <s v="Incluye: Cable de Alimentacion (Lampara grande)"/>
    <x v="2"/>
    <n v="1"/>
    <x v="11"/>
    <s v="16:30 hrs"/>
  </r>
  <r>
    <s v="60401"/>
    <n v="603"/>
    <n v="13"/>
    <x v="39"/>
    <x v="34"/>
    <s v="NA"/>
    <x v="8"/>
    <s v="SOUNDTRACK"/>
    <s v="isis01200107"/>
    <s v="ISIS01200107"/>
    <n v="12"/>
    <s v="Incluye: 2 Microfonos, Cable extencion Plug. Macho de 6.6mm, 2 Antenas y Eliminador y 2 soportes de microfonos"/>
    <x v="2"/>
    <n v="1"/>
    <x v="11"/>
    <s v="16:30 hrs"/>
  </r>
  <r>
    <s v="60401"/>
    <n v="604"/>
    <n v="13"/>
    <x v="39"/>
    <x v="34"/>
    <s v="NA"/>
    <x v="9"/>
    <s v="SN"/>
    <s v="ITAJ00100054"/>
    <s v="ITAJ00100054"/>
    <n v="12"/>
    <m/>
    <x v="2"/>
    <n v="1"/>
    <x v="11"/>
    <s v="16:30 hrs"/>
  </r>
  <r>
    <s v="60401"/>
    <n v="606"/>
    <n v="13"/>
    <x v="39"/>
    <x v="34"/>
    <s v="NA"/>
    <x v="10"/>
    <s v="TELMEX"/>
    <s v="itel00100769"/>
    <s v="ITEL00100769"/>
    <n v="12"/>
    <m/>
    <x v="2"/>
    <n v="1"/>
    <x v="11"/>
    <s v="16:30 hrs"/>
  </r>
  <r>
    <s v="60414"/>
    <n v="607"/>
    <n v="13"/>
    <x v="40"/>
    <x v="35"/>
    <s v="NA"/>
    <x v="0"/>
    <s v="STEREN"/>
    <s v="IBAF00100101"/>
    <s v="IBAF00100101"/>
    <n v="12"/>
    <s v="Incluye: Cable de Alimentación,"/>
    <x v="2"/>
    <n v="4"/>
    <x v="8"/>
    <s v="18:00 hrs"/>
  </r>
  <r>
    <s v="60414"/>
    <n v="608"/>
    <n v="13"/>
    <x v="40"/>
    <x v="35"/>
    <s v="NA"/>
    <x v="1"/>
    <s v="SN"/>
    <s v="ibot00100045"/>
    <s v="IBOT00100045"/>
    <n v="12"/>
    <m/>
    <x v="2"/>
    <n v="4"/>
    <x v="8"/>
    <s v="18:00 hrs"/>
  </r>
  <r>
    <s v="60414"/>
    <n v="609"/>
    <n v="13"/>
    <x v="40"/>
    <x v="35"/>
    <s v="NA"/>
    <x v="2"/>
    <s v="SONY"/>
    <s v="ICAM00101773"/>
    <s v="ICAM00101773"/>
    <n v="12"/>
    <s v="Incluye: Memoria de 4GB, Cargador y Pila."/>
    <x v="2"/>
    <n v="4"/>
    <x v="8"/>
    <s v="18:00 hrs"/>
  </r>
  <r>
    <s v="60414"/>
    <n v="610"/>
    <n v="13"/>
    <x v="40"/>
    <x v="35"/>
    <s v="NA"/>
    <x v="3"/>
    <s v="COMBO"/>
    <s v="ieng00100206"/>
    <s v="IENG00100206"/>
    <n v="12"/>
    <m/>
    <x v="2"/>
    <n v="4"/>
    <x v="8"/>
    <s v="18:00 hrs"/>
  </r>
  <r>
    <s v="60414"/>
    <n v="611"/>
    <n v="13"/>
    <x v="40"/>
    <x v="35"/>
    <s v="NA"/>
    <x v="4"/>
    <s v="RADSON"/>
    <s v="iamp00100102"/>
    <s v="IAMP00100102"/>
    <n v="12"/>
    <m/>
    <x v="2"/>
    <n v="4"/>
    <x v="8"/>
    <s v="18:00 hrs"/>
  </r>
  <r>
    <s v="60414"/>
    <n v="612"/>
    <n v="13"/>
    <x v="40"/>
    <x v="35"/>
    <s v="NA"/>
    <x v="5"/>
    <s v="SONY"/>
    <s v="IGRA00100334"/>
    <s v="IGRA00100334"/>
    <n v="12"/>
    <m/>
    <x v="2"/>
    <n v="4"/>
    <x v="8"/>
    <s v="18:00 hrs"/>
  </r>
  <r>
    <s v="60414"/>
    <n v="614"/>
    <n v="13"/>
    <x v="40"/>
    <x v="35"/>
    <s v="NA"/>
    <x v="6"/>
    <s v="SURTEK"/>
    <s v="ilam00101170"/>
    <s v="ILAM00101170"/>
    <n v="12"/>
    <s v="Incluye: Cable de Alimentacion (Lampara chica)"/>
    <x v="2"/>
    <n v="4"/>
    <x v="8"/>
    <s v="18:00 hrs"/>
  </r>
  <r>
    <s v="60414"/>
    <n v="615"/>
    <n v="13"/>
    <x v="40"/>
    <x v="35"/>
    <s v="NA"/>
    <x v="6"/>
    <s v="SURTEK"/>
    <s v="ilam00101163"/>
    <s v="ILAM00101163"/>
    <n v="12"/>
    <s v="Incluye: Cable de Alimentacion (Lampara chica)"/>
    <x v="2"/>
    <n v="4"/>
    <x v="8"/>
    <s v="18:00 hrs"/>
  </r>
  <r>
    <s v="60414"/>
    <n v="616"/>
    <n v="13"/>
    <x v="40"/>
    <x v="35"/>
    <s v="NA"/>
    <x v="6"/>
    <s v="SURTEK"/>
    <s v="ilam00101137"/>
    <s v="ILAM00101137"/>
    <n v="12"/>
    <s v="Incluye: Cable de Alimentacion (Lampara chica)"/>
    <x v="2"/>
    <n v="4"/>
    <x v="8"/>
    <s v="18:00 hrs"/>
  </r>
  <r>
    <s v="60414"/>
    <n v="617"/>
    <n v="13"/>
    <x v="40"/>
    <x v="35"/>
    <s v="NA"/>
    <x v="7"/>
    <s v="STEREN"/>
    <s v="SN"/>
    <s v="SN"/>
    <n v="2"/>
    <s v="Incluye: Cable de Alimentacion (Lampara grande)"/>
    <x v="2"/>
    <n v="4"/>
    <x v="8"/>
    <s v="18:00 hrs"/>
  </r>
  <r>
    <s v="60414"/>
    <n v="618"/>
    <n v="13"/>
    <x v="40"/>
    <x v="35"/>
    <s v="NA"/>
    <x v="8"/>
    <s v="SOUNDTRACK"/>
    <s v="isis01200139"/>
    <s v="ISIS01200139"/>
    <n v="12"/>
    <s v="Incluye: 2 Microfonos, Cable extencion Plug. Macho de 6.6mm, 2 Antenas y Eliminador y 2 soportes de microfonos"/>
    <x v="2"/>
    <n v="4"/>
    <x v="8"/>
    <s v="18:00 hrs"/>
  </r>
  <r>
    <s v="60414"/>
    <n v="619"/>
    <n v="13"/>
    <x v="40"/>
    <x v="35"/>
    <s v="NA"/>
    <x v="9"/>
    <s v="SN"/>
    <s v="itaj00100100"/>
    <s v="ITAJ00100100"/>
    <n v="12"/>
    <m/>
    <x v="2"/>
    <n v="4"/>
    <x v="8"/>
    <s v="18:00 hrs"/>
  </r>
  <r>
    <s v="60414"/>
    <n v="620"/>
    <n v="13"/>
    <x v="40"/>
    <x v="35"/>
    <s v="NA"/>
    <x v="10"/>
    <s v="TELMEX"/>
    <s v="itel00100994"/>
    <s v="ITEL00100994"/>
    <n v="12"/>
    <m/>
    <x v="2"/>
    <n v="4"/>
    <x v="8"/>
    <s v="18:00 hrs"/>
  </r>
  <r>
    <s v="604216"/>
    <n v="622"/>
    <n v="13"/>
    <x v="41"/>
    <x v="5"/>
    <s v="NA"/>
    <x v="0"/>
    <s v="STEREN"/>
    <s v="ibaf00100040"/>
    <s v="IBAF00100040"/>
    <n v="12"/>
    <s v="Incluye: Cable de Alimentación,"/>
    <x v="4"/>
    <n v="16"/>
    <x v="15"/>
    <s v="13:30 hrs"/>
  </r>
  <r>
    <s v="604216"/>
    <n v="623"/>
    <n v="13"/>
    <x v="41"/>
    <x v="5"/>
    <s v="NA"/>
    <x v="1"/>
    <s v="SN"/>
    <s v="ibot00100091"/>
    <s v="IBOT00100091"/>
    <n v="12"/>
    <m/>
    <x v="4"/>
    <n v="16"/>
    <x v="15"/>
    <s v="13:30 hrs"/>
  </r>
  <r>
    <s v="604216"/>
    <n v="624"/>
    <n v="13"/>
    <x v="41"/>
    <x v="5"/>
    <s v="NA"/>
    <x v="2"/>
    <s v="SONY"/>
    <s v="ICAM00101782"/>
    <s v="ICAM00101782"/>
    <n v="12"/>
    <s v="Incluye: Memoria de 4GB, Cargador y Pila."/>
    <x v="4"/>
    <n v="16"/>
    <x v="15"/>
    <s v="13:30 hrs"/>
  </r>
  <r>
    <s v="604216"/>
    <n v="625"/>
    <n v="13"/>
    <x v="41"/>
    <x v="5"/>
    <s v="NA"/>
    <x v="3"/>
    <s v="COMBO"/>
    <s v="ieng00100142"/>
    <s v="IENG00100142"/>
    <n v="12"/>
    <m/>
    <x v="4"/>
    <n v="16"/>
    <x v="15"/>
    <s v="13:30 hrs"/>
  </r>
  <r>
    <s v="604216"/>
    <n v="626"/>
    <n v="13"/>
    <x v="41"/>
    <x v="5"/>
    <s v="NA"/>
    <x v="4"/>
    <s v="RADSON"/>
    <s v="iamp00100101"/>
    <s v="IAMP00100101"/>
    <n v="12"/>
    <m/>
    <x v="4"/>
    <n v="16"/>
    <x v="15"/>
    <s v="13:30 hrs"/>
  </r>
  <r>
    <s v="604216"/>
    <n v="627"/>
    <n v="13"/>
    <x v="41"/>
    <x v="5"/>
    <s v="NA"/>
    <x v="5"/>
    <s v="SONY"/>
    <s v="IGRA00100274"/>
    <s v="IGRA00100274"/>
    <n v="12"/>
    <m/>
    <x v="4"/>
    <n v="16"/>
    <x v="15"/>
    <s v="13:30 hrs"/>
  </r>
  <r>
    <s v="604216"/>
    <n v="628"/>
    <n v="13"/>
    <x v="41"/>
    <x v="5"/>
    <s v="NA"/>
    <x v="6"/>
    <s v="SURTEK"/>
    <s v="ILAM00100837"/>
    <s v="ILAM00100837"/>
    <n v="12"/>
    <s v="Incluye: Cable de Alimentacion (Lampara chica)"/>
    <x v="4"/>
    <n v="16"/>
    <x v="15"/>
    <s v="13:30 hrs"/>
  </r>
  <r>
    <s v="604216"/>
    <n v="630"/>
    <n v="13"/>
    <x v="41"/>
    <x v="5"/>
    <s v="NA"/>
    <x v="6"/>
    <s v="SURTEK"/>
    <s v="ILAM00100901"/>
    <s v="ILAM00100901"/>
    <n v="12"/>
    <s v="Incluye: Cable de Alimentacion (Lampara chica)"/>
    <x v="4"/>
    <n v="16"/>
    <x v="15"/>
    <s v="13:30 hrs"/>
  </r>
  <r>
    <s v="604216"/>
    <n v="631"/>
    <n v="13"/>
    <x v="41"/>
    <x v="5"/>
    <s v="NA"/>
    <x v="6"/>
    <s v="SURTEK"/>
    <s v="ILAM00100903"/>
    <s v="ILAM00100903"/>
    <n v="12"/>
    <s v="Incluye: Cable de Alimentacion (Lampara chica)"/>
    <x v="4"/>
    <n v="16"/>
    <x v="15"/>
    <s v="13:30 hrs"/>
  </r>
  <r>
    <s v="604216"/>
    <n v="632"/>
    <n v="13"/>
    <x v="41"/>
    <x v="5"/>
    <s v="NA"/>
    <x v="7"/>
    <s v="STEREN"/>
    <s v="SN"/>
    <s v="SN"/>
    <n v="2"/>
    <s v="Incluye: Cable de Alimentacion (Lampara grande)"/>
    <x v="4"/>
    <n v="16"/>
    <x v="15"/>
    <s v="13:30 hrs"/>
  </r>
  <r>
    <s v="604216"/>
    <n v="633"/>
    <n v="13"/>
    <x v="41"/>
    <x v="5"/>
    <s v="NA"/>
    <x v="8"/>
    <s v="SOUNDTRACK"/>
    <s v="isis01200045"/>
    <s v="ISIS01200045"/>
    <n v="12"/>
    <s v="Incluye: 2 Microfonos, Cable extencion Plug. Macho de 6.6mm, 2 Antenas y Eliminador y 2 soportes de microfonos"/>
    <x v="4"/>
    <n v="16"/>
    <x v="15"/>
    <s v="13:30 hrs"/>
  </r>
  <r>
    <s v="604216"/>
    <n v="634"/>
    <n v="13"/>
    <x v="41"/>
    <x v="5"/>
    <s v="NA"/>
    <x v="9"/>
    <s v="SN"/>
    <s v="itaj00100029"/>
    <s v="ITAJ00100029"/>
    <n v="12"/>
    <m/>
    <x v="4"/>
    <n v="16"/>
    <x v="15"/>
    <s v="13:30 hrs"/>
  </r>
  <r>
    <s v="604216"/>
    <n v="635"/>
    <n v="13"/>
    <x v="41"/>
    <x v="5"/>
    <s v="NA"/>
    <x v="10"/>
    <s v="TELMEX"/>
    <s v="itel00100754"/>
    <s v="ITEL00100754"/>
    <n v="12"/>
    <m/>
    <x v="4"/>
    <n v="16"/>
    <x v="15"/>
    <s v="13:30 hrs"/>
  </r>
  <r>
    <s v="604311"/>
    <n v="636"/>
    <n v="13"/>
    <x v="42"/>
    <x v="22"/>
    <s v="NA"/>
    <x v="0"/>
    <s v="STEREN"/>
    <s v="IBAF00100195"/>
    <s v="IBAF00100195"/>
    <n v="12"/>
    <s v="Incluye: Cable de Alimentación,"/>
    <x v="1"/>
    <n v="11"/>
    <x v="13"/>
    <s v="19:00 hrs"/>
  </r>
  <r>
    <s v="604311"/>
    <n v="638"/>
    <n v="13"/>
    <x v="42"/>
    <x v="22"/>
    <s v="NA"/>
    <x v="1"/>
    <s v="SN"/>
    <s v="ibot00100052"/>
    <s v="IBOT00100052"/>
    <n v="12"/>
    <m/>
    <x v="1"/>
    <n v="11"/>
    <x v="13"/>
    <s v="19:00 hrs"/>
  </r>
  <r>
    <s v="604311"/>
    <n v="639"/>
    <n v="13"/>
    <x v="42"/>
    <x v="22"/>
    <s v="NA"/>
    <x v="2"/>
    <s v="SONY"/>
    <s v="ICAM00101748"/>
    <s v="ICAM00101748"/>
    <n v="12"/>
    <s v="Incluye: Memoria de 4GB, Cargador y Pila."/>
    <x v="1"/>
    <n v="11"/>
    <x v="13"/>
    <s v="19:00 hrs"/>
  </r>
  <r>
    <s v="604311"/>
    <n v="640"/>
    <n v="13"/>
    <x v="42"/>
    <x v="22"/>
    <s v="NA"/>
    <x v="3"/>
    <s v="COMBO"/>
    <s v="ieng00100119"/>
    <s v="IENG00100119"/>
    <n v="12"/>
    <m/>
    <x v="1"/>
    <n v="11"/>
    <x v="13"/>
    <s v="19:00 hrs"/>
  </r>
  <r>
    <s v="604311"/>
    <n v="641"/>
    <n v="13"/>
    <x v="42"/>
    <x v="22"/>
    <s v="NA"/>
    <x v="4"/>
    <s v="RADSON"/>
    <s v="IAMP00100055"/>
    <s v="IAMP00100055"/>
    <n v="12"/>
    <m/>
    <x v="1"/>
    <n v="11"/>
    <x v="13"/>
    <s v="19:00 hrs"/>
  </r>
  <r>
    <s v="604311"/>
    <n v="642"/>
    <n v="13"/>
    <x v="42"/>
    <x v="22"/>
    <s v="NA"/>
    <x v="5"/>
    <s v="SONY"/>
    <s v="IGRA00100339"/>
    <s v="IGRA00100339"/>
    <n v="12"/>
    <m/>
    <x v="1"/>
    <n v="11"/>
    <x v="13"/>
    <s v="19:00 hrs"/>
  </r>
  <r>
    <s v="604311"/>
    <n v="643"/>
    <n v="13"/>
    <x v="42"/>
    <x v="22"/>
    <s v="NA"/>
    <x v="6"/>
    <s v="SURTEK"/>
    <s v="ILAM00101133"/>
    <s v="ILAM00101133"/>
    <n v="12"/>
    <s v="Incluye: Cable de Alimentacion (Lampara chica)"/>
    <x v="1"/>
    <n v="11"/>
    <x v="13"/>
    <s v="19:00 hrs"/>
  </r>
  <r>
    <s v="604311"/>
    <n v="644"/>
    <n v="13"/>
    <x v="42"/>
    <x v="22"/>
    <s v="NA"/>
    <x v="6"/>
    <s v="SURTEK"/>
    <s v="ILAM00101306"/>
    <s v="ILAM00101306"/>
    <n v="12"/>
    <s v="Incluye: Cable de Alimentacion (Lampara chica)"/>
    <x v="1"/>
    <n v="11"/>
    <x v="13"/>
    <s v="19:00 hrs"/>
  </r>
  <r>
    <s v="604311"/>
    <n v="646"/>
    <n v="13"/>
    <x v="42"/>
    <x v="22"/>
    <s v="NA"/>
    <x v="6"/>
    <s v="SURTEK"/>
    <s v="ILAM00101317"/>
    <s v="ILAM00101317"/>
    <n v="12"/>
    <s v="Incluye: Cable de Alimentacion (Lampara chica)"/>
    <x v="1"/>
    <n v="11"/>
    <x v="13"/>
    <s v="19:00 hrs"/>
  </r>
  <r>
    <s v="604311"/>
    <n v="647"/>
    <n v="13"/>
    <x v="42"/>
    <x v="22"/>
    <s v="NA"/>
    <x v="7"/>
    <s v="STEREN"/>
    <s v="SN"/>
    <s v="SN"/>
    <n v="2"/>
    <s v="Incluye: Cable de Alimentacion (Lampara grande)"/>
    <x v="1"/>
    <n v="11"/>
    <x v="13"/>
    <s v="19:00 hrs"/>
  </r>
  <r>
    <s v="604311"/>
    <n v="648"/>
    <n v="13"/>
    <x v="42"/>
    <x v="22"/>
    <s v="NA"/>
    <x v="8"/>
    <s v="SOUNDTRACK"/>
    <s v="isis01200088"/>
    <s v="ISIS01200088"/>
    <n v="12"/>
    <s v="Incluye: 2 Microfonos, Cable extencion Plug. Macho de 6.6mm, 2 Antenas y Eliminador y 2 soportes de microfonos"/>
    <x v="1"/>
    <n v="11"/>
    <x v="13"/>
    <s v="19:00 hrs"/>
  </r>
  <r>
    <s v="604311"/>
    <n v="649"/>
    <n v="13"/>
    <x v="42"/>
    <x v="22"/>
    <s v="NA"/>
    <x v="9"/>
    <s v="SN"/>
    <s v="itaj00100281"/>
    <s v="ITAJ00100281"/>
    <n v="12"/>
    <m/>
    <x v="1"/>
    <n v="11"/>
    <x v="13"/>
    <s v="19:00 hrs"/>
  </r>
  <r>
    <s v="604311"/>
    <n v="650"/>
    <n v="13"/>
    <x v="42"/>
    <x v="22"/>
    <s v="NA"/>
    <x v="10"/>
    <s v="TELMEX"/>
    <s v="itel00100486"/>
    <s v="ITEL00100486"/>
    <n v="12"/>
    <m/>
    <x v="1"/>
    <n v="11"/>
    <x v="13"/>
    <s v="19:00 hrs"/>
  </r>
  <r>
    <s v="604427"/>
    <n v="651"/>
    <n v="13"/>
    <x v="43"/>
    <x v="36"/>
    <s v="NA"/>
    <x v="0"/>
    <s v="STEREN"/>
    <s v="IBAF00100080"/>
    <s v="IBAF00100080"/>
    <n v="12"/>
    <s v="Incluye: Cable de Alimentación,"/>
    <x v="0"/>
    <n v="27"/>
    <x v="15"/>
    <s v="13:30 hrs"/>
  </r>
  <r>
    <s v="604427"/>
    <n v="652"/>
    <n v="13"/>
    <x v="43"/>
    <x v="36"/>
    <s v="NA"/>
    <x v="1"/>
    <s v="SN"/>
    <s v="IBOT00100064"/>
    <s v="IBOT00100064"/>
    <n v="12"/>
    <m/>
    <x v="0"/>
    <n v="27"/>
    <x v="15"/>
    <s v="13:30 hrs"/>
  </r>
  <r>
    <s v="604427"/>
    <n v="653"/>
    <n v="13"/>
    <x v="43"/>
    <x v="36"/>
    <s v="NA"/>
    <x v="2"/>
    <s v="SONY"/>
    <s v="icam00101795"/>
    <s v="ICAM00101795"/>
    <n v="12"/>
    <s v="Incluye: Memoria de 4GB, Cargador y Pila."/>
    <x v="0"/>
    <n v="27"/>
    <x v="15"/>
    <s v="13:30 hrs"/>
  </r>
  <r>
    <s v="604427"/>
    <n v="655"/>
    <n v="13"/>
    <x v="43"/>
    <x v="36"/>
    <s v="NA"/>
    <x v="3"/>
    <s v="COMBO"/>
    <s v="IENG00100079"/>
    <s v="IENG00100079"/>
    <n v="12"/>
    <m/>
    <x v="0"/>
    <n v="27"/>
    <x v="15"/>
    <s v="13:30 hrs"/>
  </r>
  <r>
    <s v="604427"/>
    <n v="656"/>
    <n v="13"/>
    <x v="43"/>
    <x v="36"/>
    <s v="NA"/>
    <x v="4"/>
    <s v="RADSON"/>
    <s v="IAMP00100106"/>
    <s v="IAMP00100106"/>
    <n v="12"/>
    <m/>
    <x v="0"/>
    <n v="27"/>
    <x v="15"/>
    <s v="13:30 hrs"/>
  </r>
  <r>
    <s v="604427"/>
    <n v="657"/>
    <n v="13"/>
    <x v="43"/>
    <x v="36"/>
    <s v="NA"/>
    <x v="5"/>
    <s v="SONY"/>
    <s v="igra00100389"/>
    <s v="IGRA00100389"/>
    <n v="12"/>
    <m/>
    <x v="0"/>
    <n v="27"/>
    <x v="15"/>
    <s v="13:30 hrs"/>
  </r>
  <r>
    <s v="604427"/>
    <n v="658"/>
    <n v="13"/>
    <x v="43"/>
    <x v="36"/>
    <s v="NA"/>
    <x v="6"/>
    <s v="SURTEK"/>
    <s v="ilam00101264"/>
    <s v="ILAM00101264"/>
    <n v="12"/>
    <s v="Incluye: Cable de Alimentacion (Lampara chica)"/>
    <x v="0"/>
    <n v="27"/>
    <x v="15"/>
    <s v="13:30 hrs"/>
  </r>
  <r>
    <s v="604427"/>
    <n v="659"/>
    <n v="13"/>
    <x v="43"/>
    <x v="36"/>
    <s v="NA"/>
    <x v="6"/>
    <s v="SURTEK"/>
    <s v="ilam00100825"/>
    <s v="ILAM00100825"/>
    <n v="12"/>
    <s v="Incluye: Cable de Alimentacion (Lampara chica)"/>
    <x v="0"/>
    <n v="27"/>
    <x v="15"/>
    <s v="13:30 hrs"/>
  </r>
  <r>
    <s v="604427"/>
    <n v="660"/>
    <n v="13"/>
    <x v="43"/>
    <x v="36"/>
    <s v="NA"/>
    <x v="6"/>
    <s v="SURTEK"/>
    <s v="ilam00100843"/>
    <s v="ILAM00100843"/>
    <n v="12"/>
    <s v="Incluye: Cable de Alimentacion (Lampara chica)"/>
    <x v="0"/>
    <n v="27"/>
    <x v="15"/>
    <s v="13:30 hrs"/>
  </r>
  <r>
    <s v="604427"/>
    <n v="661"/>
    <n v="13"/>
    <x v="43"/>
    <x v="36"/>
    <s v="NA"/>
    <x v="7"/>
    <s v="STEREN"/>
    <s v="sn"/>
    <s v="SN"/>
    <n v="2"/>
    <s v="Incluye: Cable de Alimentacion (Lampara grande)"/>
    <x v="0"/>
    <n v="27"/>
    <x v="15"/>
    <s v="13:30 hrs"/>
  </r>
  <r>
    <s v="604427"/>
    <n v="663"/>
    <n v="13"/>
    <x v="43"/>
    <x v="36"/>
    <s v="NA"/>
    <x v="8"/>
    <s v="SOUNDTRACK"/>
    <s v="ISIS01200117"/>
    <s v="ISIS01200117"/>
    <n v="12"/>
    <s v="Incluye: 2 Microfonos, Cable extencion Plug. Macho de 6.6mm, 2 Antenas y Eliminador y 2 soportes de microfonos"/>
    <x v="0"/>
    <n v="27"/>
    <x v="15"/>
    <s v="13:30 hrs"/>
  </r>
  <r>
    <s v="604427"/>
    <n v="664"/>
    <n v="13"/>
    <x v="43"/>
    <x v="36"/>
    <s v="NA"/>
    <x v="9"/>
    <s v="SN"/>
    <s v="ITAJ00100229"/>
    <s v="ITAJ00100229"/>
    <n v="12"/>
    <m/>
    <x v="0"/>
    <n v="27"/>
    <x v="15"/>
    <s v="13:30 hrs"/>
  </r>
  <r>
    <s v="604427"/>
    <n v="665"/>
    <n v="13"/>
    <x v="43"/>
    <x v="36"/>
    <s v="NA"/>
    <x v="10"/>
    <s v="TELMEX"/>
    <s v="ITEL00101086"/>
    <s v="ITEL00101086"/>
    <n v="12"/>
    <m/>
    <x v="0"/>
    <n v="27"/>
    <x v="15"/>
    <s v="13:30 hrs"/>
  </r>
  <r>
    <s v="604518"/>
    <n v="666"/>
    <n v="13"/>
    <x v="44"/>
    <x v="37"/>
    <s v="NA"/>
    <x v="0"/>
    <s v="STEREN"/>
    <s v="ibaf00100108"/>
    <s v="IBAF00100108"/>
    <n v="12"/>
    <s v="Incluye: Cable de Alimentación,"/>
    <x v="4"/>
    <n v="18"/>
    <x v="7"/>
    <s v="16:00 hrs"/>
  </r>
  <r>
    <s v="604518"/>
    <n v="667"/>
    <n v="13"/>
    <x v="44"/>
    <x v="37"/>
    <s v="NA"/>
    <x v="1"/>
    <s v="SN"/>
    <s v="IBOT00100104"/>
    <s v="IBOT00100104"/>
    <n v="12"/>
    <m/>
    <x v="4"/>
    <n v="18"/>
    <x v="7"/>
    <s v="16:00 hrs"/>
  </r>
  <r>
    <s v="604518"/>
    <n v="668"/>
    <n v="13"/>
    <x v="44"/>
    <x v="37"/>
    <s v="NA"/>
    <x v="2"/>
    <s v="SONY"/>
    <s v="icam00101797"/>
    <s v="ICAM00101797"/>
    <n v="12"/>
    <s v="Incluye: Memoria de 4GB, Cargador y Pila."/>
    <x v="4"/>
    <n v="18"/>
    <x v="7"/>
    <s v="16:00 hrs"/>
  </r>
  <r>
    <s v="604518"/>
    <n v="669"/>
    <n v="13"/>
    <x v="44"/>
    <x v="37"/>
    <s v="NA"/>
    <x v="3"/>
    <s v="COMBO"/>
    <s v="IENG00100032"/>
    <s v="IENG00100032"/>
    <n v="12"/>
    <m/>
    <x v="4"/>
    <n v="18"/>
    <x v="7"/>
    <s v="16:00 hrs"/>
  </r>
  <r>
    <s v="604518"/>
    <n v="671"/>
    <n v="13"/>
    <x v="44"/>
    <x v="37"/>
    <s v="NA"/>
    <x v="4"/>
    <s v="RADSON"/>
    <s v="IAMP00100121"/>
    <s v="IAMP00100121"/>
    <n v="12"/>
    <m/>
    <x v="4"/>
    <n v="18"/>
    <x v="7"/>
    <s v="16:00 hrs"/>
  </r>
  <r>
    <s v="604518"/>
    <n v="672"/>
    <n v="13"/>
    <x v="44"/>
    <x v="37"/>
    <s v="NA"/>
    <x v="5"/>
    <s v="SONY"/>
    <s v="igra00100292"/>
    <s v="IGRA00100292"/>
    <n v="12"/>
    <m/>
    <x v="4"/>
    <n v="18"/>
    <x v="7"/>
    <s v="16:00 hrs"/>
  </r>
  <r>
    <s v="604518"/>
    <n v="673"/>
    <n v="13"/>
    <x v="44"/>
    <x v="37"/>
    <s v="NA"/>
    <x v="6"/>
    <s v="SURTEK"/>
    <s v="ilam00101344"/>
    <s v="ILAM00101344"/>
    <n v="12"/>
    <s v="Incluye: Cable de Alimentacion (Lampara chica)"/>
    <x v="4"/>
    <n v="18"/>
    <x v="7"/>
    <s v="16:00 hrs"/>
  </r>
  <r>
    <s v="604518"/>
    <n v="674"/>
    <n v="13"/>
    <x v="44"/>
    <x v="37"/>
    <s v="NA"/>
    <x v="6"/>
    <s v="SURTEK"/>
    <s v="ilam00101342"/>
    <s v="ILAM00101342"/>
    <n v="12"/>
    <s v="Incluye: Cable de Alimentacion (Lampara chica)"/>
    <x v="4"/>
    <n v="18"/>
    <x v="7"/>
    <s v="16:00 hrs"/>
  </r>
  <r>
    <s v="604518"/>
    <n v="675"/>
    <n v="13"/>
    <x v="44"/>
    <x v="37"/>
    <s v="NA"/>
    <x v="6"/>
    <s v="SURTEK"/>
    <s v="ilam00100847"/>
    <s v="ILAM00100847"/>
    <n v="12"/>
    <s v="Incluye: Cable de Alimentacion (Lampara chica)"/>
    <x v="4"/>
    <n v="18"/>
    <x v="7"/>
    <s v="16:00 hrs"/>
  </r>
  <r>
    <s v="604518"/>
    <n v="676"/>
    <n v="13"/>
    <x v="44"/>
    <x v="37"/>
    <s v="NA"/>
    <x v="7"/>
    <s v="STEREN"/>
    <s v="sn"/>
    <s v="SN"/>
    <n v="2"/>
    <s v="Incluye: Cable de Alimentacion (Lampara grande)"/>
    <x v="4"/>
    <n v="18"/>
    <x v="7"/>
    <s v="16:00 hrs"/>
  </r>
  <r>
    <s v="604518"/>
    <n v="677"/>
    <n v="13"/>
    <x v="44"/>
    <x v="37"/>
    <s v="NA"/>
    <x v="8"/>
    <s v="SOUNDTRACK"/>
    <s v="ISIS01200176"/>
    <s v="ISIS01200176"/>
    <n v="12"/>
    <s v="Incluye: 2 Microfonos, Cable extencion Plug. Macho de 6.6mm, 2 Antenas y Eliminador y 2 soportes de microfonos"/>
    <x v="4"/>
    <n v="18"/>
    <x v="7"/>
    <s v="16:00 hrs"/>
  </r>
  <r>
    <s v="604518"/>
    <n v="679"/>
    <n v="13"/>
    <x v="44"/>
    <x v="37"/>
    <s v="NA"/>
    <x v="9"/>
    <s v="SN"/>
    <s v="itaj00100001"/>
    <s v="ITAJ00100001"/>
    <n v="12"/>
    <m/>
    <x v="4"/>
    <n v="18"/>
    <x v="7"/>
    <s v="16:00 hrs"/>
  </r>
  <r>
    <s v="604518"/>
    <n v="680"/>
    <n v="13"/>
    <x v="44"/>
    <x v="37"/>
    <s v="NA"/>
    <x v="10"/>
    <s v="TELMEX"/>
    <s v="itel00101095"/>
    <s v="ITEL00101095"/>
    <n v="12"/>
    <m/>
    <x v="4"/>
    <n v="18"/>
    <x v="7"/>
    <s v="16:00 hr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96">
  <r>
    <n v="1"/>
    <n v="13"/>
    <x v="0"/>
    <x v="0"/>
    <s v="NA"/>
    <s v="BAFLE"/>
    <s v="STEREN"/>
    <s v="IBAF00100183"/>
    <s v="IBAF00100183"/>
    <n v="12"/>
  </r>
  <r>
    <n v="2"/>
    <n v="13"/>
    <x v="0"/>
    <x v="0"/>
    <s v="NA"/>
    <s v="BOTIQUIN"/>
    <s v="SN"/>
    <s v="ibot00100106"/>
    <s v="IBOT00100106"/>
    <n v="12"/>
  </r>
  <r>
    <n v="3"/>
    <n v="13"/>
    <x v="0"/>
    <x v="0"/>
    <s v="NA"/>
    <s v="CAMARA DIGITAL"/>
    <s v="SONY"/>
    <s v="ICAM00101794"/>
    <s v="ICAM00101794"/>
    <n v="12"/>
  </r>
  <r>
    <n v="4"/>
    <n v="13"/>
    <x v="0"/>
    <x v="0"/>
    <s v="NA"/>
    <s v="ENGARGOLADORA"/>
    <s v="COMBO"/>
    <s v="IENC00100144"/>
    <s v="IENC00100144"/>
    <n v="12"/>
  </r>
  <r>
    <n v="5"/>
    <n v="13"/>
    <x v="0"/>
    <x v="0"/>
    <s v="NA"/>
    <s v="EQUIPO DE PERIFONEO"/>
    <s v="RADSON"/>
    <s v="iamp00100132"/>
    <s v="IAMP00100132"/>
    <n v="12"/>
  </r>
  <r>
    <n v="6"/>
    <n v="13"/>
    <x v="0"/>
    <x v="0"/>
    <s v="NA"/>
    <s v="GRABADORA"/>
    <s v="SONY"/>
    <s v="IGRA00100332"/>
    <s v="IGRA00100332"/>
    <n v="12"/>
  </r>
  <r>
    <n v="7"/>
    <n v="13"/>
    <x v="0"/>
    <x v="0"/>
    <s v="NA"/>
    <s v="LAMPARA DE EMERGENCIA CHICA"/>
    <s v="SURTEK"/>
    <s v="ILAM00101145"/>
    <s v="ILAM00101145"/>
    <n v="12"/>
  </r>
  <r>
    <n v="8"/>
    <n v="13"/>
    <x v="0"/>
    <x v="0"/>
    <s v="NA"/>
    <s v="LAMPARA DE EMERGENCIA CHICA"/>
    <s v="SURTEK"/>
    <s v="ILAM00101151"/>
    <s v="ILAM00101151"/>
    <n v="12"/>
  </r>
  <r>
    <n v="9"/>
    <n v="13"/>
    <x v="0"/>
    <x v="0"/>
    <s v="NA"/>
    <s v="LAMPARA DE EMERGENCIA CHICA"/>
    <s v="SURTEK"/>
    <s v="ILAM00101157"/>
    <s v="ILAM00101157"/>
    <n v="12"/>
  </r>
  <r>
    <n v="10"/>
    <n v="13"/>
    <x v="0"/>
    <x v="0"/>
    <s v="NA"/>
    <s v="LAMPARA DE EMERGENCIA GRANDE"/>
    <s v="STEREN"/>
    <s v="SN"/>
    <s v="SN"/>
    <n v="2"/>
  </r>
  <r>
    <n v="14"/>
    <n v="13"/>
    <x v="0"/>
    <x v="0"/>
    <s v="NA"/>
    <s v="RECEPTOR"/>
    <s v="SOUNDTRACK"/>
    <s v="isis01200111"/>
    <s v="ISIS01200111"/>
    <n v="12"/>
  </r>
  <r>
    <n v="15"/>
    <n v="13"/>
    <x v="0"/>
    <x v="0"/>
    <s v="NA"/>
    <s v="TAJALAPIZ"/>
    <s v="SN"/>
    <s v="itaj00100201"/>
    <s v="ITAJ00100201"/>
    <n v="12"/>
  </r>
  <r>
    <n v="16"/>
    <n v="13"/>
    <x v="0"/>
    <x v="0"/>
    <s v="NA"/>
    <s v="TELEFONOS"/>
    <s v="TELMEX"/>
    <s v="itel00100425"/>
    <s v="ITEL00100425"/>
    <n v="12"/>
  </r>
  <r>
    <n v="17"/>
    <n v="12"/>
    <x v="1"/>
    <x v="1"/>
    <s v="NA"/>
    <s v="BAFLE"/>
    <s v="STEREN"/>
    <s v="IBAF00100113"/>
    <s v="IBAF00100113"/>
    <n v="12"/>
  </r>
  <r>
    <n v="18"/>
    <n v="12"/>
    <x v="1"/>
    <x v="1"/>
    <s v="NA"/>
    <s v="BOTIQUIN"/>
    <s v="SN"/>
    <s v="IBOT00100182"/>
    <s v="IBOT00100182"/>
    <n v="12"/>
  </r>
  <r>
    <n v="19"/>
    <n v="12"/>
    <x v="1"/>
    <x v="1"/>
    <s v="NA"/>
    <s v="CAMARA DIGITAL"/>
    <s v="SONY"/>
    <s v="icam00101757"/>
    <s v="ICAM00101757"/>
    <n v="12"/>
  </r>
  <r>
    <n v="20"/>
    <n v="12"/>
    <x v="1"/>
    <x v="1"/>
    <s v="NA"/>
    <s v="ENGARGOLADORA"/>
    <s v="COMBO"/>
    <s v="ieng00100126"/>
    <s v="IENG00100126"/>
    <n v="12"/>
  </r>
  <r>
    <n v="21"/>
    <n v="12"/>
    <x v="1"/>
    <x v="1"/>
    <s v="NA"/>
    <s v="EQUIPO DE PERIFONEO"/>
    <s v="RADSON"/>
    <s v="IAMP00100061"/>
    <s v="IAMP00100061"/>
    <n v="12"/>
  </r>
  <r>
    <n v="22"/>
    <n v="12"/>
    <x v="1"/>
    <x v="1"/>
    <s v="NA"/>
    <s v="GRABADORA"/>
    <s v="SONY"/>
    <s v="igra00100377"/>
    <s v="IGRA00100377"/>
    <n v="12"/>
  </r>
  <r>
    <n v="23"/>
    <n v="12"/>
    <x v="1"/>
    <x v="1"/>
    <s v="NA"/>
    <s v="LAMPARA DE EMERGENCIA CHICA"/>
    <s v="SURTEK"/>
    <s v="ILAM00101251"/>
    <s v="ILAM00101251"/>
    <n v="12"/>
  </r>
  <r>
    <n v="24"/>
    <n v="12"/>
    <x v="1"/>
    <x v="1"/>
    <s v="NA"/>
    <s v="LAMPARA DE EMERGENCIA CHICA"/>
    <s v="SURTEK"/>
    <s v="ILAM00101321"/>
    <s v="ILAM00101321"/>
    <n v="12"/>
  </r>
  <r>
    <n v="25"/>
    <n v="12"/>
    <x v="1"/>
    <x v="1"/>
    <s v="NA"/>
    <s v="LAMPARA DE EMERGENCIA GRANDE"/>
    <s v="STEREN"/>
    <s v="SN"/>
    <s v="SN"/>
    <n v="2"/>
  </r>
  <r>
    <n v="26"/>
    <n v="12"/>
    <x v="1"/>
    <x v="1"/>
    <s v="NA"/>
    <s v="RECEPTOR"/>
    <s v="SOUNDTRACK"/>
    <s v="isis01200114"/>
    <s v="ISIS01200114"/>
    <n v="12"/>
  </r>
  <r>
    <n v="27"/>
    <n v="12"/>
    <x v="1"/>
    <x v="1"/>
    <s v="NA"/>
    <s v="TAJALAPIZ"/>
    <s v="SN"/>
    <s v="ITAJ00100169"/>
    <s v="ITAJ00100169"/>
    <n v="12"/>
  </r>
  <r>
    <n v="28"/>
    <n v="12"/>
    <x v="1"/>
    <x v="1"/>
    <s v="NA"/>
    <s v="TELEFONOS"/>
    <s v="TELMEX"/>
    <s v="ITEL00101131"/>
    <s v="ITEL00101131"/>
    <n v="12"/>
  </r>
  <r>
    <n v="29"/>
    <n v="17"/>
    <x v="2"/>
    <x v="2"/>
    <s v="NA"/>
    <s v="BAFLE"/>
    <s v="STEREN"/>
    <s v="IBAF00100196"/>
    <s v="IBAF00100196"/>
    <n v="12"/>
  </r>
  <r>
    <n v="30"/>
    <n v="17"/>
    <x v="2"/>
    <x v="2"/>
    <s v="NA"/>
    <s v="BOTIQUIN"/>
    <s v="SN"/>
    <s v="IBOT00100067"/>
    <s v="IBOT00100067"/>
    <n v="12"/>
  </r>
  <r>
    <n v="31"/>
    <n v="17"/>
    <x v="2"/>
    <x v="2"/>
    <s v="NA"/>
    <s v="CAMARA DIGITAL"/>
    <s v="SONY"/>
    <s v="ICAM00101745"/>
    <s v="ICAM00101745"/>
    <n v="12"/>
  </r>
  <r>
    <n v="32"/>
    <n v="17"/>
    <x v="2"/>
    <x v="2"/>
    <s v="NA"/>
    <s v="ENGARGOLADORA"/>
    <s v="COMBO"/>
    <s v="IENG00100216"/>
    <s v="IENG00100216"/>
    <n v="12"/>
  </r>
  <r>
    <n v="33"/>
    <n v="17"/>
    <x v="2"/>
    <x v="2"/>
    <s v="NA"/>
    <s v="EQUIPO DE PERIFONEO"/>
    <s v="RADSON"/>
    <s v="IAMP00100045"/>
    <s v="IAMP00100045"/>
    <n v="12"/>
  </r>
  <r>
    <n v="35"/>
    <n v="17"/>
    <x v="2"/>
    <x v="2"/>
    <s v="NA"/>
    <s v="GRABADORA"/>
    <s v="SONY"/>
    <s v="IGRA00100313"/>
    <s v="IGRA00100313"/>
    <n v="12"/>
  </r>
  <r>
    <n v="36"/>
    <n v="17"/>
    <x v="2"/>
    <x v="2"/>
    <s v="NA"/>
    <s v="LAMPARA DE EMERGENCIA CHICA"/>
    <s v="SURTEK"/>
    <s v="ILAM00101323"/>
    <s v="ILAM00101323"/>
    <n v="12"/>
  </r>
  <r>
    <n v="37"/>
    <n v="17"/>
    <x v="2"/>
    <x v="2"/>
    <s v="NA"/>
    <s v="LAMPARA DE EMERGENCIA CHICA"/>
    <s v="SURTEK"/>
    <s v="ILAM00101167"/>
    <s v="ILAM00101167"/>
    <n v="12"/>
  </r>
  <r>
    <n v="38"/>
    <n v="17"/>
    <x v="2"/>
    <x v="2"/>
    <s v="NA"/>
    <s v="LAMPARA DE EMERGENCIA CHICA"/>
    <s v="SURTEK"/>
    <s v="ILAM00100811"/>
    <s v="ILAM00100811"/>
    <n v="12"/>
  </r>
  <r>
    <n v="40"/>
    <n v="17"/>
    <x v="2"/>
    <x v="2"/>
    <s v="NA"/>
    <s v="LAMPARA DE EMERGENCIA CHICA"/>
    <s v="SURTEK"/>
    <s v="ILAM00101224"/>
    <s v="ILAM00101224"/>
    <n v="12"/>
  </r>
  <r>
    <n v="41"/>
    <n v="17"/>
    <x v="2"/>
    <x v="2"/>
    <s v="NA"/>
    <s v="LAMPARA DE EMERGENCIA CHICA"/>
    <s v="SURTEK"/>
    <s v="ILAM00101234"/>
    <s v="ILAM00101234"/>
    <n v="12"/>
  </r>
  <r>
    <n v="42"/>
    <n v="17"/>
    <x v="2"/>
    <x v="2"/>
    <s v="NA"/>
    <s v="LAMPARA DE EMERGENCIA CHICA"/>
    <s v="SURTEK"/>
    <s v="ILAM00100864"/>
    <s v="ILAM00100864"/>
    <n v="12"/>
  </r>
  <r>
    <n v="43"/>
    <n v="17"/>
    <x v="2"/>
    <x v="2"/>
    <s v="NA"/>
    <s v="LAMPARA DE EMERGENCIA CHICA"/>
    <s v="SURTEK"/>
    <s v="ILAM00100842"/>
    <s v="ILAM00100842"/>
    <n v="12"/>
  </r>
  <r>
    <n v="44"/>
    <n v="17"/>
    <x v="2"/>
    <x v="2"/>
    <s v="NA"/>
    <s v="LAMPARA DE EMERGENCIA GRANDE"/>
    <s v="STEREN"/>
    <s v="SN"/>
    <s v="SN"/>
    <n v="2"/>
  </r>
  <r>
    <n v="45"/>
    <n v="17"/>
    <x v="2"/>
    <x v="2"/>
    <s v="NA"/>
    <s v="RECEPTOR"/>
    <s v="SOUNDTRACK"/>
    <s v="isis01200105"/>
    <s v="ISIS01200105"/>
    <n v="12"/>
  </r>
  <r>
    <n v="46"/>
    <n v="17"/>
    <x v="2"/>
    <x v="2"/>
    <s v="NA"/>
    <s v="TAJALAPIZ"/>
    <s v="SN"/>
    <s v="ITAJ00100283"/>
    <s v="ITAJ00100283"/>
    <n v="12"/>
  </r>
  <r>
    <n v="48"/>
    <n v="17"/>
    <x v="2"/>
    <x v="2"/>
    <s v="NA"/>
    <s v="TELEFONOS"/>
    <s v="TELMEX"/>
    <s v="ITEL00100969"/>
    <s v="ITEL00100969"/>
    <n v="12"/>
  </r>
  <r>
    <n v="49"/>
    <n v="12"/>
    <x v="3"/>
    <x v="3"/>
    <s v="NA"/>
    <s v="BAFLE"/>
    <s v="STEREN"/>
    <s v="IBAF00100086"/>
    <s v="IBAF00100086"/>
    <n v="12"/>
  </r>
  <r>
    <n v="50"/>
    <n v="12"/>
    <x v="3"/>
    <x v="3"/>
    <s v="NA"/>
    <s v="BOTIQUIN"/>
    <s v="SN"/>
    <s v="IBOT00100095"/>
    <s v="IBOT00100095"/>
    <n v="12"/>
  </r>
  <r>
    <n v="51"/>
    <n v="12"/>
    <x v="3"/>
    <x v="3"/>
    <s v="NA"/>
    <s v="CAMARA DIGITAL"/>
    <s v="SONY"/>
    <s v="icam00101779"/>
    <s v="ICAM00101779"/>
    <n v="12"/>
  </r>
  <r>
    <n v="52"/>
    <n v="12"/>
    <x v="3"/>
    <x v="3"/>
    <s v="NA"/>
    <s v="ENGARGOLADORA"/>
    <s v="COMBO"/>
    <s v="IENG00100177"/>
    <s v="IENG00100177"/>
    <n v="12"/>
  </r>
  <r>
    <n v="53"/>
    <n v="12"/>
    <x v="3"/>
    <x v="3"/>
    <s v="NA"/>
    <s v="EQUIPO DE PERIFONEO"/>
    <s v="RADSON"/>
    <s v="IAMP00100123"/>
    <s v="IAMP00100123"/>
    <n v="12"/>
  </r>
  <r>
    <n v="54"/>
    <n v="12"/>
    <x v="3"/>
    <x v="3"/>
    <s v="NA"/>
    <s v="GRABADORA"/>
    <s v="SONY"/>
    <s v="igra00100347"/>
    <s v="IGRA00100347"/>
    <n v="12"/>
  </r>
  <r>
    <n v="55"/>
    <n v="12"/>
    <x v="3"/>
    <x v="3"/>
    <s v="NA"/>
    <s v="LAMPARA DE EMERGENCIA CHICA"/>
    <s v="SURTEK"/>
    <s v="ILAM00100838"/>
    <s v="ILAM00100838"/>
    <n v="12"/>
  </r>
  <r>
    <n v="57"/>
    <n v="12"/>
    <x v="3"/>
    <x v="3"/>
    <s v="NA"/>
    <s v="LAMPARA DE EMERGENCIA CHICA"/>
    <s v="SURTEK"/>
    <s v="ILAM00100909"/>
    <s v="ILAM00100909"/>
    <n v="12"/>
  </r>
  <r>
    <n v="58"/>
    <n v="12"/>
    <x v="3"/>
    <x v="3"/>
    <s v="NA"/>
    <s v="LAMPARA DE EMERGENCIA GRANDE"/>
    <s v="STEREN"/>
    <s v="SN"/>
    <s v="SN"/>
    <n v="2"/>
  </r>
  <r>
    <n v="59"/>
    <n v="12"/>
    <x v="3"/>
    <x v="3"/>
    <s v="NA"/>
    <s v="RECEPTOR"/>
    <s v="SOUNDTRACK"/>
    <s v="ISIS01200120"/>
    <s v="ISIS01200120"/>
    <n v="12"/>
  </r>
  <r>
    <n v="60"/>
    <n v="12"/>
    <x v="3"/>
    <x v="3"/>
    <s v="NA"/>
    <s v="TAJALAPIZ"/>
    <s v="SN"/>
    <s v="ITAJ00100280"/>
    <s v="ITAJ00100280"/>
    <n v="12"/>
  </r>
  <r>
    <n v="61"/>
    <n v="12"/>
    <x v="3"/>
    <x v="3"/>
    <s v="NA"/>
    <s v="TELEFONOS"/>
    <s v="TELMEX"/>
    <s v="ITEL00100724"/>
    <s v="ITEL00100724"/>
    <n v="12"/>
  </r>
  <r>
    <n v="62"/>
    <n v="13"/>
    <x v="4"/>
    <x v="4"/>
    <s v="NA"/>
    <s v="BAFLE"/>
    <s v="STEREN"/>
    <s v="IBAF00100087"/>
    <s v="IBAF00100087"/>
    <n v="12"/>
  </r>
  <r>
    <n v="63"/>
    <n v="13"/>
    <x v="4"/>
    <x v="4"/>
    <s v="NA"/>
    <s v="BOTIQUIN"/>
    <s v="SN"/>
    <s v="IBOT00100181"/>
    <s v="IBOT00100181"/>
    <n v="12"/>
  </r>
  <r>
    <n v="65"/>
    <n v="13"/>
    <x v="4"/>
    <x v="4"/>
    <s v="NA"/>
    <s v="CAMARA DIGITAL"/>
    <s v="SONY"/>
    <s v="icam00101791"/>
    <s v="ICAM00101791"/>
    <n v="12"/>
  </r>
  <r>
    <n v="66"/>
    <n v="13"/>
    <x v="4"/>
    <x v="4"/>
    <s v="NA"/>
    <s v="ENGARGOLADORA"/>
    <s v="COMBO"/>
    <s v="IENG00100083"/>
    <s v="IENG00100083"/>
    <n v="12"/>
  </r>
  <r>
    <n v="67"/>
    <n v="13"/>
    <x v="4"/>
    <x v="4"/>
    <s v="NA"/>
    <s v="EQUIPO DE PERIFONEO"/>
    <s v="RADSON"/>
    <s v="IAMP00100095"/>
    <s v="IAMP00100095"/>
    <n v="12"/>
  </r>
  <r>
    <n v="68"/>
    <n v="13"/>
    <x v="4"/>
    <x v="4"/>
    <s v="NA"/>
    <s v="GRABADORA"/>
    <s v="SONY"/>
    <s v="igra00100281"/>
    <s v="IGRA00100281"/>
    <n v="12"/>
  </r>
  <r>
    <n v="69"/>
    <n v="13"/>
    <x v="4"/>
    <x v="4"/>
    <s v="NA"/>
    <s v="LAMPARA DE EMERGENCIA CHICA"/>
    <s v="SURTEK"/>
    <s v="ILAM00101164"/>
    <s v="ILAM00101164"/>
    <n v="12"/>
  </r>
  <r>
    <n v="70"/>
    <n v="13"/>
    <x v="4"/>
    <x v="4"/>
    <s v="NA"/>
    <s v="LAMPARA DE EMERGENCIA CHICA"/>
    <s v="SURTEK"/>
    <s v="ILAM00101220"/>
    <s v="ILAM00101220"/>
    <n v="12"/>
  </r>
  <r>
    <n v="71"/>
    <n v="13"/>
    <x v="4"/>
    <x v="4"/>
    <s v="NA"/>
    <s v="LAMPARA DE EMERGENCIA CHICA"/>
    <s v="SURTEK"/>
    <s v="ILAM00100815"/>
    <s v="ILAM00100815"/>
    <n v="12"/>
  </r>
  <r>
    <n v="72"/>
    <n v="13"/>
    <x v="4"/>
    <x v="4"/>
    <s v="NA"/>
    <s v="LAMPARA DE EMERGENCIA GRANDE"/>
    <s v="STEREN"/>
    <s v="SN"/>
    <s v="SN"/>
    <n v="2"/>
  </r>
  <r>
    <n v="74"/>
    <n v="13"/>
    <x v="4"/>
    <x v="4"/>
    <s v="NA"/>
    <s v="RECEPTOR"/>
    <s v="SOUNDTRACK"/>
    <s v="ISIS01200136"/>
    <s v="ISIS01200136"/>
    <n v="12"/>
  </r>
  <r>
    <n v="75"/>
    <n v="13"/>
    <x v="4"/>
    <x v="4"/>
    <s v="NA"/>
    <s v="TAJALAPIZ"/>
    <s v="SN"/>
    <s v="ITAJ00100249"/>
    <s v="ITAJ00100249"/>
    <n v="12"/>
  </r>
  <r>
    <n v="76"/>
    <n v="13"/>
    <x v="4"/>
    <x v="4"/>
    <s v="NA"/>
    <s v="TELEFONOS"/>
    <s v="TELMEX"/>
    <s v="ITEL00100793"/>
    <s v="ITEL00100793"/>
    <n v="12"/>
  </r>
  <r>
    <n v="77"/>
    <n v="13"/>
    <x v="5"/>
    <x v="5"/>
    <s v="NA"/>
    <s v="BAFLE"/>
    <s v="STEREN"/>
    <s v="IBAF00100062"/>
    <s v="IBAF00100062"/>
    <n v="12"/>
  </r>
  <r>
    <n v="78"/>
    <n v="13"/>
    <x v="5"/>
    <x v="5"/>
    <s v="NA"/>
    <s v="BOTIQUIN"/>
    <s v="SN"/>
    <s v="IBOT00100076"/>
    <s v="IBOT00100076"/>
    <n v="12"/>
  </r>
  <r>
    <n v="79"/>
    <n v="13"/>
    <x v="5"/>
    <x v="5"/>
    <s v="NA"/>
    <s v="CAMARA DIGITAL"/>
    <s v="SONY"/>
    <s v="icam00101732"/>
    <s v="ICAM00101732"/>
    <n v="12"/>
  </r>
  <r>
    <n v="80"/>
    <n v="13"/>
    <x v="5"/>
    <x v="5"/>
    <s v="NA"/>
    <s v="ENGARGOLADORA"/>
    <s v="COMBO"/>
    <s v="ieng00100021"/>
    <s v="IENG00100021"/>
    <n v="12"/>
  </r>
  <r>
    <n v="82"/>
    <n v="13"/>
    <x v="5"/>
    <x v="5"/>
    <s v="NA"/>
    <s v="EQUIPO DE PERIFONEO"/>
    <s v="RADSON"/>
    <s v="iamp00100019"/>
    <s v="IAMP00100019"/>
    <n v="12"/>
  </r>
  <r>
    <n v="83"/>
    <n v="13"/>
    <x v="5"/>
    <x v="5"/>
    <s v="NA"/>
    <s v="GRABADORA"/>
    <s v="SONY"/>
    <s v="igra00100297"/>
    <s v="IGRA00100297"/>
    <n v="12"/>
  </r>
  <r>
    <n v="84"/>
    <n v="13"/>
    <x v="5"/>
    <x v="5"/>
    <s v="NA"/>
    <s v="LAMPARA DE EMERGENCIA CHICA"/>
    <s v="SURTEK"/>
    <s v="ILAM00101222"/>
    <s v="ILAM00101222"/>
    <n v="12"/>
  </r>
  <r>
    <n v="85"/>
    <n v="13"/>
    <x v="5"/>
    <x v="5"/>
    <s v="NA"/>
    <s v="LAMPARA DE EMERGENCIA CHICA"/>
    <s v="SURTEK"/>
    <s v="ILAM00101140"/>
    <s v="ILAM00101140"/>
    <n v="12"/>
  </r>
  <r>
    <n v="86"/>
    <n v="13"/>
    <x v="5"/>
    <x v="5"/>
    <s v="NA"/>
    <s v="LAMPARA DE EMERGENCIA CHICA"/>
    <s v="SURTEK"/>
    <s v="ILAM00101221"/>
    <s v="ILAM00101221"/>
    <n v="12"/>
  </r>
  <r>
    <n v="87"/>
    <n v="13"/>
    <x v="5"/>
    <x v="5"/>
    <s v="NA"/>
    <s v="LAMPARA DE EMERGENCIA GRANDE"/>
    <s v="STEREN"/>
    <s v="SN"/>
    <s v="SN"/>
    <n v="2"/>
  </r>
  <r>
    <n v="88"/>
    <n v="13"/>
    <x v="5"/>
    <x v="5"/>
    <s v="NA"/>
    <s v="RECEPTOR"/>
    <s v="SOUNDTRACK"/>
    <s v="ISIS01200152"/>
    <s v="ISIS01200152"/>
    <n v="12"/>
  </r>
  <r>
    <n v="89"/>
    <n v="13"/>
    <x v="5"/>
    <x v="5"/>
    <s v="NA"/>
    <s v="TAJALAPIZ"/>
    <s v="SN"/>
    <s v="ITAJ00100087"/>
    <s v="ITAJ00100087"/>
    <n v="12"/>
  </r>
  <r>
    <n v="91"/>
    <n v="13"/>
    <x v="5"/>
    <x v="5"/>
    <s v="NA"/>
    <s v="TELEFONOS"/>
    <s v="TELMEX"/>
    <s v="ITEL00100808"/>
    <s v="ITEL00100808"/>
    <n v="12"/>
  </r>
  <r>
    <n v="92"/>
    <n v="15"/>
    <x v="6"/>
    <x v="6"/>
    <s v="NA"/>
    <s v="BAFLE"/>
    <s v="STEREN"/>
    <s v="IBAF00100155"/>
    <s v="IBAF00100155"/>
    <n v="12"/>
  </r>
  <r>
    <n v="93"/>
    <n v="15"/>
    <x v="6"/>
    <x v="6"/>
    <s v="NA"/>
    <s v="BOTIQUIN"/>
    <s v="SN"/>
    <s v="IBOT00100010"/>
    <s v="IBOT00100010"/>
    <n v="12"/>
  </r>
  <r>
    <n v="94"/>
    <n v="15"/>
    <x v="6"/>
    <x v="6"/>
    <s v="NA"/>
    <s v="CAMARA DIGITAL"/>
    <s v="SONY"/>
    <s v="icam00101776"/>
    <s v="ICAM00101776"/>
    <n v="12"/>
  </r>
  <r>
    <n v="95"/>
    <n v="15"/>
    <x v="6"/>
    <x v="6"/>
    <s v="NA"/>
    <s v="ENGARGOLADORA"/>
    <s v="COMBO"/>
    <s v="IENG00100134"/>
    <s v="IENG00100134"/>
    <n v="12"/>
  </r>
  <r>
    <n v="96"/>
    <n v="15"/>
    <x v="6"/>
    <x v="6"/>
    <s v="NA"/>
    <s v="EQUIPO DE PERIFONEO"/>
    <s v="RADSON"/>
    <s v="IAMP00100054"/>
    <s v="IAMP00100054"/>
    <n v="12"/>
  </r>
  <r>
    <n v="97"/>
    <n v="15"/>
    <x v="6"/>
    <x v="6"/>
    <s v="NA"/>
    <s v="GRABADORA"/>
    <s v="SONY"/>
    <s v="igra00100294"/>
    <s v="IGRA00100294"/>
    <n v="12"/>
  </r>
  <r>
    <n v="99"/>
    <n v="15"/>
    <x v="6"/>
    <x v="6"/>
    <s v="NA"/>
    <s v="LAMPARA DE EMERGENCIA CHICA"/>
    <s v="SURTEK"/>
    <s v="ILAM00101355"/>
    <s v="ILAM00101355"/>
    <n v="12"/>
  </r>
  <r>
    <n v="100"/>
    <n v="15"/>
    <x v="6"/>
    <x v="6"/>
    <s v="NA"/>
    <s v="LAMPARA DE EMERGENCIA CHICA"/>
    <s v="SURTEK"/>
    <s v="ILAM00101346"/>
    <s v="ILAM00101346"/>
    <n v="12"/>
  </r>
  <r>
    <n v="101"/>
    <n v="15"/>
    <x v="6"/>
    <x v="6"/>
    <s v="NA"/>
    <s v="LAMPARA DE EMERGENCIA CHICA"/>
    <s v="SURTEK"/>
    <s v="ILAM00101314"/>
    <s v="ILAM00101314"/>
    <n v="12"/>
  </r>
  <r>
    <n v="102"/>
    <n v="15"/>
    <x v="6"/>
    <x v="6"/>
    <s v="NA"/>
    <s v="LAMPARA DE EMERGENCIA CHICA"/>
    <s v="SURTEK"/>
    <s v="ILAM00101336"/>
    <s v="ILAM00101336"/>
    <n v="12"/>
  </r>
  <r>
    <n v="103"/>
    <n v="15"/>
    <x v="6"/>
    <x v="6"/>
    <s v="NA"/>
    <s v="LAMPARA DE EMERGENCIA CHICA"/>
    <s v="SURTEK"/>
    <s v="ILAM00101335"/>
    <s v="ILAM00101335"/>
    <n v="12"/>
  </r>
  <r>
    <n v="104"/>
    <n v="15"/>
    <x v="6"/>
    <x v="6"/>
    <s v="NA"/>
    <s v="LAMPARA DE EMERGENCIA GRANDE"/>
    <s v="STEREN"/>
    <s v="SN"/>
    <s v="SN"/>
    <n v="2"/>
  </r>
  <r>
    <n v="105"/>
    <n v="15"/>
    <x v="6"/>
    <x v="6"/>
    <s v="NA"/>
    <s v="RECEPTOR"/>
    <s v="SOUNDTRACK"/>
    <s v="ISIS01200085"/>
    <s v="ISIS01200085"/>
    <n v="12"/>
  </r>
  <r>
    <n v="106"/>
    <n v="15"/>
    <x v="6"/>
    <x v="6"/>
    <s v="NA"/>
    <s v="TAJALAPIZ"/>
    <s v="SN"/>
    <s v="ITAJ00100267"/>
    <s v="ITAJ00100267"/>
    <n v="12"/>
  </r>
  <r>
    <n v="108"/>
    <n v="15"/>
    <x v="6"/>
    <x v="6"/>
    <s v="NA"/>
    <s v="TELEFONOS"/>
    <s v="TELMEX"/>
    <s v="ITEL00100840"/>
    <s v="ITEL00100840"/>
    <n v="12"/>
  </r>
  <r>
    <n v="110"/>
    <n v="16"/>
    <x v="7"/>
    <x v="5"/>
    <s v="NA"/>
    <s v="BAFLE"/>
    <s v="STEREN"/>
    <s v="IBAF00100187"/>
    <s v="IBAF00100187"/>
    <n v="12"/>
  </r>
  <r>
    <n v="111"/>
    <n v="16"/>
    <x v="7"/>
    <x v="5"/>
    <s v="NA"/>
    <s v="BOTIQUIN"/>
    <s v="SN"/>
    <s v="IBOT00100057"/>
    <s v="IBOT00100057"/>
    <n v="12"/>
  </r>
  <r>
    <n v="112"/>
    <n v="16"/>
    <x v="7"/>
    <x v="5"/>
    <s v="NA"/>
    <s v="CAMARA DIGITAL"/>
    <s v="SONY"/>
    <s v="icam00101765"/>
    <s v="ICAM00101765"/>
    <n v="12"/>
  </r>
  <r>
    <n v="113"/>
    <n v="16"/>
    <x v="7"/>
    <x v="5"/>
    <s v="NA"/>
    <s v="ENGARGOLADORA"/>
    <s v="COMBO"/>
    <s v="IENG00100202"/>
    <s v="IENG00100202"/>
    <n v="12"/>
  </r>
  <r>
    <n v="114"/>
    <n v="16"/>
    <x v="7"/>
    <x v="5"/>
    <s v="NA"/>
    <s v="EQUIPO DE PERIFONEO"/>
    <s v="RADSON"/>
    <s v="IAMP00100027"/>
    <s v="IAMP00100027"/>
    <n v="12"/>
  </r>
  <r>
    <n v="116"/>
    <n v="16"/>
    <x v="7"/>
    <x v="5"/>
    <s v="NA"/>
    <s v="GRABADORA"/>
    <s v="SONY"/>
    <s v="igra00100314"/>
    <s v="IGRA00100314"/>
    <n v="12"/>
  </r>
  <r>
    <n v="117"/>
    <n v="16"/>
    <x v="7"/>
    <x v="5"/>
    <s v="NA"/>
    <s v="LAMPARA DE EMERGENCIA CHICA"/>
    <s v="SURTEK"/>
    <s v="ILAM00101301"/>
    <s v="ILAM00101301"/>
    <n v="12"/>
  </r>
  <r>
    <n v="118"/>
    <n v="16"/>
    <x v="7"/>
    <x v="5"/>
    <s v="NA"/>
    <s v="LAMPARA DE EMERGENCIA CHICA"/>
    <s v="SURTEK"/>
    <s v="ILAM00101352"/>
    <s v="ILAM00101352"/>
    <n v="12"/>
  </r>
  <r>
    <n v="119"/>
    <n v="16"/>
    <x v="7"/>
    <x v="5"/>
    <s v="NA"/>
    <s v="LAMPARA DE EMERGENCIA CHICA"/>
    <s v="SURTEK"/>
    <s v="ILAM00101357"/>
    <s v="ILAM00101357"/>
    <n v="12"/>
  </r>
  <r>
    <n v="120"/>
    <n v="16"/>
    <x v="7"/>
    <x v="5"/>
    <s v="NA"/>
    <s v="LAMPARA DE EMERGENCIA CHICA"/>
    <s v="SURTEK"/>
    <s v="ILAM00101216"/>
    <s v="ILAM00101216"/>
    <n v="12"/>
  </r>
  <r>
    <n v="121"/>
    <n v="16"/>
    <x v="7"/>
    <x v="5"/>
    <s v="NA"/>
    <s v="LAMPARA DE EMERGENCIA CHICA"/>
    <s v="SURTEK"/>
    <s v="ILAM00101305"/>
    <s v="ILAM00101305"/>
    <n v="12"/>
  </r>
  <r>
    <n v="122"/>
    <n v="16"/>
    <x v="7"/>
    <x v="5"/>
    <s v="NA"/>
    <s v="LAMPARA DE EMERGENCIA CHICA"/>
    <s v="SURTEK"/>
    <s v="ILAM00101330"/>
    <s v="ILAM00101330"/>
    <n v="12"/>
  </r>
  <r>
    <n v="123"/>
    <n v="16"/>
    <x v="7"/>
    <x v="5"/>
    <s v="NA"/>
    <s v="LAMPARA DE EMERGENCIA GRANDE"/>
    <s v="STEREN"/>
    <s v="SN"/>
    <s v="SN"/>
    <n v="2"/>
  </r>
  <r>
    <n v="125"/>
    <n v="16"/>
    <x v="7"/>
    <x v="5"/>
    <s v="NA"/>
    <s v="RECEPTOR"/>
    <s v="SOUNDTRACK"/>
    <s v="ISIS01200109"/>
    <s v="ISIS01200109"/>
    <n v="12"/>
  </r>
  <r>
    <n v="126"/>
    <n v="16"/>
    <x v="7"/>
    <x v="5"/>
    <s v="NA"/>
    <s v="TAJALAPIZ"/>
    <s v="SN"/>
    <s v="ITAJ00100094"/>
    <s v="ITAJ00100094"/>
    <n v="12"/>
  </r>
  <r>
    <n v="127"/>
    <n v="16"/>
    <x v="7"/>
    <x v="5"/>
    <s v="NA"/>
    <s v="TELEFONOS"/>
    <s v="TELMEX"/>
    <s v="ITEL00100422"/>
    <s v="ITEL00100422"/>
    <n v="12"/>
  </r>
  <r>
    <n v="127"/>
    <n v="14"/>
    <x v="8"/>
    <x v="7"/>
    <s v="NA"/>
    <s v="BAFLE"/>
    <s v="STEREN"/>
    <s v="IBAF00100074"/>
    <s v="IBAF00100074"/>
    <n v="12"/>
  </r>
  <r>
    <n v="129"/>
    <n v="14"/>
    <x v="8"/>
    <x v="7"/>
    <s v="NA"/>
    <s v="BOTIQUIN"/>
    <s v="SN"/>
    <s v="IBOT00100074"/>
    <s v="IBOT00100074"/>
    <n v="12"/>
  </r>
  <r>
    <n v="130"/>
    <n v="14"/>
    <x v="8"/>
    <x v="7"/>
    <s v="NA"/>
    <s v="CAMARA DIGITAL"/>
    <s v="SONY"/>
    <s v="icam00101790"/>
    <s v="ICAM00101790"/>
    <n v="12"/>
  </r>
  <r>
    <n v="131"/>
    <n v="14"/>
    <x v="8"/>
    <x v="7"/>
    <s v="NA"/>
    <s v="ENGARGOLADORA"/>
    <s v="COMBO"/>
    <s v="IENG00100183"/>
    <s v="IENG00100183"/>
    <n v="12"/>
  </r>
  <r>
    <n v="132"/>
    <n v="14"/>
    <x v="8"/>
    <x v="7"/>
    <s v="NA"/>
    <s v="EQUIPO DE PERIFONEO"/>
    <s v="RADSON"/>
    <s v="IAMP00100085"/>
    <s v="IAMP00100085"/>
    <n v="12"/>
  </r>
  <r>
    <n v="133"/>
    <n v="14"/>
    <x v="8"/>
    <x v="7"/>
    <s v="NA"/>
    <s v="GRABADORA"/>
    <s v="SONY"/>
    <s v="igra00100335"/>
    <s v="IGRA00100335"/>
    <n v="12"/>
  </r>
  <r>
    <n v="134"/>
    <n v="14"/>
    <x v="8"/>
    <x v="7"/>
    <s v="NA"/>
    <s v="LAMPARA DE EMERGENCIA CHICA"/>
    <s v="SURTEK"/>
    <s v="ILAM00101262"/>
    <s v="ILAM00101262"/>
    <n v="12"/>
  </r>
  <r>
    <n v="135"/>
    <n v="14"/>
    <x v="8"/>
    <x v="7"/>
    <s v="NA"/>
    <s v="LAMPARA DE EMERGENCIA CHICA"/>
    <s v="SURTEK"/>
    <s v="ILAM00101263"/>
    <s v="ILAM00101263"/>
    <n v="12"/>
  </r>
  <r>
    <n v="137"/>
    <n v="14"/>
    <x v="8"/>
    <x v="7"/>
    <s v="NA"/>
    <s v="LAMPARA DE EMERGENCIA CHICA"/>
    <s v="SURTEK"/>
    <s v="ILAM00101254"/>
    <s v="ILAM00101254"/>
    <n v="12"/>
  </r>
  <r>
    <n v="138"/>
    <n v="14"/>
    <x v="8"/>
    <x v="7"/>
    <s v="NA"/>
    <s v="LAMPARA DE EMERGENCIA CHICA"/>
    <s v="SURTEK"/>
    <s v="ILAM00101276"/>
    <s v="ILAM00101276"/>
    <n v="12"/>
  </r>
  <r>
    <n v="139"/>
    <n v="14"/>
    <x v="8"/>
    <x v="7"/>
    <s v="NA"/>
    <s v="LAMPARA DE EMERGENCIA GRANDE"/>
    <s v="STEREN"/>
    <s v="SN"/>
    <s v="SN"/>
    <n v="2"/>
  </r>
  <r>
    <n v="140"/>
    <n v="14"/>
    <x v="8"/>
    <x v="7"/>
    <s v="NA"/>
    <s v="RECEPTOR"/>
    <s v="SOUNDTRACK"/>
    <s v="isis01200078"/>
    <s v="ISIS01200078"/>
    <n v="12"/>
  </r>
  <r>
    <n v="141"/>
    <n v="14"/>
    <x v="8"/>
    <x v="7"/>
    <s v="NA"/>
    <s v="TAJALAPIZ"/>
    <s v="SN"/>
    <s v="ITAJ00100224"/>
    <s v="ITAJ00100224"/>
    <n v="12"/>
  </r>
  <r>
    <n v="142"/>
    <n v="14"/>
    <x v="8"/>
    <x v="7"/>
    <s v="NA"/>
    <s v="TELEFONOS"/>
    <s v="TELMEX"/>
    <s v="ITEL00100510"/>
    <s v="ITEL00100510"/>
    <n v="12"/>
  </r>
  <r>
    <n v="143"/>
    <n v="13"/>
    <x v="9"/>
    <x v="8"/>
    <s v="NA"/>
    <s v="BAFLE"/>
    <s v="STEREN"/>
    <s v="IBAF00100152"/>
    <s v="IBAF00100152"/>
    <n v="12"/>
  </r>
  <r>
    <n v="145"/>
    <n v="13"/>
    <x v="9"/>
    <x v="8"/>
    <s v="NA"/>
    <s v="BOTIQUIN"/>
    <s v="SN"/>
    <s v="ibot00100185"/>
    <s v="IBOT00100185"/>
    <n v="12"/>
  </r>
  <r>
    <n v="146"/>
    <n v="13"/>
    <x v="9"/>
    <x v="8"/>
    <s v="NA"/>
    <s v="CAMARA DIGITAL"/>
    <s v="SONY"/>
    <s v="ICAM00101750"/>
    <s v="ICAM00101750"/>
    <n v="12"/>
  </r>
  <r>
    <n v="147"/>
    <n v="13"/>
    <x v="9"/>
    <x v="8"/>
    <s v="NA"/>
    <s v="ENGARGOLADORA"/>
    <s v="COMBO"/>
    <s v="IENG00100167"/>
    <s v="IENG00100167"/>
    <n v="12"/>
  </r>
  <r>
    <n v="148"/>
    <n v="13"/>
    <x v="9"/>
    <x v="8"/>
    <s v="NA"/>
    <s v="EQUIPO DE PERIFONEO"/>
    <s v="RADSON"/>
    <s v="IAMP00100041"/>
    <s v="IAMP00100041"/>
    <n v="12"/>
  </r>
  <r>
    <n v="149"/>
    <n v="13"/>
    <x v="9"/>
    <x v="8"/>
    <s v="NA"/>
    <s v="GRABADORA"/>
    <s v="SONY"/>
    <s v="igra00100310"/>
    <s v="IGRA00100310"/>
    <n v="12"/>
  </r>
  <r>
    <n v="150"/>
    <n v="13"/>
    <x v="9"/>
    <x v="8"/>
    <s v="NA"/>
    <s v="LAMPARA DE EMERGENCIA CHICA"/>
    <s v="SURTEK"/>
    <s v="ILAM00100784"/>
    <s v="ILAM00100784"/>
    <n v="12"/>
  </r>
  <r>
    <n v="151"/>
    <n v="13"/>
    <x v="9"/>
    <x v="8"/>
    <s v="NA"/>
    <s v="LAMPARA DE EMERGENCIA CHICA"/>
    <s v="SURTEK"/>
    <s v="ILAM00101230"/>
    <s v="ILAM00101230"/>
    <n v="12"/>
  </r>
  <r>
    <n v="153"/>
    <n v="13"/>
    <x v="9"/>
    <x v="8"/>
    <s v="NA"/>
    <s v="LAMPARA DE EMERGENCIA CHICA"/>
    <s v="SURTEK"/>
    <s v="ILAM00100892"/>
    <s v="ILAM00100892"/>
    <n v="12"/>
  </r>
  <r>
    <n v="154"/>
    <n v="13"/>
    <x v="9"/>
    <x v="8"/>
    <s v="NA"/>
    <s v="LAMPARA DE EMERGENCIA GRANDE"/>
    <s v="STEREN"/>
    <s v="SN"/>
    <s v="SN"/>
    <n v="2"/>
  </r>
  <r>
    <n v="155"/>
    <n v="13"/>
    <x v="9"/>
    <x v="8"/>
    <s v="NA"/>
    <s v="RECEPTOR"/>
    <s v="SOUNDTRACK"/>
    <s v="isis01200067"/>
    <s v="ISIS01200067"/>
    <n v="12"/>
  </r>
  <r>
    <n v="156"/>
    <n v="13"/>
    <x v="9"/>
    <x v="8"/>
    <s v="NA"/>
    <s v="TAJALAPIZ"/>
    <s v="SN"/>
    <s v="ITAJ00100137"/>
    <s v="ITAJ00100137"/>
    <n v="12"/>
  </r>
  <r>
    <n v="157"/>
    <n v="13"/>
    <x v="9"/>
    <x v="8"/>
    <s v="NA"/>
    <s v="TELEFONOS"/>
    <s v="GENERICO"/>
    <s v="ITEL00100970"/>
    <s v="ITEL00100970"/>
    <n v="12"/>
  </r>
  <r>
    <n v="158"/>
    <n v="13"/>
    <x v="10"/>
    <x v="9"/>
    <s v="NA"/>
    <s v="BAFLE"/>
    <s v="STEREN"/>
    <s v="IBAF00100042"/>
    <s v="IBAF00100042"/>
    <n v="12"/>
  </r>
  <r>
    <n v="159"/>
    <n v="13"/>
    <x v="10"/>
    <x v="9"/>
    <s v="NA"/>
    <s v="BOTIQUIN"/>
    <s v="SN"/>
    <s v="IBOT00100080"/>
    <s v="IBOT00100080"/>
    <n v="12"/>
  </r>
  <r>
    <n v="161"/>
    <n v="13"/>
    <x v="10"/>
    <x v="9"/>
    <s v="NA"/>
    <s v="CAMARA DIGITAL"/>
    <s v="SONY"/>
    <s v="icam00101760"/>
    <s v="ICAM00101760"/>
    <n v="12"/>
  </r>
  <r>
    <n v="162"/>
    <n v="13"/>
    <x v="10"/>
    <x v="9"/>
    <s v="NA"/>
    <s v="ENGARGOLADORA"/>
    <s v="COMBO"/>
    <s v="IENG00100129"/>
    <s v="IENG00100129"/>
    <n v="12"/>
  </r>
  <r>
    <n v="163"/>
    <n v="13"/>
    <x v="10"/>
    <x v="9"/>
    <s v="NA"/>
    <s v="EQUIPO DE PERIFONEO"/>
    <s v="RADSON"/>
    <s v="IAMP00100089"/>
    <s v="IAMP00100089"/>
    <n v="12"/>
  </r>
  <r>
    <n v="164"/>
    <n v="13"/>
    <x v="10"/>
    <x v="9"/>
    <s v="NA"/>
    <s v="GRABADORA"/>
    <s v="SONY"/>
    <s v="igra00100416"/>
    <s v="IGRA00100416"/>
    <n v="12"/>
  </r>
  <r>
    <n v="165"/>
    <n v="13"/>
    <x v="10"/>
    <x v="9"/>
    <s v="NA"/>
    <s v="LAMPARA DE EMERGENCIA CHICA"/>
    <s v="SURTEK"/>
    <s v="ILAM00101356"/>
    <s v="ILAM00101356"/>
    <n v="12"/>
  </r>
  <r>
    <n v="166"/>
    <n v="13"/>
    <x v="10"/>
    <x v="9"/>
    <s v="NA"/>
    <s v="LAMPARA DE EMERGENCIA CHICA"/>
    <s v="SURTEK"/>
    <s v="ILAM00101135"/>
    <s v="ILAM00101135"/>
    <n v="12"/>
  </r>
  <r>
    <n v="167"/>
    <n v="13"/>
    <x v="10"/>
    <x v="9"/>
    <s v="NA"/>
    <s v="LAMPARA DE EMERGENCIA CHICA"/>
    <s v="SURTEK"/>
    <s v="ILAM00101274"/>
    <s v="ILAM00101274"/>
    <n v="12"/>
  </r>
  <r>
    <n v="169"/>
    <n v="13"/>
    <x v="10"/>
    <x v="9"/>
    <s v="NA"/>
    <s v="LAMPARA DE EMERGENCIA GRANDE"/>
    <s v="STEREN"/>
    <s v="SN"/>
    <s v="SN"/>
    <n v="2"/>
  </r>
  <r>
    <n v="170"/>
    <n v="13"/>
    <x v="10"/>
    <x v="9"/>
    <s v="NA"/>
    <s v="RECEPTOR"/>
    <s v="SOUNDTRACK"/>
    <s v="isis01200169"/>
    <s v="ISIS01200169"/>
    <n v="12"/>
  </r>
  <r>
    <n v="171"/>
    <n v="13"/>
    <x v="10"/>
    <x v="9"/>
    <s v="NA"/>
    <s v="TAJALAPIZ"/>
    <s v="SN"/>
    <s v="itaj00100146"/>
    <s v="ITAJ00100146"/>
    <n v="12"/>
  </r>
  <r>
    <n v="172"/>
    <n v="13"/>
    <x v="10"/>
    <x v="9"/>
    <s v="NA"/>
    <s v="TELEFONOS"/>
    <s v="TELMEX"/>
    <s v="itel00100428"/>
    <s v="ITEL00100428"/>
    <n v="12"/>
  </r>
  <r>
    <n v="173"/>
    <n v="13"/>
    <x v="11"/>
    <x v="10"/>
    <s v="NA"/>
    <s v="BAFLE"/>
    <s v="STEREN"/>
    <s v="ibaf00100120"/>
    <s v="IBAF00100120"/>
    <n v="12"/>
  </r>
  <r>
    <n v="174"/>
    <n v="13"/>
    <x v="11"/>
    <x v="10"/>
    <s v="NA"/>
    <s v="BOTIQUIN"/>
    <s v="SN"/>
    <s v="ibot00100016"/>
    <s v="IBOT00100016"/>
    <n v="12"/>
  </r>
  <r>
    <n v="175"/>
    <n v="13"/>
    <x v="11"/>
    <x v="10"/>
    <s v="NA"/>
    <s v="CAMARA DIGITAL"/>
    <s v="SONY"/>
    <s v="ICAM00101731"/>
    <s v="ICAM00101731"/>
    <n v="12"/>
  </r>
  <r>
    <n v="177"/>
    <n v="13"/>
    <x v="11"/>
    <x v="10"/>
    <s v="NA"/>
    <s v="ENGARGOLADORA"/>
    <s v="COMBO"/>
    <s v="ieng00100176"/>
    <s v="IENG00100176"/>
    <n v="12"/>
  </r>
  <r>
    <n v="178"/>
    <n v="13"/>
    <x v="11"/>
    <x v="10"/>
    <s v="NA"/>
    <s v="EQUIPO DE PERIFONEO"/>
    <s v="RADSON"/>
    <s v="iamp00100064"/>
    <s v="IAMP00100064"/>
    <n v="12"/>
  </r>
  <r>
    <n v="179"/>
    <n v="13"/>
    <x v="11"/>
    <x v="10"/>
    <s v="NA"/>
    <s v="GRABADORA"/>
    <s v="SONY"/>
    <s v="IGRA00100312"/>
    <s v="IGRA00100312"/>
    <n v="12"/>
  </r>
  <r>
    <n v="180"/>
    <n v="13"/>
    <x v="11"/>
    <x v="10"/>
    <s v="NA"/>
    <s v="LAMPARA DE EMERGENCIA CHICA"/>
    <s v="SURTEK"/>
    <s v="ilam00101250"/>
    <s v="ILAM00101250"/>
    <n v="12"/>
  </r>
  <r>
    <n v="181"/>
    <n v="13"/>
    <x v="11"/>
    <x v="10"/>
    <s v="NA"/>
    <s v="LAMPARA DE EMERGENCIA CHICA"/>
    <s v="SURTEK"/>
    <s v="ilam00101293"/>
    <s v="ILAM00101293"/>
    <n v="12"/>
  </r>
  <r>
    <n v="182"/>
    <n v="13"/>
    <x v="11"/>
    <x v="10"/>
    <s v="NA"/>
    <s v="LAMPARA DE EMERGENCIA CHICA"/>
    <s v="MAVRIK"/>
    <s v="ilam00100955"/>
    <s v="ILAM00100955"/>
    <n v="12"/>
  </r>
  <r>
    <n v="183"/>
    <n v="13"/>
    <x v="11"/>
    <x v="10"/>
    <s v="NA"/>
    <s v="LAMPARA DE EMERGENCIA GRANDE"/>
    <s v="STEREN"/>
    <s v="SN"/>
    <s v="SN"/>
    <n v="2"/>
  </r>
  <r>
    <n v="185"/>
    <n v="13"/>
    <x v="11"/>
    <x v="10"/>
    <s v="NA"/>
    <s v="RECEPTOR"/>
    <s v="SOUNDTRACK"/>
    <s v="isis01200166"/>
    <s v="ISIS01200166"/>
    <n v="12"/>
  </r>
  <r>
    <n v="186"/>
    <n v="13"/>
    <x v="11"/>
    <x v="10"/>
    <s v="NA"/>
    <s v="TAJALAPIZ"/>
    <s v="SN"/>
    <s v="itaj00100073"/>
    <s v="ITAJ00100073"/>
    <n v="12"/>
  </r>
  <r>
    <n v="187"/>
    <n v="13"/>
    <x v="11"/>
    <x v="10"/>
    <s v="NA"/>
    <s v="TELEFONOS"/>
    <s v="TELMEX"/>
    <s v="itel00100773"/>
    <s v="ITEL00100773"/>
    <n v="12"/>
  </r>
  <r>
    <n v="188"/>
    <n v="13"/>
    <x v="12"/>
    <x v="11"/>
    <s v="NA"/>
    <s v="BAFLE"/>
    <s v="STEREN"/>
    <s v="ibaf00100126"/>
    <s v="IBAF00100126"/>
    <n v="12"/>
  </r>
  <r>
    <n v="189"/>
    <n v="13"/>
    <x v="12"/>
    <x v="11"/>
    <s v="NA"/>
    <s v="BOTIQUIN"/>
    <s v="SN"/>
    <s v="ibot00100166"/>
    <s v="IBOT00100166"/>
    <n v="12"/>
  </r>
  <r>
    <n v="190"/>
    <n v="13"/>
    <x v="12"/>
    <x v="11"/>
    <s v="NA"/>
    <s v="CAMARA DIGITAL"/>
    <s v="SONY"/>
    <s v="ICAM00101771"/>
    <s v="ICAM00101771"/>
    <n v="12"/>
  </r>
  <r>
    <n v="191"/>
    <n v="13"/>
    <x v="12"/>
    <x v="11"/>
    <s v="NA"/>
    <s v="ENGARGOLADORA"/>
    <s v="COMBO"/>
    <s v="ieng00100050"/>
    <s v="IENG00100050"/>
    <n v="12"/>
  </r>
  <r>
    <n v="193"/>
    <n v="13"/>
    <x v="12"/>
    <x v="11"/>
    <s v="NA"/>
    <s v="EQUIPO DE PERIFONEO"/>
    <s v="RADSON"/>
    <s v="iamp00100021"/>
    <s v="IAMP00100021"/>
    <n v="12"/>
  </r>
  <r>
    <n v="194"/>
    <n v="13"/>
    <x v="12"/>
    <x v="11"/>
    <s v="NA"/>
    <s v="GRABADORA"/>
    <s v="SONY"/>
    <s v="IGRA00100401"/>
    <s v="IGRA00100401"/>
    <n v="12"/>
  </r>
  <r>
    <n v="195"/>
    <n v="13"/>
    <x v="12"/>
    <x v="11"/>
    <s v="NA"/>
    <s v="LAMPARA DE EMERGENCIA CHICA"/>
    <s v="MAVRIK"/>
    <s v="ilam00100948"/>
    <s v="ILAM00100948"/>
    <n v="12"/>
  </r>
  <r>
    <n v="196"/>
    <n v="13"/>
    <x v="12"/>
    <x v="11"/>
    <s v="NA"/>
    <s v="LAMPARA DE EMERGENCIA CHICA"/>
    <s v="MAVRIK"/>
    <s v="ilam00100931"/>
    <s v="ILAM00100931"/>
    <n v="12"/>
  </r>
  <r>
    <n v="197"/>
    <n v="13"/>
    <x v="12"/>
    <x v="11"/>
    <s v="NA"/>
    <s v="LAMPARA DE EMERGENCIA CHICA"/>
    <s v="MAVRIK"/>
    <s v="ilam00100951"/>
    <s v="ILAM00100951"/>
    <n v="12"/>
  </r>
  <r>
    <n v="198"/>
    <n v="13"/>
    <x v="12"/>
    <x v="11"/>
    <s v="NA"/>
    <s v="LAMPARA DE EMERGENCIA GRANDE"/>
    <s v="STEREN"/>
    <s v="SN"/>
    <s v="SN"/>
    <n v="2"/>
  </r>
  <r>
    <n v="199"/>
    <n v="13"/>
    <x v="12"/>
    <x v="11"/>
    <s v="NA"/>
    <s v="RECEPTOR"/>
    <s v="SOUNDTRACK"/>
    <s v="isis01200049"/>
    <s v="ISIS01200049"/>
    <n v="12"/>
  </r>
  <r>
    <n v="200"/>
    <n v="13"/>
    <x v="12"/>
    <x v="11"/>
    <s v="NA"/>
    <s v="TAJALAPIZ"/>
    <s v="SN"/>
    <s v="ITAJ00100081"/>
    <s v="ITAJ00100081"/>
    <n v="12"/>
  </r>
  <r>
    <n v="202"/>
    <n v="13"/>
    <x v="12"/>
    <x v="11"/>
    <s v="NA"/>
    <s v="TELEFONOS"/>
    <s v="TELMEX"/>
    <s v="itel00101164"/>
    <s v="ITEL00101164"/>
    <n v="12"/>
  </r>
  <r>
    <n v="203"/>
    <n v="11"/>
    <x v="13"/>
    <x v="12"/>
    <s v="NA"/>
    <s v="BAFLE"/>
    <s v="STEREN"/>
    <s v="ibaf00100134"/>
    <s v="IBAF00100134"/>
    <n v="12"/>
  </r>
  <r>
    <n v="204"/>
    <n v="11"/>
    <x v="13"/>
    <x v="12"/>
    <s v="NA"/>
    <s v="BOTIQUIN"/>
    <s v="SN"/>
    <s v="ibot00100118"/>
    <s v="IBOT00100118"/>
    <n v="12"/>
  </r>
  <r>
    <n v="205"/>
    <n v="11"/>
    <x v="13"/>
    <x v="12"/>
    <s v="NA"/>
    <s v="CAMARA DIGITAL"/>
    <s v="SONY"/>
    <s v="ICAM00101770"/>
    <s v="ICAM00101770"/>
    <n v="12"/>
  </r>
  <r>
    <n v="206"/>
    <n v="11"/>
    <x v="13"/>
    <x v="12"/>
    <s v="NA"/>
    <s v="ENGARGOLADORA"/>
    <s v="COMBO"/>
    <s v="ieng00100051"/>
    <s v="IENG00100051"/>
    <n v="12"/>
  </r>
  <r>
    <n v="207"/>
    <n v="11"/>
    <x v="13"/>
    <x v="12"/>
    <s v="NA"/>
    <s v="EQUIPO DE PERIFONEO"/>
    <s v="RADSON"/>
    <s v="iamp00100028"/>
    <s v="IAMP00100028"/>
    <n v="12"/>
  </r>
  <r>
    <n v="208"/>
    <n v="11"/>
    <x v="13"/>
    <x v="12"/>
    <s v="NA"/>
    <s v="GRABADORA"/>
    <s v="SONY"/>
    <s v="IGRA00100380"/>
    <s v="IGRA00100380"/>
    <n v="12"/>
  </r>
  <r>
    <n v="210"/>
    <n v="11"/>
    <x v="13"/>
    <x v="12"/>
    <s v="NA"/>
    <s v="LAMPARA DE EMERGENCIA CHICA"/>
    <s v="MAVRIK"/>
    <s v="ilam00100959"/>
    <s v="ILAM00100959"/>
    <n v="12"/>
  </r>
  <r>
    <n v="211"/>
    <n v="11"/>
    <x v="13"/>
    <x v="12"/>
    <s v="NA"/>
    <s v="LAMPARA DE EMERGENCIA GRANDE"/>
    <s v="STEREN"/>
    <s v="SN"/>
    <s v="SN"/>
    <n v="2"/>
  </r>
  <r>
    <n v="212"/>
    <n v="11"/>
    <x v="13"/>
    <x v="12"/>
    <s v="NA"/>
    <s v="RECEPTOR"/>
    <s v="SOUNDTRACK"/>
    <s v="isis01200065"/>
    <s v="ISIS01200065"/>
    <n v="12"/>
  </r>
  <r>
    <n v="213"/>
    <n v="11"/>
    <x v="13"/>
    <x v="12"/>
    <s v="NA"/>
    <s v="TAJALAPIZ"/>
    <s v="SN"/>
    <s v="itaj00100064"/>
    <s v="ITAJ00100064"/>
    <n v="12"/>
  </r>
  <r>
    <n v="214"/>
    <n v="11"/>
    <x v="13"/>
    <x v="12"/>
    <s v="NA"/>
    <s v="TELEFONOS"/>
    <s v="TELMEX"/>
    <s v="itel00100453"/>
    <s v="ITEL00100453"/>
    <n v="12"/>
  </r>
  <r>
    <n v="215"/>
    <n v="13"/>
    <x v="14"/>
    <x v="13"/>
    <s v="NA"/>
    <s v="BAFLE"/>
    <s v="STEREN"/>
    <s v="ibaf00100158"/>
    <s v="IBAF00100158"/>
    <n v="13"/>
  </r>
  <r>
    <n v="216"/>
    <n v="13"/>
    <x v="14"/>
    <x v="13"/>
    <s v="NA"/>
    <s v="BOTIQUIN"/>
    <s v="SN"/>
    <s v="ibot00100122"/>
    <s v="IBOT00100122"/>
    <n v="12"/>
  </r>
  <r>
    <n v="218"/>
    <n v="13"/>
    <x v="14"/>
    <x v="13"/>
    <s v="NA"/>
    <s v="CAMARA DIGITAL"/>
    <s v="SONY"/>
    <s v="ICAM00101755"/>
    <s v="ICAM00101755"/>
    <n v="12"/>
  </r>
  <r>
    <n v="219"/>
    <n v="13"/>
    <x v="14"/>
    <x v="13"/>
    <s v="NA"/>
    <s v="ENGARGOLADORA"/>
    <s v="COMBO"/>
    <s v="ieng00100074"/>
    <s v="IENG00100074"/>
    <n v="12"/>
  </r>
  <r>
    <n v="220"/>
    <n v="13"/>
    <x v="14"/>
    <x v="13"/>
    <s v="NA"/>
    <s v="EQUIPO DE PERIFONEO"/>
    <s v="RADSON"/>
    <s v="iamp00100086"/>
    <s v="IAMP00100086"/>
    <n v="12"/>
  </r>
  <r>
    <n v="221"/>
    <n v="13"/>
    <x v="14"/>
    <x v="13"/>
    <s v="NA"/>
    <s v="GRABADORA"/>
    <s v="SONY"/>
    <s v="IGRA00100430"/>
    <s v="IGRA00100430"/>
    <n v="12"/>
  </r>
  <r>
    <n v="222"/>
    <n v="13"/>
    <x v="14"/>
    <x v="13"/>
    <s v="NA"/>
    <s v="LAMPARA DE EMERGENCIA CHICA"/>
    <s v="MAVRIK"/>
    <s v="ILAM00100981"/>
    <s v="ILAM00100981"/>
    <n v="12"/>
  </r>
  <r>
    <n v="223"/>
    <n v="13"/>
    <x v="14"/>
    <x v="13"/>
    <s v="NA"/>
    <s v="LAMPARA DE EMERGENCIA CHICA"/>
    <s v="MAVRIK"/>
    <s v="ILAM00100924"/>
    <s v="ILAM00100924"/>
    <n v="12"/>
  </r>
  <r>
    <n v="224"/>
    <n v="13"/>
    <x v="14"/>
    <x v="13"/>
    <s v="NA"/>
    <s v="LAMPARA DE EMERGENCIA CHICA"/>
    <s v="MAVRIK"/>
    <s v="ILAM00100925"/>
    <s v="ILAM00100925"/>
    <n v="12"/>
  </r>
  <r>
    <n v="226"/>
    <n v="13"/>
    <x v="14"/>
    <x v="13"/>
    <s v="NA"/>
    <s v="LAMPARA DE EMERGENCIA GRANDE"/>
    <s v="STEREN"/>
    <s v="SN"/>
    <s v="SN"/>
    <n v="2"/>
  </r>
  <r>
    <n v="227"/>
    <n v="13"/>
    <x v="14"/>
    <x v="13"/>
    <s v="NA"/>
    <s v="RECEPTOR"/>
    <s v="SOUNDTRACK"/>
    <s v="isis01200144"/>
    <s v="ISIS01200144"/>
    <n v="12"/>
  </r>
  <r>
    <n v="228"/>
    <n v="13"/>
    <x v="14"/>
    <x v="13"/>
    <s v="NA"/>
    <s v="TAJALAPIZ"/>
    <s v="SN"/>
    <s v="itaj00100153"/>
    <s v="ITAJ00100153"/>
    <n v="12"/>
  </r>
  <r>
    <n v="229"/>
    <n v="13"/>
    <x v="14"/>
    <x v="13"/>
    <s v="NA"/>
    <s v="TELEFONOS"/>
    <s v="TELMEX"/>
    <s v="itel00101094"/>
    <s v="ITEL00101094"/>
    <n v="12"/>
  </r>
  <r>
    <n v="230"/>
    <n v="14"/>
    <x v="15"/>
    <x v="14"/>
    <s v="NA"/>
    <s v="BAFLE"/>
    <s v="STEREN"/>
    <s v="ibaf00100048"/>
    <s v="IBAF00100048"/>
    <n v="12"/>
  </r>
  <r>
    <n v="231"/>
    <n v="14"/>
    <x v="15"/>
    <x v="14"/>
    <s v="NA"/>
    <s v="BOTIQUIN"/>
    <s v="SN"/>
    <s v="ibot00100044"/>
    <s v="IBOT00100044"/>
    <n v="12"/>
  </r>
  <r>
    <n v="232"/>
    <n v="14"/>
    <x v="15"/>
    <x v="14"/>
    <s v="NA"/>
    <s v="CAMARA DIGITAL"/>
    <s v="SONY"/>
    <s v="ICAM00101801"/>
    <s v="ICAM00101801"/>
    <n v="12"/>
  </r>
  <r>
    <n v="234"/>
    <n v="14"/>
    <x v="15"/>
    <x v="14"/>
    <s v="NA"/>
    <s v="ENGARGOLADORA"/>
    <s v="COMBO"/>
    <s v="ieng00100185"/>
    <s v="IENG00100185"/>
    <n v="12"/>
  </r>
  <r>
    <n v="235"/>
    <n v="14"/>
    <x v="15"/>
    <x v="14"/>
    <s v="NA"/>
    <s v="EQUIPO DE PERIFONEO"/>
    <s v="RADSON"/>
    <s v="iamp00100131"/>
    <s v="IAMP00100131"/>
    <n v="12"/>
  </r>
  <r>
    <n v="236"/>
    <n v="14"/>
    <x v="15"/>
    <x v="14"/>
    <s v="NA"/>
    <s v="GRABADORA"/>
    <s v="SONY"/>
    <s v="IGRA00100315"/>
    <s v="IGRA00100315"/>
    <n v="12"/>
  </r>
  <r>
    <n v="237"/>
    <n v="14"/>
    <x v="15"/>
    <x v="14"/>
    <s v="NA"/>
    <s v="LAMPARA DE EMERGENCIA CHICA"/>
    <s v="MAVRIK"/>
    <s v="ilam00100973"/>
    <s v="ILAM00100973"/>
    <n v="12"/>
  </r>
  <r>
    <n v="238"/>
    <n v="14"/>
    <x v="15"/>
    <x v="14"/>
    <s v="NA"/>
    <s v="LAMPARA DE EMERGENCIA CHICA"/>
    <s v="MAVRIK"/>
    <s v="ilam00100988"/>
    <s v="ILAM00100988"/>
    <n v="12"/>
  </r>
  <r>
    <n v="239"/>
    <n v="14"/>
    <x v="15"/>
    <x v="14"/>
    <s v="NA"/>
    <s v="LAMPARA DE EMERGENCIA CHICA"/>
    <s v="MAVRIK"/>
    <s v="ilam00100943"/>
    <s v="ILAM00100943"/>
    <n v="12"/>
  </r>
  <r>
    <n v="240"/>
    <n v="14"/>
    <x v="15"/>
    <x v="14"/>
    <s v="NA"/>
    <s v="LAMPARA DE EMERGENCIA CHICA"/>
    <s v="MAVRIK"/>
    <s v="ilam00100972"/>
    <s v="ILAM00100972"/>
    <n v="12"/>
  </r>
  <r>
    <n v="242"/>
    <n v="14"/>
    <x v="15"/>
    <x v="14"/>
    <s v="NA"/>
    <s v="LAMPARA DE EMERGENCIA GRANDE"/>
    <s v="STEREN"/>
    <s v="SN"/>
    <s v="SN"/>
    <n v="2"/>
  </r>
  <r>
    <n v="243"/>
    <n v="14"/>
    <x v="15"/>
    <x v="14"/>
    <s v="NA"/>
    <s v="RECEPTOR"/>
    <s v="SOUNDTRACK"/>
    <s v="isis01200063"/>
    <s v="ISIS01200063"/>
    <n v="12"/>
  </r>
  <r>
    <n v="244"/>
    <n v="14"/>
    <x v="15"/>
    <x v="14"/>
    <s v="NA"/>
    <s v="TAJALAPIZ"/>
    <s v="SN"/>
    <s v="itaj00100198"/>
    <s v="ITAJ00100198"/>
    <n v="12"/>
  </r>
  <r>
    <n v="245"/>
    <n v="14"/>
    <x v="15"/>
    <x v="14"/>
    <s v="NA"/>
    <s v="TELEFONOS"/>
    <s v="TELMEX"/>
    <s v="itel00100463"/>
    <s v="ITEL00100463"/>
    <n v="12"/>
  </r>
  <r>
    <n v="246"/>
    <n v="14"/>
    <x v="16"/>
    <x v="15"/>
    <s v="NA"/>
    <s v="BAFLE"/>
    <s v="STEREN"/>
    <s v="ibaf00100203"/>
    <s v="IBAF00100203"/>
    <n v="12"/>
  </r>
  <r>
    <n v="247"/>
    <n v="14"/>
    <x v="16"/>
    <x v="15"/>
    <s v="NA"/>
    <s v="BOTIQUIN"/>
    <s v="SN"/>
    <s v="ibot00100028"/>
    <s v="IBOT00100028"/>
    <n v="12"/>
  </r>
  <r>
    <n v="248"/>
    <n v="14"/>
    <x v="16"/>
    <x v="15"/>
    <s v="NA"/>
    <s v="CAMARA DIGITAL"/>
    <s v="SONY"/>
    <s v="ICAM00101806"/>
    <s v="ICAM00101806"/>
    <n v="12"/>
  </r>
  <r>
    <n v="250"/>
    <n v="14"/>
    <x v="16"/>
    <x v="15"/>
    <s v="NA"/>
    <s v="ENGARGOLADORA"/>
    <s v="COMBO"/>
    <s v="ieng00100155"/>
    <s v="IENG00100155"/>
    <n v="12"/>
  </r>
  <r>
    <n v="251"/>
    <n v="14"/>
    <x v="16"/>
    <x v="15"/>
    <s v="NA"/>
    <s v="EQUIPO DE PERIFONEO"/>
    <s v="RADSON"/>
    <s v="iamp00100115"/>
    <s v="IAMP00100115"/>
    <n v="12"/>
  </r>
  <r>
    <n v="252"/>
    <n v="14"/>
    <x v="16"/>
    <x v="15"/>
    <s v="NA"/>
    <s v="GRABADORA"/>
    <s v="SONY"/>
    <s v="IGRA00100285"/>
    <s v="IGRA00100285"/>
    <n v="12"/>
  </r>
  <r>
    <n v="253"/>
    <n v="14"/>
    <x v="16"/>
    <x v="15"/>
    <s v="NA"/>
    <s v="LAMPARA DE EMERGENCIA CHICA"/>
    <s v="MAVRIK"/>
    <s v="ilam00100996"/>
    <s v="ILAM00100996"/>
    <n v="12"/>
  </r>
  <r>
    <n v="254"/>
    <n v="14"/>
    <x v="16"/>
    <x v="15"/>
    <s v="NA"/>
    <s v="LAMPARA DE EMERGENCIA CHICA"/>
    <s v="MAVRIK"/>
    <s v="ilam00100993"/>
    <s v="ILAM00100993"/>
    <n v="12"/>
  </r>
  <r>
    <n v="255"/>
    <n v="14"/>
    <x v="16"/>
    <x v="15"/>
    <s v="NA"/>
    <s v="LAMPARA DE EMERGENCIA CHICA"/>
    <s v="MAVRIK"/>
    <s v="ilam00100947"/>
    <s v="ILAM00100947"/>
    <n v="12"/>
  </r>
  <r>
    <n v="256"/>
    <n v="14"/>
    <x v="16"/>
    <x v="15"/>
    <s v="NA"/>
    <s v="LAMPARA DE EMERGENCIA CHICA"/>
    <s v="MAVRIK"/>
    <s v="ilam00100956"/>
    <s v="ILAM00100956"/>
    <n v="12"/>
  </r>
  <r>
    <n v="258"/>
    <n v="14"/>
    <x v="16"/>
    <x v="15"/>
    <s v="NA"/>
    <s v="LAMPARA DE EMERGENCIA GRANDE"/>
    <s v="STEREN"/>
    <s v="SN"/>
    <s v="SN"/>
    <n v="2"/>
  </r>
  <r>
    <n v="259"/>
    <n v="14"/>
    <x v="16"/>
    <x v="15"/>
    <s v="NA"/>
    <s v="RECEPTOR"/>
    <s v="SOUNDTRACK"/>
    <s v="isis01200149"/>
    <s v="ISIS01200149"/>
    <n v="12"/>
  </r>
  <r>
    <n v="260"/>
    <n v="14"/>
    <x v="16"/>
    <x v="15"/>
    <s v="NA"/>
    <s v="TAJALAPIZ"/>
    <s v="SN"/>
    <s v="itaj00100232"/>
    <s v="ITAJ00100232"/>
    <n v="12"/>
  </r>
  <r>
    <n v="261"/>
    <n v="14"/>
    <x v="16"/>
    <x v="15"/>
    <s v="NA"/>
    <s v="TELEFONOS"/>
    <s v="TELMEX"/>
    <s v="itel00100610"/>
    <s v="ITEL00100610"/>
    <n v="12"/>
  </r>
  <r>
    <n v="262"/>
    <n v="12"/>
    <x v="17"/>
    <x v="16"/>
    <s v="NA"/>
    <s v="BAFLE"/>
    <s v="STEREN"/>
    <s v="ibaf00100106"/>
    <s v="IBAF00100106"/>
    <n v="12"/>
  </r>
  <r>
    <n v="263"/>
    <n v="12"/>
    <x v="17"/>
    <x v="16"/>
    <s v="NA"/>
    <s v="BOTIQUIN"/>
    <s v="SN"/>
    <s v="ibot00100090"/>
    <s v="IBOT00100090"/>
    <n v="12"/>
  </r>
  <r>
    <n v="264"/>
    <n v="12"/>
    <x v="17"/>
    <x v="16"/>
    <s v="NA"/>
    <s v="CAMARA DIGITAL"/>
    <s v="SONY"/>
    <s v="ICAM00101798"/>
    <s v="ICAM00101798"/>
    <n v="12"/>
  </r>
  <r>
    <n v="266"/>
    <n v="12"/>
    <x v="17"/>
    <x v="16"/>
    <s v="NA"/>
    <s v="ENGARGOLADORA"/>
    <s v="COMBO"/>
    <s v="ieng00100043"/>
    <s v="IENG00100043"/>
    <n v="12"/>
  </r>
  <r>
    <n v="267"/>
    <n v="12"/>
    <x v="17"/>
    <x v="16"/>
    <s v="NA"/>
    <s v="EQUIPO DE PERIFONEO"/>
    <s v="RADSON"/>
    <s v="iamp00100035"/>
    <s v="IAMP00100035"/>
    <n v="12"/>
  </r>
  <r>
    <n v="268"/>
    <n v="12"/>
    <x v="17"/>
    <x v="16"/>
    <s v="NA"/>
    <s v="GRABADORA"/>
    <s v="SONY"/>
    <s v="IGRA00100371"/>
    <s v="IGRA00100371"/>
    <n v="12"/>
  </r>
  <r>
    <n v="269"/>
    <n v="12"/>
    <x v="17"/>
    <x v="16"/>
    <s v="NA"/>
    <s v="LAMPARA DE EMERGENCIA CHICA"/>
    <s v="MAVRIK"/>
    <s v="ilam00100998"/>
    <s v="ILAM00100998"/>
    <n v="12"/>
  </r>
  <r>
    <n v="270"/>
    <n v="12"/>
    <x v="17"/>
    <x v="16"/>
    <s v="NA"/>
    <s v="LAMPARA DE EMERGENCIA CHICA"/>
    <s v="MAVRIK"/>
    <s v="ilam00100933"/>
    <s v="ILAM00100933"/>
    <n v="12"/>
  </r>
  <r>
    <n v="271"/>
    <n v="12"/>
    <x v="17"/>
    <x v="16"/>
    <s v="NA"/>
    <s v="LAMPARA DE EMERGENCIA GRANDE"/>
    <s v="STEREN"/>
    <s v="SN"/>
    <s v="SN"/>
    <n v="2"/>
  </r>
  <r>
    <n v="272"/>
    <n v="12"/>
    <x v="17"/>
    <x v="16"/>
    <s v="NA"/>
    <s v="RECEPTOR"/>
    <s v="SOUNDTRACK"/>
    <s v="isis01200059"/>
    <s v="ISIS01200059"/>
    <n v="12"/>
  </r>
  <r>
    <n v="274"/>
    <n v="12"/>
    <x v="17"/>
    <x v="16"/>
    <s v="NA"/>
    <s v="TAJALAPIZ"/>
    <s v="SN"/>
    <s v="itaj00100192"/>
    <s v="ITAJ00100192"/>
    <n v="12"/>
  </r>
  <r>
    <n v="275"/>
    <n v="12"/>
    <x v="17"/>
    <x v="16"/>
    <s v="NA"/>
    <s v="TELEFONOS"/>
    <s v="TELMEX"/>
    <s v="itel00100836"/>
    <s v="ITEL00100836"/>
    <n v="12"/>
  </r>
  <r>
    <n v="276"/>
    <n v="14"/>
    <x v="18"/>
    <x v="17"/>
    <s v="NA"/>
    <s v="BAFLE"/>
    <s v="STEREN"/>
    <s v="IBAF00100112"/>
    <s v="IBAF00100112"/>
    <n v="12"/>
  </r>
  <r>
    <n v="277"/>
    <n v="14"/>
    <x v="18"/>
    <x v="17"/>
    <s v="NA"/>
    <s v="BOTIQUIN"/>
    <s v="SN"/>
    <s v="ibot00100070"/>
    <s v="IBOT00100070"/>
    <n v="12"/>
  </r>
  <r>
    <n v="278"/>
    <n v="14"/>
    <x v="18"/>
    <x v="17"/>
    <s v="NA"/>
    <s v="CAMARA DIGITAL"/>
    <s v="SONY"/>
    <s v="ICAM00101756"/>
    <s v="ICAM00101756"/>
    <n v="12"/>
  </r>
  <r>
    <n v="279"/>
    <n v="14"/>
    <x v="18"/>
    <x v="17"/>
    <s v="NA"/>
    <s v="ENGARGOLADORA"/>
    <s v="COMBO"/>
    <s v="ieng00100130"/>
    <s v="IENG00100130"/>
    <n v="12"/>
  </r>
  <r>
    <n v="280"/>
    <n v="14"/>
    <x v="18"/>
    <x v="17"/>
    <s v="NA"/>
    <s v="EQUIPO DE PERIFONEO"/>
    <s v="RADSON"/>
    <s v="iamp00100065"/>
    <s v="IAMP00100065"/>
    <n v="12"/>
  </r>
  <r>
    <n v="282"/>
    <n v="14"/>
    <x v="18"/>
    <x v="17"/>
    <s v="NA"/>
    <s v="GRABADORA"/>
    <s v="SONY"/>
    <s v="IGRA00100321"/>
    <s v="IGRA00100321"/>
    <n v="12"/>
  </r>
  <r>
    <n v="283"/>
    <n v="14"/>
    <x v="18"/>
    <x v="17"/>
    <s v="NA"/>
    <s v="LAMPARA DE EMERGENCIA CHICA"/>
    <s v="MAVRIK"/>
    <s v="ilam00101038"/>
    <s v="ILAM00101038"/>
    <n v="12"/>
  </r>
  <r>
    <n v="284"/>
    <n v="14"/>
    <x v="18"/>
    <x v="17"/>
    <s v="NA"/>
    <s v="LAMPARA DE EMERGENCIA CHICA"/>
    <s v="MAVRIK"/>
    <s v="ilam00100968"/>
    <s v="ILAM00100968"/>
    <n v="12"/>
  </r>
  <r>
    <n v="285"/>
    <n v="14"/>
    <x v="18"/>
    <x v="17"/>
    <s v="NA"/>
    <s v="LAMPARA DE EMERGENCIA CHICA"/>
    <s v="MAVRIK"/>
    <s v="ilam00100945"/>
    <s v="ILAM00100945"/>
    <n v="12"/>
  </r>
  <r>
    <n v="286"/>
    <n v="14"/>
    <x v="18"/>
    <x v="17"/>
    <s v="NA"/>
    <s v="LAMPARA DE EMERGENCIA CHICA"/>
    <s v="MAVRIK"/>
    <s v="ilam00100969"/>
    <s v="ILAM00100969"/>
    <n v="12"/>
  </r>
  <r>
    <n v="287"/>
    <n v="14"/>
    <x v="18"/>
    <x v="17"/>
    <s v="NA"/>
    <s v="LAMPARA DE EMERGENCIA GRANDE"/>
    <s v="STEREN"/>
    <s v="SN"/>
    <s v="SN"/>
    <n v="2"/>
  </r>
  <r>
    <n v="288"/>
    <n v="14"/>
    <x v="18"/>
    <x v="17"/>
    <s v="NA"/>
    <s v="RECEPTOR"/>
    <s v="SOUNDTRACK"/>
    <s v="isis01200185"/>
    <s v="ISIS01200185"/>
    <n v="12"/>
  </r>
  <r>
    <n v="289"/>
    <n v="14"/>
    <x v="18"/>
    <x v="17"/>
    <s v="NA"/>
    <s v="TAJALAPIZ"/>
    <s v="SN"/>
    <s v="itaj00100049"/>
    <s v="ITAJ00100049"/>
    <n v="12"/>
  </r>
  <r>
    <n v="291"/>
    <n v="14"/>
    <x v="18"/>
    <x v="17"/>
    <s v="NA"/>
    <s v="TELEFONOS"/>
    <s v="TELMEX"/>
    <s v="itel00101185"/>
    <s v="ITEL00101185"/>
    <n v="12"/>
  </r>
  <r>
    <n v="292"/>
    <n v="13"/>
    <x v="19"/>
    <x v="18"/>
    <s v="NA"/>
    <s v="BAFLE"/>
    <s v="STEREN"/>
    <s v="ibaf00100180"/>
    <s v="IBAF00100180"/>
    <n v="12"/>
  </r>
  <r>
    <n v="293"/>
    <n v="13"/>
    <x v="19"/>
    <x v="18"/>
    <s v="NA"/>
    <s v="BOTIQUIN"/>
    <s v="SN"/>
    <s v="ibot00100109"/>
    <s v="IBOT00100109"/>
    <n v="12"/>
  </r>
  <r>
    <n v="294"/>
    <n v="13"/>
    <x v="19"/>
    <x v="18"/>
    <s v="NA"/>
    <s v="CAMARA DIGITAL"/>
    <s v="SONY"/>
    <s v="ICAM00101761"/>
    <s v="ICAM00101761"/>
    <n v="12"/>
  </r>
  <r>
    <n v="295"/>
    <n v="13"/>
    <x v="19"/>
    <x v="18"/>
    <s v="NA"/>
    <s v="ENGARGOLADORA"/>
    <s v="COMBO"/>
    <s v="ieng00100035"/>
    <s v="IENG00100035"/>
    <n v="12"/>
  </r>
  <r>
    <n v="296"/>
    <n v="13"/>
    <x v="19"/>
    <x v="18"/>
    <s v="NA"/>
    <s v="EQUIPO DE PERIFONEO"/>
    <s v="RADSON"/>
    <s v="iamp00100092"/>
    <s v="IAMP00100092"/>
    <n v="12"/>
  </r>
  <r>
    <n v="297"/>
    <n v="13"/>
    <x v="19"/>
    <x v="18"/>
    <s v="NA"/>
    <s v="GRABADORA"/>
    <s v="SONY"/>
    <s v="IGRA00100392"/>
    <s v="IGRA00100392"/>
    <n v="12"/>
  </r>
  <r>
    <n v="299"/>
    <n v="13"/>
    <x v="19"/>
    <x v="18"/>
    <s v="NA"/>
    <s v="LAMPARA DE EMERGENCIA CHICA"/>
    <s v="MAVRIK"/>
    <s v="ilam00101012"/>
    <s v="ILAM00101012"/>
    <n v="12"/>
  </r>
  <r>
    <n v="300"/>
    <n v="13"/>
    <x v="19"/>
    <x v="18"/>
    <s v="NA"/>
    <s v="LAMPARA DE EMERGENCIA CHICA"/>
    <s v="MAVRIK"/>
    <s v="ilam00101068"/>
    <s v="ILAM00101068"/>
    <n v="12"/>
  </r>
  <r>
    <n v="301"/>
    <n v="13"/>
    <x v="19"/>
    <x v="18"/>
    <s v="NA"/>
    <s v="LAMPARA DE EMERGENCIA CHICA"/>
    <s v="MAVRIK"/>
    <s v="ilam00101067"/>
    <s v="ILAM00101067"/>
    <n v="12"/>
  </r>
  <r>
    <n v="302"/>
    <n v="13"/>
    <x v="19"/>
    <x v="18"/>
    <s v="NA"/>
    <s v="LAMPARA DE EMERGENCIA GRANDE"/>
    <s v="STEREN"/>
    <s v="SN"/>
    <s v="SN"/>
    <n v="2"/>
  </r>
  <r>
    <n v="303"/>
    <n v="13"/>
    <x v="19"/>
    <x v="18"/>
    <s v="NA"/>
    <s v="RECEPTOR"/>
    <s v="SOUNDTRACK"/>
    <s v="isis01200051"/>
    <s v="ISIS01200051"/>
    <n v="12"/>
  </r>
  <r>
    <n v="304"/>
    <n v="13"/>
    <x v="19"/>
    <x v="18"/>
    <s v="NA"/>
    <s v="TAJALAPIZ"/>
    <s v="SN"/>
    <s v="itaj00100008"/>
    <s v="ITAJ00100008"/>
    <n v="12"/>
  </r>
  <r>
    <n v="305"/>
    <n v="13"/>
    <x v="19"/>
    <x v="18"/>
    <s v="NA"/>
    <s v="TELEFONOS"/>
    <s v="TELMEX"/>
    <s v="itel00100880"/>
    <s v="ITEL00100880"/>
    <n v="12"/>
  </r>
  <r>
    <n v="307"/>
    <n v="13"/>
    <x v="20"/>
    <x v="5"/>
    <s v="NA"/>
    <s v="BAFLE"/>
    <s v="STEREN"/>
    <s v="ibaf00100057"/>
    <s v="IBAF00100057"/>
    <n v="12"/>
  </r>
  <r>
    <n v="308"/>
    <n v="13"/>
    <x v="20"/>
    <x v="5"/>
    <s v="NA"/>
    <s v="BOTIQUIN"/>
    <s v="SN"/>
    <s v="ibot00100188"/>
    <s v="IBOT00100188"/>
    <n v="12"/>
  </r>
  <r>
    <n v="309"/>
    <n v="13"/>
    <x v="20"/>
    <x v="5"/>
    <s v="NA"/>
    <s v="CAMARA DIGITAL"/>
    <s v="SONY"/>
    <s v="ICAM00101784"/>
    <s v="ICAM00101784"/>
    <n v="12"/>
  </r>
  <r>
    <n v="310"/>
    <n v="13"/>
    <x v="20"/>
    <x v="5"/>
    <s v="NA"/>
    <s v="ENGARGOLADORA"/>
    <s v="COMBO"/>
    <s v="ieng00100087"/>
    <s v="IENG00100087"/>
    <n v="12"/>
  </r>
  <r>
    <n v="311"/>
    <n v="13"/>
    <x v="20"/>
    <x v="5"/>
    <s v="NA"/>
    <s v="EQUIPO DE PERIFONEO"/>
    <s v="RADSON"/>
    <s v="IAMP00100129"/>
    <s v="IAMP00100129"/>
    <n v="12"/>
  </r>
  <r>
    <n v="312"/>
    <n v="13"/>
    <x v="20"/>
    <x v="5"/>
    <s v="NA"/>
    <s v="GRABADORA"/>
    <s v="SONY"/>
    <s v="IGRA00100331"/>
    <s v="IGRA00100331"/>
    <n v="12"/>
  </r>
  <r>
    <n v="313"/>
    <n v="13"/>
    <x v="20"/>
    <x v="5"/>
    <s v="NA"/>
    <s v="LAMPARA DE EMERGENCIA CHICA"/>
    <s v="MAVRIK"/>
    <s v="ilam00100936"/>
    <s v="ILAM00100936"/>
    <n v="12"/>
  </r>
  <r>
    <n v="315"/>
    <n v="13"/>
    <x v="20"/>
    <x v="5"/>
    <s v="NA"/>
    <s v="LAMPARA DE EMERGENCIA CHICA"/>
    <s v="MAVRIK"/>
    <s v="ilam00101037"/>
    <s v="ILAM00101037"/>
    <n v="12"/>
  </r>
  <r>
    <n v="316"/>
    <n v="13"/>
    <x v="20"/>
    <x v="5"/>
    <s v="NA"/>
    <s v="LAMPARA DE EMERGENCIA CHICA"/>
    <s v="MAVRIK"/>
    <s v="ilam00101002"/>
    <s v="ILAM00101002"/>
    <n v="12"/>
  </r>
  <r>
    <n v="317"/>
    <n v="13"/>
    <x v="20"/>
    <x v="5"/>
    <s v="NA"/>
    <s v="LAMPARA DE EMERGENCIA GRANDE"/>
    <s v="STEREN"/>
    <s v="SN"/>
    <s v="SN"/>
    <n v="2"/>
  </r>
  <r>
    <n v="318"/>
    <n v="13"/>
    <x v="20"/>
    <x v="5"/>
    <s v="NA"/>
    <s v="RECEPTOR"/>
    <s v="SOUNDTRACK"/>
    <s v="isis01200148"/>
    <s v="ISIS01200148"/>
    <n v="12"/>
  </r>
  <r>
    <n v="319"/>
    <n v="13"/>
    <x v="20"/>
    <x v="5"/>
    <s v="NA"/>
    <s v="TAJALAPIZ"/>
    <s v="SN"/>
    <s v="itaj00100152"/>
    <s v="ITAJ00100152"/>
    <n v="12"/>
  </r>
  <r>
    <n v="320"/>
    <n v="13"/>
    <x v="20"/>
    <x v="5"/>
    <s v="NA"/>
    <s v="TELEFONOS"/>
    <s v="TELMEX"/>
    <s v="itel00100237"/>
    <s v="ITEL00100237"/>
    <n v="12"/>
  </r>
  <r>
    <n v="321"/>
    <n v="13"/>
    <x v="21"/>
    <x v="19"/>
    <s v="NA"/>
    <s v="BAFLE"/>
    <s v="STEREN"/>
    <s v="ibaf00100144"/>
    <s v="IBAF00100144"/>
    <n v="12"/>
  </r>
  <r>
    <n v="323"/>
    <n v="13"/>
    <x v="21"/>
    <x v="19"/>
    <s v="NA"/>
    <s v="BOTIQUIN"/>
    <s v="SN"/>
    <s v="ibot00100157"/>
    <s v="IBOT00100157"/>
    <n v="12"/>
  </r>
  <r>
    <n v="324"/>
    <n v="13"/>
    <x v="21"/>
    <x v="19"/>
    <s v="NA"/>
    <s v="CAMARA DIGITAL"/>
    <s v="SONY"/>
    <s v="ICAM00101789"/>
    <s v="ICAM00101789"/>
    <n v="12"/>
  </r>
  <r>
    <n v="325"/>
    <n v="13"/>
    <x v="21"/>
    <x v="19"/>
    <s v="NA"/>
    <s v="ENGARGOLADORA"/>
    <s v="COMBO"/>
    <s v="ieng00100033"/>
    <s v="IENG00100033"/>
    <n v="12"/>
  </r>
  <r>
    <n v="326"/>
    <n v="13"/>
    <x v="21"/>
    <x v="19"/>
    <s v="NA"/>
    <s v="EQUIPO DE PERIFONEO"/>
    <s v="RADSON"/>
    <s v="iamp00100071"/>
    <s v="IAMP00100071"/>
    <n v="12"/>
  </r>
  <r>
    <n v="327"/>
    <n v="13"/>
    <x v="21"/>
    <x v="19"/>
    <s v="NA"/>
    <s v="GRABADORA"/>
    <s v="SONY"/>
    <s v="IGRA00100415"/>
    <s v="IGRA00100415"/>
    <n v="12"/>
  </r>
  <r>
    <n v="328"/>
    <n v="13"/>
    <x v="21"/>
    <x v="19"/>
    <s v="NA"/>
    <s v="LAMPARA DE EMERGENCIA CHICA"/>
    <s v="SANELEC"/>
    <s v="ilam00100671"/>
    <s v="ILAM00100671"/>
    <n v="12"/>
  </r>
  <r>
    <n v="329"/>
    <n v="13"/>
    <x v="21"/>
    <x v="19"/>
    <s v="NA"/>
    <s v="LAMPARA DE EMERGENCIA CHICA"/>
    <s v="SANELEC"/>
    <s v="ilam00100797"/>
    <s v="ILAM00100797"/>
    <n v="12"/>
  </r>
  <r>
    <n v="331"/>
    <n v="13"/>
    <x v="21"/>
    <x v="19"/>
    <s v="NA"/>
    <s v="LAMPARA DE EMERGENCIA CHICA"/>
    <s v="SANELEC"/>
    <s v="ilam00100821"/>
    <s v="ILAM00100821"/>
    <n v="12"/>
  </r>
  <r>
    <n v="332"/>
    <n v="13"/>
    <x v="21"/>
    <x v="19"/>
    <s v="NA"/>
    <s v="LAMPARA DE EMERGENCIA GRANDE"/>
    <s v="STEREN"/>
    <s v="SN"/>
    <s v="SN"/>
    <n v="2"/>
  </r>
  <r>
    <n v="333"/>
    <n v="13"/>
    <x v="21"/>
    <x v="19"/>
    <s v="NA"/>
    <s v="RECEPTOR"/>
    <s v="SOUNDTRACK"/>
    <s v="isis01200089"/>
    <s v="ISIS01200089"/>
    <n v="12"/>
  </r>
  <r>
    <n v="334"/>
    <n v="13"/>
    <x v="21"/>
    <x v="19"/>
    <s v="NA"/>
    <s v="TAJALAPIZ"/>
    <s v="SN"/>
    <s v="itaj00100242"/>
    <s v="ITAJ00100242"/>
    <n v="12"/>
  </r>
  <r>
    <n v="335"/>
    <n v="13"/>
    <x v="21"/>
    <x v="19"/>
    <s v="NA"/>
    <s v="TELEFONOS"/>
    <s v="TELMEX"/>
    <s v="itel00100477"/>
    <s v="ITEL00100477"/>
    <n v="12"/>
  </r>
  <r>
    <n v="336"/>
    <n v="14"/>
    <x v="22"/>
    <x v="20"/>
    <s v="NA"/>
    <s v="BAFLE"/>
    <s v="STEREN"/>
    <s v="ibaf00100156"/>
    <s v="IBAF00100156"/>
    <n v="12"/>
  </r>
  <r>
    <n v="337"/>
    <n v="14"/>
    <x v="22"/>
    <x v="20"/>
    <s v="NA"/>
    <s v="BOTIQUIN"/>
    <s v="SN"/>
    <s v="ibot00100168"/>
    <s v="IBOT00100168"/>
    <n v="12"/>
  </r>
  <r>
    <n v="339"/>
    <n v="14"/>
    <x v="22"/>
    <x v="20"/>
    <s v="NA"/>
    <s v="CAMARA DIGITAL"/>
    <s v="SONY"/>
    <s v="ICAM00101769"/>
    <s v="ICAM00101769"/>
    <n v="12"/>
  </r>
  <r>
    <n v="340"/>
    <n v="14"/>
    <x v="22"/>
    <x v="20"/>
    <s v="NA"/>
    <s v="ENGARGOLADORA"/>
    <s v="COMBO"/>
    <s v="ieng00100094"/>
    <s v="IENG00100094"/>
    <n v="12"/>
  </r>
  <r>
    <n v="341"/>
    <n v="14"/>
    <x v="22"/>
    <x v="20"/>
    <s v="NA"/>
    <s v="EQUIPO DE PERIFONEO"/>
    <s v="RADSON"/>
    <s v="iamp00100058"/>
    <s v="IAMP00100058"/>
    <n v="12"/>
  </r>
  <r>
    <n v="342"/>
    <n v="14"/>
    <x v="22"/>
    <x v="20"/>
    <s v="NA"/>
    <s v="GRABADORA"/>
    <s v="SONY"/>
    <s v="IGRA00100408"/>
    <s v="IGRA00100408"/>
    <n v="12"/>
  </r>
  <r>
    <n v="343"/>
    <n v="14"/>
    <x v="22"/>
    <x v="20"/>
    <s v="NA"/>
    <s v="LAMPARA DE EMERGENCIA CHICA"/>
    <s v="STEREN"/>
    <s v="ILAM00100818"/>
    <s v="ILAM00100818"/>
    <n v="12"/>
  </r>
  <r>
    <n v="344"/>
    <n v="14"/>
    <x v="22"/>
    <x v="20"/>
    <s v="NA"/>
    <s v="LAMPARA DE EMERGENCIA CHICA"/>
    <s v="STEREN"/>
    <s v="ILAM00101351"/>
    <s v="ILAM00101351"/>
    <n v="12"/>
  </r>
  <r>
    <n v="345"/>
    <n v="14"/>
    <x v="22"/>
    <x v="20"/>
    <s v="NA"/>
    <s v="LAMPARA DE EMERGENCIA CHICA"/>
    <s v="STEREN"/>
    <s v="ILAM00101337"/>
    <s v="ILAM00101337"/>
    <n v="12"/>
  </r>
  <r>
    <n v="347"/>
    <n v="14"/>
    <x v="22"/>
    <x v="20"/>
    <s v="NA"/>
    <s v="LAMPARA DE EMERGENCIA CHICA"/>
    <s v="STEREN"/>
    <s v="ILAM00101154"/>
    <s v="ILAM00101154"/>
    <n v="12"/>
  </r>
  <r>
    <n v="348"/>
    <n v="14"/>
    <x v="22"/>
    <x v="20"/>
    <s v="NA"/>
    <s v="LAMPARA DE EMERGENCIA GRANDE"/>
    <s v="STEREN"/>
    <s v="SN"/>
    <s v="SN"/>
    <n v="2"/>
  </r>
  <r>
    <n v="349"/>
    <n v="14"/>
    <x v="22"/>
    <x v="20"/>
    <s v="NA"/>
    <s v="RECEPTOR"/>
    <s v="SOUNDTRACK"/>
    <s v="isis01200053"/>
    <s v="ISIS01200053"/>
    <n v="12"/>
  </r>
  <r>
    <n v="350"/>
    <n v="14"/>
    <x v="22"/>
    <x v="20"/>
    <s v="NA"/>
    <s v="TAJALAPIZ"/>
    <s v="SN"/>
    <s v="itaj00100180"/>
    <s v="ITAJ00100180"/>
    <n v="12"/>
  </r>
  <r>
    <n v="351"/>
    <n v="14"/>
    <x v="22"/>
    <x v="20"/>
    <s v="NA"/>
    <s v="TELEFONOS"/>
    <s v="TELMEX"/>
    <s v="ITEL00100251"/>
    <s v="ITEL00100251"/>
    <n v="12"/>
  </r>
  <r>
    <n v="352"/>
    <n v="13"/>
    <x v="23"/>
    <x v="21"/>
    <s v="NA"/>
    <s v="BAFLE"/>
    <s v="STEREN"/>
    <s v="ibaf00100052"/>
    <s v="IBAF00100052"/>
    <n v="12"/>
  </r>
  <r>
    <n v="353"/>
    <n v="13"/>
    <x v="23"/>
    <x v="21"/>
    <s v="NA"/>
    <s v="BOTIQUIN"/>
    <s v="SN"/>
    <s v="ibot00100158"/>
    <s v="IBOT00100158"/>
    <n v="12"/>
  </r>
  <r>
    <n v="355"/>
    <n v="13"/>
    <x v="23"/>
    <x v="21"/>
    <s v="NA"/>
    <s v="CAMARA DIGITAL"/>
    <s v="SONY"/>
    <s v="ICAM00101736"/>
    <s v="ICAM00101736"/>
    <n v="12"/>
  </r>
  <r>
    <n v="356"/>
    <n v="13"/>
    <x v="23"/>
    <x v="21"/>
    <s v="NA"/>
    <s v="ENGARGOLADORA"/>
    <s v="COMBO"/>
    <s v="ieng00100090"/>
    <s v="IENG00100090"/>
    <n v="12"/>
  </r>
  <r>
    <n v="357"/>
    <n v="13"/>
    <x v="23"/>
    <x v="21"/>
    <s v="NA"/>
    <s v="EQUIPO DE PERIFONEO"/>
    <s v="RADSON"/>
    <s v="iamp00100037"/>
    <s v="IAMP00100037"/>
    <n v="12"/>
  </r>
  <r>
    <n v="358"/>
    <n v="13"/>
    <x v="23"/>
    <x v="21"/>
    <s v="NA"/>
    <s v="GRABADORA"/>
    <s v="SONY"/>
    <s v="IGRA00100435"/>
    <s v="IGRA00100435"/>
    <n v="12"/>
  </r>
  <r>
    <n v="359"/>
    <n v="13"/>
    <x v="23"/>
    <x v="21"/>
    <s v="NA"/>
    <s v="LAMPARA DE EMERGENCIA CHICA"/>
    <s v="STEREN"/>
    <s v="ILAM00101056"/>
    <s v="ILAM00101056"/>
    <n v="12"/>
  </r>
  <r>
    <n v="360"/>
    <n v="13"/>
    <x v="23"/>
    <x v="21"/>
    <s v="NA"/>
    <s v="LAMPARA DE EMERGENCIA CHICA"/>
    <s v="STEREN"/>
    <s v="ILAM00100992"/>
    <s v="ILAM00100992"/>
    <n v="12"/>
  </r>
  <r>
    <n v="361"/>
    <n v="13"/>
    <x v="23"/>
    <x v="21"/>
    <s v="NA"/>
    <s v="LAMPARA DE EMERGENCIA CHICA"/>
    <s v="STEREN"/>
    <s v="ILAM00101039"/>
    <s v="ILAM00101039"/>
    <n v="12"/>
  </r>
  <r>
    <n v="363"/>
    <n v="13"/>
    <x v="23"/>
    <x v="21"/>
    <s v="NA"/>
    <s v="LAMPARA DE EMERGENCIA GRANDE"/>
    <s v="STEREN"/>
    <s v="SN"/>
    <s v="SN"/>
    <n v="2"/>
  </r>
  <r>
    <n v="364"/>
    <n v="13"/>
    <x v="23"/>
    <x v="21"/>
    <s v="NA"/>
    <s v="RECEPTOR"/>
    <s v="SOUNDTRACK"/>
    <s v="isis01200038"/>
    <s v="ISIS01200038"/>
    <n v="12"/>
  </r>
  <r>
    <n v="365"/>
    <n v="13"/>
    <x v="23"/>
    <x v="21"/>
    <s v="NA"/>
    <s v="TAJALAPIZ"/>
    <s v="SN"/>
    <s v="itaj00100106"/>
    <s v="ITAJ00100106"/>
    <n v="12"/>
  </r>
  <r>
    <n v="366"/>
    <n v="13"/>
    <x v="23"/>
    <x v="21"/>
    <s v="NA"/>
    <s v="TELEFONOS"/>
    <s v="TELMEX"/>
    <s v="itel00101015"/>
    <s v="ITEL00101015"/>
    <n v="12"/>
  </r>
  <r>
    <n v="367"/>
    <n v="13"/>
    <x v="24"/>
    <x v="21"/>
    <s v="NA"/>
    <s v="BAFLE"/>
    <s v="STEREN"/>
    <s v="ibaf00100125"/>
    <s v="IBAF00100125"/>
    <n v="12"/>
  </r>
  <r>
    <n v="368"/>
    <n v="13"/>
    <x v="24"/>
    <x v="21"/>
    <s v="NA"/>
    <s v="BOTIQUIN"/>
    <s v="SN"/>
    <s v="ibot00100075"/>
    <s v="IBOT00100075"/>
    <n v="12"/>
  </r>
  <r>
    <n v="369"/>
    <n v="13"/>
    <x v="24"/>
    <x v="21"/>
    <s v="NA"/>
    <s v="CAMARA DIGITAL"/>
    <s v="SONY"/>
    <s v="ICAM00101777"/>
    <s v="ICAM00101777"/>
    <n v="12"/>
  </r>
  <r>
    <n v="371"/>
    <n v="13"/>
    <x v="24"/>
    <x v="21"/>
    <s v="NA"/>
    <s v="ENGARGOLADORA"/>
    <s v="COMBO"/>
    <s v="ieng00100071"/>
    <s v="IENG00100071"/>
    <n v="12"/>
  </r>
  <r>
    <n v="372"/>
    <n v="13"/>
    <x v="24"/>
    <x v="21"/>
    <s v="NA"/>
    <s v="EQUIPO DE PERIFONEO"/>
    <s v="RADSON"/>
    <s v="IAMP00100112"/>
    <s v="IAMP00100112"/>
    <n v="12"/>
  </r>
  <r>
    <n v="373"/>
    <n v="13"/>
    <x v="24"/>
    <x v="21"/>
    <s v="NA"/>
    <s v="GRABADORA"/>
    <s v="SONY"/>
    <s v="IGRA00100328"/>
    <s v="IGRA00100328"/>
    <n v="12"/>
  </r>
  <r>
    <n v="374"/>
    <n v="13"/>
    <x v="24"/>
    <x v="21"/>
    <s v="NA"/>
    <s v="LAMPARA DE EMERGENCIA CHICA"/>
    <s v="MAVRIK"/>
    <s v="ilam00101073"/>
    <s v="ILAM00101073"/>
    <n v="12"/>
  </r>
  <r>
    <n v="375"/>
    <n v="13"/>
    <x v="24"/>
    <x v="21"/>
    <s v="NA"/>
    <s v="LAMPARA DE EMERGENCIA CHICA"/>
    <s v="VOLTECK"/>
    <s v="ilam00101007"/>
    <s v="ILAM00101007"/>
    <n v="12"/>
  </r>
  <r>
    <n v="376"/>
    <n v="13"/>
    <x v="24"/>
    <x v="21"/>
    <s v="NA"/>
    <s v="LAMPARA DE EMERGENCIA CHICA"/>
    <s v="MAVRIK"/>
    <s v="ILAM00101256"/>
    <s v="ILAM00101256"/>
    <n v="12"/>
  </r>
  <r>
    <n v="377"/>
    <n v="13"/>
    <x v="24"/>
    <x v="21"/>
    <s v="NA"/>
    <s v="LAMPARA DE EMERGENCIA GRANDE"/>
    <s v="STEREN"/>
    <s v="SN"/>
    <s v="SN"/>
    <n v="2"/>
  </r>
  <r>
    <n v="378"/>
    <n v="13"/>
    <x v="24"/>
    <x v="21"/>
    <s v="NA"/>
    <s v="RECEPTOR"/>
    <s v="SOUNDTRACK"/>
    <s v="isis01200100"/>
    <s v="ISIS01200100"/>
    <n v="12"/>
  </r>
  <r>
    <n v="380"/>
    <n v="13"/>
    <x v="24"/>
    <x v="21"/>
    <s v="NA"/>
    <s v="TAJALAPIZ"/>
    <s v="SN"/>
    <s v="itaj00100139"/>
    <s v="ITAJ00100139"/>
    <n v="12"/>
  </r>
  <r>
    <n v="381"/>
    <n v="13"/>
    <x v="24"/>
    <x v="21"/>
    <s v="NA"/>
    <s v="TELEFONOS"/>
    <s v="TELMEX"/>
    <s v="itel00101127"/>
    <s v="ITEL00101127"/>
    <n v="12"/>
  </r>
  <r>
    <n v="382"/>
    <n v="13"/>
    <x v="25"/>
    <x v="22"/>
    <s v="NA"/>
    <s v="BAFLE"/>
    <s v="STEREN"/>
    <s v="IBAF00100177"/>
    <s v="IBAF00100177"/>
    <n v="12"/>
  </r>
  <r>
    <n v="383"/>
    <n v="13"/>
    <x v="25"/>
    <x v="22"/>
    <s v="NA"/>
    <s v="BOTIQUIN"/>
    <s v="SN"/>
    <s v="IBOT00100144"/>
    <s v="IBOT00100144"/>
    <n v="12"/>
  </r>
  <r>
    <n v="384"/>
    <n v="13"/>
    <x v="25"/>
    <x v="22"/>
    <s v="NA"/>
    <s v="CAMARA DIGITAL"/>
    <s v="SONY"/>
    <s v="icam00101734"/>
    <s v="ICAM00101734"/>
    <n v="12"/>
  </r>
  <r>
    <n v="385"/>
    <n v="13"/>
    <x v="25"/>
    <x v="22"/>
    <s v="NA"/>
    <s v="ENGARGOLADORA"/>
    <s v="COMBO"/>
    <s v="IENG00100240"/>
    <s v="IENG00100240"/>
    <n v="12"/>
  </r>
  <r>
    <n v="386"/>
    <n v="13"/>
    <x v="25"/>
    <x v="22"/>
    <s v="NA"/>
    <s v="EQUIPO DE PERIFONEO"/>
    <s v="RADSON"/>
    <s v="IAMP00100033"/>
    <s v="IAMP00100033"/>
    <n v="12"/>
  </r>
  <r>
    <n v="388"/>
    <n v="13"/>
    <x v="25"/>
    <x v="22"/>
    <s v="NA"/>
    <s v="GRABADORA"/>
    <s v="SONY"/>
    <s v="igra00100404"/>
    <s v="IGRA00100404"/>
    <n v="12"/>
  </r>
  <r>
    <n v="389"/>
    <n v="13"/>
    <x v="25"/>
    <x v="22"/>
    <s v="NA"/>
    <s v="LAMPARA DE EMERGENCIA CHICA"/>
    <s v="SANELEC"/>
    <s v="ilam00100799"/>
    <s v="ILAM00100799"/>
    <n v="12"/>
  </r>
  <r>
    <n v="390"/>
    <n v="13"/>
    <x v="25"/>
    <x v="22"/>
    <s v="NA"/>
    <s v="LAMPARA DE EMERGENCIA CHICA"/>
    <s v="MAVRIK"/>
    <s v="ilam00100939"/>
    <s v="ILAM00100939"/>
    <n v="12"/>
  </r>
  <r>
    <n v="391"/>
    <n v="13"/>
    <x v="25"/>
    <x v="22"/>
    <s v="NA"/>
    <s v="LAMPARA DE EMERGENCIA CHICA"/>
    <s v="MITZU"/>
    <s v="ilam00101291"/>
    <s v="ILAM00101291"/>
    <n v="12"/>
  </r>
  <r>
    <n v="392"/>
    <n v="13"/>
    <x v="25"/>
    <x v="22"/>
    <s v="NA"/>
    <s v="LAMPARA DE EMERGENCIA GRANDE"/>
    <s v="STEREN"/>
    <s v="SN"/>
    <s v="SN"/>
    <n v="2"/>
  </r>
  <r>
    <n v="393"/>
    <n v="13"/>
    <x v="25"/>
    <x v="22"/>
    <s v="NA"/>
    <s v="RECEPTOR"/>
    <s v="SOUNDTRACK"/>
    <s v="isis01200203"/>
    <s v="ISIS01200203"/>
    <n v="12"/>
  </r>
  <r>
    <n v="394"/>
    <n v="13"/>
    <x v="25"/>
    <x v="22"/>
    <s v="NA"/>
    <s v="TAJALAPIZ"/>
    <s v="SN"/>
    <s v="itaj00100005"/>
    <s v="ITAJ00100005"/>
    <n v="12"/>
  </r>
  <r>
    <n v="396"/>
    <n v="13"/>
    <x v="25"/>
    <x v="22"/>
    <s v="NA"/>
    <s v="TELEFONOS"/>
    <s v="TELMEX"/>
    <s v="itel00100386"/>
    <s v="ITEL00100386"/>
    <n v="12"/>
  </r>
  <r>
    <n v="397"/>
    <n v="13"/>
    <x v="26"/>
    <x v="23"/>
    <s v="NA"/>
    <s v="BAFLE"/>
    <s v="STEREN"/>
    <s v="ibaf00100202"/>
    <s v="IBAF00100202"/>
    <n v="12"/>
  </r>
  <r>
    <n v="398"/>
    <n v="13"/>
    <x v="26"/>
    <x v="23"/>
    <s v="NA"/>
    <s v="BOTIQUIN"/>
    <s v="SN"/>
    <s v="ibot00100152"/>
    <s v="IBOT00100152"/>
    <n v="12"/>
  </r>
  <r>
    <n v="399"/>
    <n v="13"/>
    <x v="26"/>
    <x v="23"/>
    <s v="NA"/>
    <s v="CAMARA DIGITAL"/>
    <s v="SONY"/>
    <s v="ICAM00101740"/>
    <s v="ICAM00101740"/>
    <n v="12"/>
  </r>
  <r>
    <n v="400"/>
    <n v="13"/>
    <x v="26"/>
    <x v="23"/>
    <s v="NA"/>
    <s v="ENGARGOLADORA"/>
    <s v="COMBO"/>
    <s v="ieng00100219"/>
    <s v="IENG00100219"/>
    <n v="12"/>
  </r>
  <r>
    <n v="401"/>
    <n v="13"/>
    <x v="26"/>
    <x v="23"/>
    <s v="NA"/>
    <s v="EQUIPO DE PERIFONEO"/>
    <s v="RADSON"/>
    <s v="iamp00100114"/>
    <s v="IAMP00100114"/>
    <n v="12"/>
  </r>
  <r>
    <n v="402"/>
    <n v="13"/>
    <x v="26"/>
    <x v="23"/>
    <s v="NA"/>
    <s v="GRABADORA"/>
    <s v="SONY"/>
    <s v="IGRA00100300"/>
    <s v="IGRA00100300"/>
    <n v="12"/>
  </r>
  <r>
    <n v="404"/>
    <n v="13"/>
    <x v="26"/>
    <x v="23"/>
    <s v="NA"/>
    <s v="LAMPARA DE EMERGENCIA CHICA"/>
    <s v="SURTEK"/>
    <s v="SN"/>
    <s v="SN"/>
    <n v="2"/>
  </r>
  <r>
    <n v="405"/>
    <n v="13"/>
    <x v="26"/>
    <x v="23"/>
    <s v="NA"/>
    <s v="LAMPARA DE EMERGENCIA CHICA"/>
    <s v="SURTEK"/>
    <s v="SN"/>
    <s v="SN"/>
    <n v="2"/>
  </r>
  <r>
    <n v="406"/>
    <n v="13"/>
    <x v="26"/>
    <x v="23"/>
    <s v="NA"/>
    <s v="LAMPARA DE EMERGENCIA CHICA"/>
    <s v="MAVRIK"/>
    <s v="SN"/>
    <s v="SN"/>
    <n v="2"/>
  </r>
  <r>
    <n v="407"/>
    <n v="13"/>
    <x v="26"/>
    <x v="23"/>
    <s v="NA"/>
    <s v="LAMPARA DE EMERGENCIA GRANDE"/>
    <s v="STEREN"/>
    <s v="SN"/>
    <s v="SN"/>
    <n v="2"/>
  </r>
  <r>
    <n v="408"/>
    <n v="13"/>
    <x v="26"/>
    <x v="23"/>
    <s v="NA"/>
    <s v="RECEPTOR"/>
    <s v="SOUNDTRACK"/>
    <s v="isis01200104"/>
    <s v="ISIS01200104"/>
    <n v="12"/>
  </r>
  <r>
    <n v="409"/>
    <n v="13"/>
    <x v="26"/>
    <x v="23"/>
    <s v="NA"/>
    <s v="TAJALAPIZ"/>
    <s v="SN"/>
    <s v="itaj00100244"/>
    <s v="ITAJ00100244"/>
    <n v="12"/>
  </r>
  <r>
    <n v="410"/>
    <n v="13"/>
    <x v="26"/>
    <x v="23"/>
    <s v="NA"/>
    <s v="TELEFONOS"/>
    <s v="TELMEX"/>
    <s v="itel00100664"/>
    <s v="ITEL00100664"/>
    <n v="12"/>
  </r>
  <r>
    <n v="412"/>
    <n v="12"/>
    <x v="27"/>
    <x v="24"/>
    <s v="NA"/>
    <s v="BAFLE"/>
    <s v="STEREN"/>
    <s v="ibaf00100110"/>
    <s v="IBAF00100110"/>
    <n v="12"/>
  </r>
  <r>
    <n v="413"/>
    <n v="12"/>
    <x v="27"/>
    <x v="24"/>
    <s v="NA"/>
    <s v="BOTIQUIN"/>
    <s v="SN"/>
    <s v="ibot00100087"/>
    <s v="IBOT00100087"/>
    <n v="12"/>
  </r>
  <r>
    <n v="414"/>
    <n v="12"/>
    <x v="27"/>
    <x v="24"/>
    <s v="NA"/>
    <s v="CAMARA DIGITAL"/>
    <s v="SONY"/>
    <s v="ICAM00101799"/>
    <s v="ICAM00101799"/>
    <n v="12"/>
  </r>
  <r>
    <n v="415"/>
    <n v="12"/>
    <x v="27"/>
    <x v="24"/>
    <s v="NA"/>
    <s v="ENGARGOLADORA"/>
    <s v="COMBO"/>
    <s v="ieng00100056"/>
    <s v="IENG00100056"/>
    <n v="12"/>
  </r>
  <r>
    <n v="416"/>
    <n v="12"/>
    <x v="27"/>
    <x v="24"/>
    <s v="NA"/>
    <s v="EQUIPO DE PERIFONEO"/>
    <s v="RADSON"/>
    <s v="IAMP00100042"/>
    <s v="IAMP00100042"/>
    <n v="12"/>
  </r>
  <r>
    <n v="417"/>
    <n v="12"/>
    <x v="27"/>
    <x v="24"/>
    <s v="NA"/>
    <s v="GRABADORA"/>
    <s v="SONY"/>
    <s v="IGRA00100427"/>
    <s v="IGRA00100427"/>
    <n v="12"/>
  </r>
  <r>
    <n v="418"/>
    <n v="12"/>
    <x v="27"/>
    <x v="24"/>
    <s v="NA"/>
    <s v="LAMPARA DE EMERGENCIA CHICA"/>
    <s v="MAVRIK"/>
    <s v="SN"/>
    <s v="SN"/>
    <n v="2"/>
  </r>
  <r>
    <n v="420"/>
    <n v="12"/>
    <x v="27"/>
    <x v="24"/>
    <s v="NA"/>
    <s v="LAMPARA DE EMERGENCIA CHICA"/>
    <s v="MARVIK"/>
    <s v="ILAM0101080"/>
    <s v="ILAM0101080"/>
    <n v="11"/>
  </r>
  <r>
    <n v="421"/>
    <n v="12"/>
    <x v="27"/>
    <x v="24"/>
    <s v="NA"/>
    <s v="LAMPARA DE EMERGENCIA GRANDE"/>
    <s v="STEREN"/>
    <s v="SN"/>
    <s v="SN"/>
    <n v="2"/>
  </r>
  <r>
    <n v="422"/>
    <n v="12"/>
    <x v="27"/>
    <x v="24"/>
    <s v="NA"/>
    <s v="RECEPTOR"/>
    <s v="SOUNDTRACK"/>
    <s v="isis01200098"/>
    <s v="ISIS01200098"/>
    <n v="12"/>
  </r>
  <r>
    <n v="423"/>
    <n v="12"/>
    <x v="27"/>
    <x v="24"/>
    <s v="NA"/>
    <s v="TAJALAPIZ"/>
    <s v="SN"/>
    <s v="itaj00100150"/>
    <s v="ITAJ00100150"/>
    <n v="12"/>
  </r>
  <r>
    <n v="424"/>
    <n v="12"/>
    <x v="27"/>
    <x v="24"/>
    <s v="NA"/>
    <s v="TELEFONOS"/>
    <s v="TELMEX"/>
    <s v="itel00100583"/>
    <s v="ITEL00100583"/>
    <n v="12"/>
  </r>
  <r>
    <n v="425"/>
    <n v="14"/>
    <x v="28"/>
    <x v="25"/>
    <s v="NA"/>
    <s v="BAFLE"/>
    <s v="STEREN"/>
    <s v="ibaf00100207"/>
    <s v="IBAF00100207"/>
    <n v="12"/>
  </r>
  <r>
    <n v="426"/>
    <n v="14"/>
    <x v="28"/>
    <x v="25"/>
    <s v="NA"/>
    <s v="BOTIQUIN"/>
    <s v="SN"/>
    <s v="ibot00100131"/>
    <s v="IBOT00100131"/>
    <n v="12"/>
  </r>
  <r>
    <n v="428"/>
    <n v="14"/>
    <x v="28"/>
    <x v="25"/>
    <s v="NA"/>
    <s v="CAMARA DIGITAL"/>
    <s v="SONY"/>
    <s v="ICAM00101758"/>
    <s v="ICAM00101758"/>
    <n v="12"/>
  </r>
  <r>
    <n v="429"/>
    <n v="14"/>
    <x v="28"/>
    <x v="25"/>
    <s v="NA"/>
    <s v="ENGARGOLADORA"/>
    <s v="COMBO"/>
    <s v="ieng00100008"/>
    <s v="IENG00100008"/>
    <n v="12"/>
  </r>
  <r>
    <n v="430"/>
    <n v="14"/>
    <x v="28"/>
    <x v="25"/>
    <s v="NA"/>
    <s v="EQUIPO DE PERIFONEO"/>
    <s v="RADSON"/>
    <s v="iamp00100039"/>
    <s v="IAMP00100039"/>
    <n v="12"/>
  </r>
  <r>
    <n v="431"/>
    <n v="14"/>
    <x v="28"/>
    <x v="25"/>
    <s v="NA"/>
    <s v="GRABADORA"/>
    <s v="SONY"/>
    <s v="IGRA00100367"/>
    <s v="IGRA00100367"/>
    <n v="12"/>
  </r>
  <r>
    <n v="432"/>
    <n v="14"/>
    <x v="28"/>
    <x v="25"/>
    <s v="NA"/>
    <s v="LAMPARA DE EMERGENCIA CHICA"/>
    <s v="SURTEK"/>
    <s v="SN"/>
    <s v="SN"/>
    <n v="2"/>
  </r>
  <r>
    <n v="433"/>
    <n v="14"/>
    <x v="28"/>
    <x v="25"/>
    <s v="NA"/>
    <s v="LAMPARA DE EMERGENCIA CHICA"/>
    <s v="SURTEK"/>
    <s v="SN"/>
    <s v="SN"/>
    <n v="2"/>
  </r>
  <r>
    <n v="434"/>
    <n v="14"/>
    <x v="28"/>
    <x v="25"/>
    <s v="NA"/>
    <s v="LAMPARA DE EMERGENCIA CHICA"/>
    <s v="SURTEK"/>
    <s v="SN"/>
    <s v="SN"/>
    <n v="2"/>
  </r>
  <r>
    <n v="436"/>
    <n v="14"/>
    <x v="28"/>
    <x v="25"/>
    <s v="NA"/>
    <s v="LAMPARA DE EMERGENCIA CHICA"/>
    <s v="SURTEK"/>
    <s v="SN"/>
    <s v="SN"/>
    <n v="2"/>
  </r>
  <r>
    <n v="437"/>
    <n v="14"/>
    <x v="28"/>
    <x v="25"/>
    <s v="NA"/>
    <s v="LAMPARA DE EMERGENCIA GRANDE"/>
    <s v="STEREN"/>
    <s v="SN"/>
    <s v="SN"/>
    <n v="2"/>
  </r>
  <r>
    <n v="438"/>
    <n v="14"/>
    <x v="28"/>
    <x v="25"/>
    <s v="NA"/>
    <s v="RECEPTOR"/>
    <s v="SOUNDTRACK"/>
    <s v="isis01200115"/>
    <s v="ISIS01200115"/>
    <n v="12"/>
  </r>
  <r>
    <n v="439"/>
    <n v="14"/>
    <x v="28"/>
    <x v="25"/>
    <s v="NA"/>
    <s v="TAJALAPIZ"/>
    <s v="SN"/>
    <s v="itaj00100012"/>
    <s v="ITAJ00100012"/>
    <n v="12"/>
  </r>
  <r>
    <n v="440"/>
    <n v="14"/>
    <x v="28"/>
    <x v="25"/>
    <s v="NA"/>
    <s v="TELEFONOS"/>
    <s v="TELMEX"/>
    <s v="itel00100946"/>
    <s v="ITEL00100946"/>
    <n v="12"/>
  </r>
  <r>
    <n v="441"/>
    <n v="12"/>
    <x v="29"/>
    <x v="26"/>
    <s v="NA"/>
    <s v="BAFLE"/>
    <s v="STEREN"/>
    <s v="ibaf00100067"/>
    <s v="IBAF00100067"/>
    <n v="12"/>
  </r>
  <r>
    <n v="442"/>
    <n v="12"/>
    <x v="29"/>
    <x v="26"/>
    <s v="NA"/>
    <s v="BOTIQUIN"/>
    <s v="SN"/>
    <s v="ibot00100035"/>
    <s v="IBOT00100035"/>
    <n v="12"/>
  </r>
  <r>
    <n v="444"/>
    <n v="12"/>
    <x v="29"/>
    <x v="26"/>
    <s v="NA"/>
    <s v="CAMARA DIGITAL"/>
    <s v="SONY"/>
    <s v="ICAM00101781"/>
    <s v="ICAM00101781"/>
    <n v="12"/>
  </r>
  <r>
    <n v="445"/>
    <n v="12"/>
    <x v="29"/>
    <x v="26"/>
    <s v="NA"/>
    <s v="ENGARGOLADORA"/>
    <s v="COMBO"/>
    <s v="ieng00100170"/>
    <s v="IENG00100170"/>
    <n v="12"/>
  </r>
  <r>
    <n v="446"/>
    <n v="12"/>
    <x v="29"/>
    <x v="26"/>
    <s v="NA"/>
    <s v="EQUIPO DE PERIFONEO"/>
    <s v="RADSON"/>
    <s v="iamp00100094"/>
    <s v="IAMP00100094"/>
    <n v="12"/>
  </r>
  <r>
    <n v="447"/>
    <n v="12"/>
    <x v="29"/>
    <x v="26"/>
    <s v="NA"/>
    <s v="GRABADORA"/>
    <s v="SONY"/>
    <s v="IGRA00100417"/>
    <s v="IGRA00100417"/>
    <n v="12"/>
  </r>
  <r>
    <n v="448"/>
    <n v="12"/>
    <x v="29"/>
    <x v="26"/>
    <s v="NA"/>
    <s v="LAMPARA DE EMERGENCIA CHICA"/>
    <s v="STEREN"/>
    <s v="SN"/>
    <s v="SN"/>
    <n v="2"/>
  </r>
  <r>
    <n v="449"/>
    <n v="12"/>
    <x v="29"/>
    <x v="26"/>
    <s v="NA"/>
    <s v="LAMPARA DE EMERGENCIA CHICA"/>
    <s v="STEREN"/>
    <s v="SN"/>
    <s v="SN"/>
    <n v="2"/>
  </r>
  <r>
    <n v="450"/>
    <n v="12"/>
    <x v="29"/>
    <x v="26"/>
    <s v="NA"/>
    <s v="LAMPARA DE EMERGENCIA GRANDE"/>
    <s v="STEREN"/>
    <s v="SN"/>
    <s v="SN"/>
    <n v="2"/>
  </r>
  <r>
    <n v="452"/>
    <n v="12"/>
    <x v="29"/>
    <x v="26"/>
    <s v="NA"/>
    <s v="RECEPTOR"/>
    <s v="SOUNDTRACK"/>
    <s v="isis01200157"/>
    <s v="ISIS01200157"/>
    <n v="12"/>
  </r>
  <r>
    <n v="453"/>
    <n v="12"/>
    <x v="29"/>
    <x v="26"/>
    <s v="NA"/>
    <s v="TAJALAPIZ"/>
    <s v="SN"/>
    <s v="itaj00100240"/>
    <s v="ITAJ00100240"/>
    <n v="12"/>
  </r>
  <r>
    <n v="454"/>
    <n v="12"/>
    <x v="29"/>
    <x v="26"/>
    <s v="NA"/>
    <s v="TELEFONOS"/>
    <s v="TELMEX"/>
    <s v="itel00100429"/>
    <s v="ITEL00100429"/>
    <n v="12"/>
  </r>
  <r>
    <n v="455"/>
    <n v="17"/>
    <x v="30"/>
    <x v="27"/>
    <s v="NA"/>
    <s v="BAFLE"/>
    <s v="STEREN"/>
    <s v="ibaf00100093"/>
    <s v="IBAF00100093"/>
    <n v="12"/>
  </r>
  <r>
    <n v="456"/>
    <n v="17"/>
    <x v="30"/>
    <x v="27"/>
    <s v="NA"/>
    <s v="BOTIQUIN"/>
    <s v="SN"/>
    <s v="ibot00100108"/>
    <s v="IBOT00100108"/>
    <n v="12"/>
  </r>
  <r>
    <n v="457"/>
    <n v="17"/>
    <x v="30"/>
    <x v="27"/>
    <s v="NA"/>
    <s v="CAMARA DIGITAL"/>
    <s v="SONY"/>
    <s v="ICAM00101787"/>
    <s v="ICAM00101787"/>
    <n v="12"/>
  </r>
  <r>
    <n v="458"/>
    <n v="17"/>
    <x v="30"/>
    <x v="27"/>
    <s v="NA"/>
    <s v="ENGARGOLADORA"/>
    <s v="COMBO"/>
    <s v="ieng00100034"/>
    <s v="IENG00100034"/>
    <n v="12"/>
  </r>
  <r>
    <n v="460"/>
    <n v="17"/>
    <x v="30"/>
    <x v="27"/>
    <s v="NA"/>
    <s v="EQUIPO DE PERIFONEO"/>
    <s v="RADSON"/>
    <s v="iamp00100135"/>
    <s v="IAMP00100135"/>
    <n v="12"/>
  </r>
  <r>
    <n v="461"/>
    <n v="17"/>
    <x v="30"/>
    <x v="27"/>
    <s v="NA"/>
    <s v="GRABADORA"/>
    <s v="SONY"/>
    <s v="IGRA00100412"/>
    <s v="IGRA00100412"/>
    <n v="12"/>
  </r>
  <r>
    <n v="462"/>
    <n v="17"/>
    <x v="30"/>
    <x v="27"/>
    <s v="NA"/>
    <s v="LAMPARA DE EMERGENCIA CHICA"/>
    <s v="STEREN"/>
    <s v="SN"/>
    <s v="SN"/>
    <n v="2"/>
  </r>
  <r>
    <n v="463"/>
    <n v="17"/>
    <x v="30"/>
    <x v="27"/>
    <s v="NA"/>
    <s v="LAMPARA DE EMERGENCIA CHICA"/>
    <s v="STEREN"/>
    <s v="SN"/>
    <s v="SN"/>
    <n v="2"/>
  </r>
  <r>
    <n v="464"/>
    <n v="17"/>
    <x v="30"/>
    <x v="27"/>
    <s v="NA"/>
    <s v="LAMPARA DE EMERGENCIA CHICA"/>
    <s v="STEREN"/>
    <s v="SN"/>
    <s v="SN"/>
    <n v="2"/>
  </r>
  <r>
    <n v="465"/>
    <n v="17"/>
    <x v="30"/>
    <x v="27"/>
    <s v="NA"/>
    <s v="LAMPARA DE EMERGENCIA CHICA"/>
    <s v="SANELEC"/>
    <s v="SN"/>
    <s v="SN"/>
    <n v="2"/>
  </r>
  <r>
    <n v="466"/>
    <n v="17"/>
    <x v="30"/>
    <x v="27"/>
    <s v="NA"/>
    <s v="LAMPARA DE EMERGENCIA CHICA"/>
    <s v="SANELEC"/>
    <s v="SN"/>
    <s v="SN"/>
    <n v="2"/>
  </r>
  <r>
    <n v="467"/>
    <n v="17"/>
    <x v="30"/>
    <x v="27"/>
    <s v="NA"/>
    <s v="LAMPARA DE EMERGENCIA CHICA"/>
    <s v="SANELEC"/>
    <s v="SN"/>
    <s v="SN"/>
    <n v="2"/>
  </r>
  <r>
    <n v="469"/>
    <n v="17"/>
    <x v="30"/>
    <x v="27"/>
    <s v="NA"/>
    <s v="LAMPARA DE EMERGENCIA CHICA"/>
    <s v="MAVRIK"/>
    <s v="SN"/>
    <s v="SN"/>
    <n v="2"/>
  </r>
  <r>
    <n v="470"/>
    <n v="17"/>
    <x v="30"/>
    <x v="27"/>
    <s v="NA"/>
    <s v="LAMPARA DE EMERGENCIA GRANDE"/>
    <s v="STEREN"/>
    <s v="SN"/>
    <s v="SN"/>
    <n v="2"/>
  </r>
  <r>
    <n v="471"/>
    <n v="17"/>
    <x v="30"/>
    <x v="27"/>
    <s v="NA"/>
    <s v="RECEPTOR"/>
    <s v="SOUNDTRACK"/>
    <s v="isis01200069"/>
    <s v="ISIS01200069"/>
    <n v="12"/>
  </r>
  <r>
    <n v="472"/>
    <n v="17"/>
    <x v="30"/>
    <x v="27"/>
    <s v="NA"/>
    <s v="TAJALAPIZ"/>
    <s v="SN"/>
    <s v="itaj00100186"/>
    <s v="ITAJ00100186"/>
    <n v="12"/>
  </r>
  <r>
    <n v="473"/>
    <n v="17"/>
    <x v="30"/>
    <x v="27"/>
    <s v="NA"/>
    <s v="TELEFONOS"/>
    <s v="TELMEX"/>
    <s v="itel00100268"/>
    <s v="ITEL00100268"/>
    <n v="12"/>
  </r>
  <r>
    <n v="474"/>
    <n v="12"/>
    <x v="31"/>
    <x v="26"/>
    <s v="NA"/>
    <s v="BAFLE"/>
    <s v="STEREN"/>
    <s v="IBAF00100096"/>
    <s v="IBAF00100096"/>
    <n v="13"/>
  </r>
  <r>
    <n v="475"/>
    <n v="12"/>
    <x v="31"/>
    <x v="26"/>
    <s v="NA"/>
    <s v="BOTIQUIN"/>
    <s v="SN"/>
    <s v="IBOT00100043"/>
    <s v="IBOT00100043"/>
    <n v="12"/>
  </r>
  <r>
    <n v="477"/>
    <n v="12"/>
    <x v="31"/>
    <x v="26"/>
    <s v="NA"/>
    <s v="CAMARA DIGITAL"/>
    <s v="SONY"/>
    <s v="icam00101810"/>
    <s v="ICAM00101810"/>
    <n v="12"/>
  </r>
  <r>
    <n v="478"/>
    <n v="12"/>
    <x v="31"/>
    <x v="26"/>
    <s v="NA"/>
    <s v="ENGARGOLADORA"/>
    <s v="COMBO"/>
    <s v="IENG00100047"/>
    <s v="IENG00100047"/>
    <n v="12"/>
  </r>
  <r>
    <n v="479"/>
    <n v="12"/>
    <x v="31"/>
    <x v="26"/>
    <s v="NA"/>
    <s v="EQUIPO DE PERIFONEO"/>
    <s v="RADSON"/>
    <s v="iamp00100128"/>
    <s v="IAMP00100128"/>
    <n v="12"/>
  </r>
  <r>
    <n v="480"/>
    <n v="12"/>
    <x v="31"/>
    <x v="26"/>
    <s v="NA"/>
    <s v="GRABADORA"/>
    <s v="SONY"/>
    <s v="igra00100346"/>
    <s v="IGRA00100346"/>
    <n v="12"/>
  </r>
  <r>
    <n v="481"/>
    <n v="12"/>
    <x v="31"/>
    <x v="26"/>
    <s v="NA"/>
    <s v="LAMPARA DE EMERGENCIA CHICA"/>
    <s v="STEREN"/>
    <s v="SN"/>
    <s v="SN"/>
    <n v="2"/>
  </r>
  <r>
    <n v="482"/>
    <n v="12"/>
    <x v="31"/>
    <x v="26"/>
    <s v="NA"/>
    <s v="LAMPARA DE EMERGENCIA CHICA"/>
    <s v="STEREN"/>
    <s v="SN"/>
    <s v="SN"/>
    <n v="2"/>
  </r>
  <r>
    <n v="483"/>
    <n v="12"/>
    <x v="31"/>
    <x v="26"/>
    <s v="NA"/>
    <s v="LAMPARA DE EMERGENCIA GRANDE"/>
    <s v="STEREN"/>
    <s v="SN"/>
    <s v="SN"/>
    <n v="2"/>
  </r>
  <r>
    <n v="485"/>
    <n v="12"/>
    <x v="31"/>
    <x v="26"/>
    <s v="NA"/>
    <s v="RECEPTOR"/>
    <s v="SOUNDTRACK"/>
    <s v="isis01200141"/>
    <s v="ISIS01200141"/>
    <n v="12"/>
  </r>
  <r>
    <n v="486"/>
    <n v="12"/>
    <x v="31"/>
    <x v="26"/>
    <s v="NA"/>
    <s v="TAJALAPIZ"/>
    <s v="SN"/>
    <s v="itaj00100213"/>
    <s v="ITAJ00100213"/>
    <n v="12"/>
  </r>
  <r>
    <n v="487"/>
    <n v="12"/>
    <x v="31"/>
    <x v="26"/>
    <s v="NA"/>
    <s v="TELEFONOS"/>
    <s v="TELMEX"/>
    <s v="itel00100494"/>
    <s v="ITEL00100494"/>
    <n v="12"/>
  </r>
  <r>
    <n v="488"/>
    <n v="13"/>
    <x v="32"/>
    <x v="28"/>
    <s v="NA"/>
    <s v="BAFLE"/>
    <s v="STEREN"/>
    <s v="ibaf00100056"/>
    <s v="IBAF00100056"/>
    <n v="12"/>
  </r>
  <r>
    <n v="489"/>
    <n v="13"/>
    <x v="32"/>
    <x v="28"/>
    <s v="NA"/>
    <s v="BOTIQUIN"/>
    <s v="SN"/>
    <s v="ibot00100125"/>
    <s v="IBOT00100125"/>
    <n v="12"/>
  </r>
  <r>
    <n v="490"/>
    <n v="13"/>
    <x v="32"/>
    <x v="28"/>
    <s v="NA"/>
    <s v="CAMARA DIGITAL"/>
    <s v="SONY"/>
    <s v="ICAM00101780"/>
    <s v="ICAM00101780"/>
    <n v="12"/>
  </r>
  <r>
    <n v="491"/>
    <n v="13"/>
    <x v="32"/>
    <x v="28"/>
    <s v="NA"/>
    <s v="ENGARGOLADORA"/>
    <s v="COMBO"/>
    <s v="ieng00100203"/>
    <s v="IENG00100203"/>
    <n v="12"/>
  </r>
  <r>
    <n v="493"/>
    <n v="13"/>
    <x v="32"/>
    <x v="28"/>
    <s v="NA"/>
    <s v="EQUIPO DE PERIFONEO"/>
    <s v="RADSON"/>
    <s v="iamp00100080"/>
    <s v="IAMP00100080"/>
    <n v="12"/>
  </r>
  <r>
    <n v="494"/>
    <n v="13"/>
    <x v="32"/>
    <x v="28"/>
    <s v="NA"/>
    <s v="GRABADORA"/>
    <s v="SONY"/>
    <s v="IGRA00100400"/>
    <s v="IGRA00100400"/>
    <n v="12"/>
  </r>
  <r>
    <n v="495"/>
    <n v="13"/>
    <x v="32"/>
    <x v="28"/>
    <s v="NA"/>
    <s v="LAMPARA DE EMERGENCIA CHICA"/>
    <s v="STEREN"/>
    <s v="SN"/>
    <s v="SN"/>
    <n v="2"/>
  </r>
  <r>
    <n v="496"/>
    <n v="13"/>
    <x v="32"/>
    <x v="28"/>
    <s v="NA"/>
    <s v="LAMPARA DE EMERGENCIA CHICA"/>
    <s v="STEREN"/>
    <s v="SN"/>
    <s v="SN"/>
    <n v="2"/>
  </r>
  <r>
    <n v="497"/>
    <n v="13"/>
    <x v="32"/>
    <x v="28"/>
    <s v="NA"/>
    <s v="LAMPARA DE EMERGENCIA CHICA"/>
    <s v="VOLTECK"/>
    <s v="SN"/>
    <s v="SN"/>
    <n v="2"/>
  </r>
  <r>
    <n v="498"/>
    <n v="13"/>
    <x v="32"/>
    <x v="28"/>
    <s v="NA"/>
    <s v="LAMPARA DE EMERGENCIA GRANDE"/>
    <s v="STEREN"/>
    <s v="SN"/>
    <s v="SN"/>
    <n v="2"/>
  </r>
  <r>
    <n v="499"/>
    <n v="13"/>
    <x v="32"/>
    <x v="28"/>
    <s v="NA"/>
    <s v="RECEPTOR"/>
    <s v="SOUNDTRACK"/>
    <s v="isis01200184"/>
    <s v="ISIS01200184"/>
    <n v="12"/>
  </r>
  <r>
    <n v="501"/>
    <n v="13"/>
    <x v="32"/>
    <x v="28"/>
    <s v="NA"/>
    <s v="TAJALAPIZ"/>
    <s v="SN"/>
    <s v="itaj00100080"/>
    <s v="ITAJ00100080"/>
    <n v="12"/>
  </r>
  <r>
    <n v="502"/>
    <n v="13"/>
    <x v="32"/>
    <x v="28"/>
    <s v="NA"/>
    <s v="TELEFONOS"/>
    <s v="TELMEX"/>
    <s v="itel00100973"/>
    <s v="ITEL00100973"/>
    <n v="12"/>
  </r>
  <r>
    <n v="503"/>
    <n v="13"/>
    <x v="33"/>
    <x v="29"/>
    <s v="NA"/>
    <s v="BAFLE"/>
    <s v="STEREN"/>
    <s v="ibaf00100055"/>
    <s v="IBAF00100055"/>
    <n v="12"/>
  </r>
  <r>
    <n v="504"/>
    <n v="13"/>
    <x v="33"/>
    <x v="29"/>
    <s v="NA"/>
    <s v="BOTIQUIN"/>
    <s v="SN"/>
    <s v="ibot00100149"/>
    <s v="IBOT00100149"/>
    <n v="12"/>
  </r>
  <r>
    <n v="505"/>
    <n v="13"/>
    <x v="33"/>
    <x v="29"/>
    <s v="NA"/>
    <s v="CAMARA DIGITAL"/>
    <s v="SONY"/>
    <s v="ICAM00101773"/>
    <s v="ICAM00101773"/>
    <n v="12"/>
  </r>
  <r>
    <n v="506"/>
    <n v="13"/>
    <x v="33"/>
    <x v="29"/>
    <s v="NA"/>
    <s v="ENGARGOLADORA"/>
    <s v="COMBO"/>
    <s v="ieng00100211"/>
    <s v="IENG00100211"/>
    <n v="12"/>
  </r>
  <r>
    <n v="507"/>
    <n v="13"/>
    <x v="33"/>
    <x v="29"/>
    <s v="NA"/>
    <s v="EQUIPO DE PERIFONEO"/>
    <s v="RADSON"/>
    <s v="iamp00100036"/>
    <s v="IAMP00100036"/>
    <n v="12"/>
  </r>
  <r>
    <n v="509"/>
    <n v="13"/>
    <x v="33"/>
    <x v="29"/>
    <s v="NA"/>
    <s v="GRABADORA"/>
    <s v="SONY"/>
    <s v="IGRA00100307"/>
    <s v="IGRA00100307"/>
    <n v="12"/>
  </r>
  <r>
    <n v="510"/>
    <n v="13"/>
    <x v="33"/>
    <x v="29"/>
    <s v="NA"/>
    <s v="LAMPARA DE EMERGENCIA CHICA"/>
    <s v="VOLTECK"/>
    <s v="SN"/>
    <s v="SN"/>
    <n v="2"/>
  </r>
  <r>
    <n v="511"/>
    <n v="13"/>
    <x v="33"/>
    <x v="29"/>
    <s v="NA"/>
    <s v="LAMPARA DE EMERGENCIA CHICA"/>
    <s v="VOLTECK"/>
    <s v="SN"/>
    <s v="SN"/>
    <n v="2"/>
  </r>
  <r>
    <n v="512"/>
    <n v="13"/>
    <x v="33"/>
    <x v="29"/>
    <s v="NA"/>
    <s v="LAMPARA DE EMERGENCIA CHICA"/>
    <s v="HIPER"/>
    <s v="SN"/>
    <s v="SN"/>
    <n v="2"/>
  </r>
  <r>
    <n v="513"/>
    <n v="13"/>
    <x v="33"/>
    <x v="29"/>
    <s v="NA"/>
    <s v="LAMPARA DE EMERGENCIA GRANDE"/>
    <s v="STEREN"/>
    <s v="SN"/>
    <s v="SN"/>
    <n v="2"/>
  </r>
  <r>
    <n v="514"/>
    <n v="13"/>
    <x v="33"/>
    <x v="29"/>
    <s v="NA"/>
    <s v="RECEPTOR"/>
    <s v="SOUNDTRACK"/>
    <s v="isis01200145"/>
    <s v="ISIS01200145"/>
    <n v="12"/>
  </r>
  <r>
    <n v="515"/>
    <n v="13"/>
    <x v="33"/>
    <x v="29"/>
    <s v="NA"/>
    <s v="TAJALAPIZ"/>
    <s v="SN"/>
    <s v="itaj00100063"/>
    <s v="ITAJ00100063"/>
    <n v="12"/>
  </r>
  <r>
    <n v="517"/>
    <n v="13"/>
    <x v="33"/>
    <x v="29"/>
    <s v="NA"/>
    <s v="TELEFONOS"/>
    <s v="TELMEX"/>
    <s v="itel00101116"/>
    <s v="ITEL00101116"/>
    <n v="12"/>
  </r>
  <r>
    <n v="518"/>
    <n v="13"/>
    <x v="34"/>
    <x v="30"/>
    <s v="NA"/>
    <s v="BAFLE"/>
    <s v="STEREN"/>
    <s v="ibaf00100154"/>
    <s v="IBAF00100154"/>
    <n v="12"/>
  </r>
  <r>
    <n v="519"/>
    <n v="13"/>
    <x v="34"/>
    <x v="30"/>
    <s v="NA"/>
    <s v="BOTIQUIN"/>
    <s v="SN"/>
    <s v="ibot00100132"/>
    <s v="IBOT00100132"/>
    <n v="12"/>
  </r>
  <r>
    <n v="520"/>
    <n v="13"/>
    <x v="34"/>
    <x v="30"/>
    <s v="NA"/>
    <s v="CAMARA DIGITAL"/>
    <s v="SONY"/>
    <s v="ICAM00101729"/>
    <s v="ICAM00101729"/>
    <n v="12"/>
  </r>
  <r>
    <n v="521"/>
    <n v="13"/>
    <x v="34"/>
    <x v="30"/>
    <s v="NA"/>
    <s v="ENGARGOLADORA"/>
    <s v="COMBO"/>
    <s v="ieng00100154"/>
    <s v="IENG00100154"/>
    <n v="12"/>
  </r>
  <r>
    <n v="522"/>
    <n v="13"/>
    <x v="34"/>
    <x v="30"/>
    <s v="NA"/>
    <s v="EQUIPO DE PERIFONEO"/>
    <s v="RADSON"/>
    <s v="SN"/>
    <s v="SN"/>
    <n v="2"/>
  </r>
  <r>
    <n v="523"/>
    <n v="13"/>
    <x v="34"/>
    <x v="30"/>
    <s v="NA"/>
    <s v="GRABADORA"/>
    <s v="SONY"/>
    <s v="IGRA00100364"/>
    <s v="IGRA00100364"/>
    <n v="12"/>
  </r>
  <r>
    <n v="525"/>
    <n v="13"/>
    <x v="34"/>
    <x v="30"/>
    <s v="NA"/>
    <s v="LAMPARA DE EMERGENCIA CHICA"/>
    <s v="SURTEK"/>
    <s v="ilam00101258"/>
    <s v="ILAM00101258"/>
    <n v="12"/>
  </r>
  <r>
    <n v="526"/>
    <n v="13"/>
    <x v="34"/>
    <x v="30"/>
    <s v="NA"/>
    <s v="LAMPARA DE EMERGENCIA CHICA"/>
    <s v="SURTEK"/>
    <s v="ilam00101296"/>
    <s v="ILAM00101296"/>
    <n v="12"/>
  </r>
  <r>
    <n v="527"/>
    <n v="13"/>
    <x v="34"/>
    <x v="30"/>
    <s v="NA"/>
    <s v="LAMPARA DE EMERGENCIA CHICA"/>
    <s v="SURTEK"/>
    <s v="ilam00101179"/>
    <s v="ILAM00101179"/>
    <n v="12"/>
  </r>
  <r>
    <n v="528"/>
    <n v="13"/>
    <x v="34"/>
    <x v="30"/>
    <s v="NA"/>
    <s v="LAMPARA DE EMERGENCIA GRANDE"/>
    <s v="STEREN"/>
    <s v="SN"/>
    <s v="SN"/>
    <n v="2"/>
  </r>
  <r>
    <n v="529"/>
    <n v="13"/>
    <x v="34"/>
    <x v="30"/>
    <s v="NA"/>
    <s v="RECEPTOR"/>
    <s v="SOUNDTRACK"/>
    <s v="isis01200081"/>
    <s v="ISIS01200081"/>
    <n v="12"/>
  </r>
  <r>
    <n v="530"/>
    <n v="13"/>
    <x v="34"/>
    <x v="30"/>
    <s v="NA"/>
    <s v="TAJALAPIZ"/>
    <s v="SN"/>
    <s v="itaj00100083"/>
    <s v="ITAJ00100083"/>
    <n v="12"/>
  </r>
  <r>
    <n v="531"/>
    <n v="13"/>
    <x v="34"/>
    <x v="30"/>
    <s v="NA"/>
    <s v="TELEFONOS"/>
    <s v="TELMEX"/>
    <s v="itel00101046"/>
    <s v="ITEL00101046"/>
    <n v="12"/>
  </r>
  <r>
    <n v="533"/>
    <n v="13"/>
    <x v="35"/>
    <x v="31"/>
    <s v="NA"/>
    <s v="BAFLE"/>
    <s v="STEREN"/>
    <s v="ibaf00100039"/>
    <s v="IBAF00100039"/>
    <n v="12"/>
  </r>
  <r>
    <n v="534"/>
    <n v="13"/>
    <x v="35"/>
    <x v="31"/>
    <s v="NA"/>
    <s v="BOTIQUIN"/>
    <s v="SN"/>
    <s v="ibot00100165"/>
    <s v="IBOT00100165"/>
    <n v="12"/>
  </r>
  <r>
    <n v="535"/>
    <n v="13"/>
    <x v="35"/>
    <x v="31"/>
    <s v="NA"/>
    <s v="CAMARA DIGITAL"/>
    <s v="SONY"/>
    <s v="ICAM00101785"/>
    <s v="ICAM00101785"/>
    <n v="12"/>
  </r>
  <r>
    <n v="536"/>
    <n v="13"/>
    <x v="35"/>
    <x v="31"/>
    <s v="NA"/>
    <s v="ENGARGOLADORA"/>
    <s v="COMBO"/>
    <s v="ieng00100174"/>
    <s v="IENG00100174"/>
    <n v="12"/>
  </r>
  <r>
    <n v="537"/>
    <n v="13"/>
    <x v="35"/>
    <x v="31"/>
    <s v="NA"/>
    <s v="EQUIPO DE PERIFONEO"/>
    <s v="RADSON"/>
    <s v="IAM00100088"/>
    <s v="IAM00100088"/>
    <n v="11"/>
  </r>
  <r>
    <n v="538"/>
    <n v="13"/>
    <x v="35"/>
    <x v="31"/>
    <s v="NA"/>
    <s v="GRABADORA"/>
    <s v="SONY"/>
    <s v="IGRA00100374"/>
    <s v="IGRA00100374"/>
    <n v="12"/>
  </r>
  <r>
    <n v="539"/>
    <n v="13"/>
    <x v="35"/>
    <x v="31"/>
    <s v="NA"/>
    <s v="LAMPARA DE EMERGENCIA CHICA"/>
    <s v="SURTEK"/>
    <s v="ILAM00101150"/>
    <s v="ILAM00101150"/>
    <n v="12"/>
  </r>
  <r>
    <n v="541"/>
    <n v="13"/>
    <x v="35"/>
    <x v="31"/>
    <s v="NA"/>
    <s v="LAMPARA DE EMERGENCIA CHICA"/>
    <s v="SURTEK"/>
    <s v="ilam00101144"/>
    <s v="ILAM00101144"/>
    <n v="12"/>
  </r>
  <r>
    <n v="542"/>
    <n v="13"/>
    <x v="35"/>
    <x v="31"/>
    <s v="NA"/>
    <s v="LAMPARA DE EMERGENCIA CHICA"/>
    <s v="SURTEK"/>
    <s v="ilam00101149"/>
    <s v="ILAM00101149"/>
    <n v="12"/>
  </r>
  <r>
    <n v="543"/>
    <n v="13"/>
    <x v="35"/>
    <x v="31"/>
    <s v="NA"/>
    <s v="LAMPARA DE EMERGENCIA GRANDE"/>
    <s v="STEREN"/>
    <s v="SN"/>
    <s v="SN"/>
    <n v="2"/>
  </r>
  <r>
    <n v="544"/>
    <n v="13"/>
    <x v="35"/>
    <x v="31"/>
    <s v="NA"/>
    <s v="RECEPTOR"/>
    <s v="SOUNDTRACK"/>
    <s v="isis01200175"/>
    <s v="ISIS01200175"/>
    <n v="12"/>
  </r>
  <r>
    <n v="545"/>
    <n v="13"/>
    <x v="35"/>
    <x v="31"/>
    <s v="NA"/>
    <s v="TAJALAPIZ"/>
    <s v="SN"/>
    <s v="itaj00100156"/>
    <s v="ITAJ00100156"/>
    <n v="12"/>
  </r>
  <r>
    <n v="546"/>
    <n v="13"/>
    <x v="35"/>
    <x v="31"/>
    <s v="NA"/>
    <s v="TELEFONOS"/>
    <s v="TELMEX"/>
    <s v="ITEL00100910"/>
    <s v="ITEL00100910"/>
    <n v="12"/>
  </r>
  <r>
    <n v="547"/>
    <n v="13"/>
    <x v="36"/>
    <x v="16"/>
    <s v="NA"/>
    <s v="BAFLE"/>
    <s v="STEREN"/>
    <s v="ibaf00100073"/>
    <s v="IBAF00100073"/>
    <n v="12"/>
  </r>
  <r>
    <n v="549"/>
    <n v="13"/>
    <x v="36"/>
    <x v="16"/>
    <s v="NA"/>
    <s v="BOTIQUIN"/>
    <s v="SN"/>
    <s v="ibot00100062"/>
    <s v="IBOT00100062"/>
    <n v="12"/>
  </r>
  <r>
    <n v="550"/>
    <n v="13"/>
    <x v="36"/>
    <x v="16"/>
    <s v="NA"/>
    <s v="CAMARA DIGITAL"/>
    <s v="SONY"/>
    <s v="ICAM00101730"/>
    <s v="ICAM00101730"/>
    <n v="12"/>
  </r>
  <r>
    <n v="551"/>
    <n v="13"/>
    <x v="36"/>
    <x v="16"/>
    <s v="NA"/>
    <s v="ENGARGOLADORA"/>
    <s v="COMBO"/>
    <s v="ieng00100205"/>
    <s v="IENG00100205"/>
    <n v="12"/>
  </r>
  <r>
    <n v="552"/>
    <n v="13"/>
    <x v="36"/>
    <x v="16"/>
    <s v="NA"/>
    <s v="EQUIPO DE PERIFONEO"/>
    <s v="RADSON"/>
    <s v="SN"/>
    <s v="SN"/>
    <n v="2"/>
  </r>
  <r>
    <n v="553"/>
    <n v="13"/>
    <x v="36"/>
    <x v="16"/>
    <s v="NA"/>
    <s v="GRABADORA"/>
    <s v="SONY"/>
    <s v="IGRA00100304"/>
    <s v="IGRA00100304"/>
    <n v="12"/>
  </r>
  <r>
    <n v="554"/>
    <n v="13"/>
    <x v="36"/>
    <x v="16"/>
    <s v="NA"/>
    <s v="LAMPARA DE EMERGENCIA CHICA"/>
    <s v="SURTEK"/>
    <s v="ilam00101190"/>
    <s v="ILAM00101190"/>
    <n v="12"/>
  </r>
  <r>
    <n v="555"/>
    <n v="13"/>
    <x v="36"/>
    <x v="16"/>
    <s v="NA"/>
    <s v="LAMPARA DE EMERGENCIA CHICA"/>
    <s v="SURTEK"/>
    <s v="ilam00101113"/>
    <s v="ILAM00101113"/>
    <n v="12"/>
  </r>
  <r>
    <n v="556"/>
    <n v="13"/>
    <x v="36"/>
    <x v="16"/>
    <s v="NA"/>
    <s v="LAMPARA DE EMERGENCIA CHICA"/>
    <s v="SURTEK"/>
    <s v="ilam00101132"/>
    <s v="ILAM00101132"/>
    <n v="12"/>
  </r>
  <r>
    <n v="558"/>
    <n v="13"/>
    <x v="36"/>
    <x v="16"/>
    <s v="NA"/>
    <s v="LAMPARA DE EMERGENCIA GRANDE"/>
    <s v="STEREN"/>
    <s v="SN"/>
    <s v="SN"/>
    <n v="2"/>
  </r>
  <r>
    <n v="559"/>
    <n v="13"/>
    <x v="36"/>
    <x v="16"/>
    <s v="NA"/>
    <s v="RECEPTOR"/>
    <s v="SOUNDTRACK"/>
    <s v="isis01200137"/>
    <s v="ISIS01200137"/>
    <n v="12"/>
  </r>
  <r>
    <n v="560"/>
    <n v="13"/>
    <x v="36"/>
    <x v="16"/>
    <s v="NA"/>
    <s v="TAJALAPIZ"/>
    <s v="SN"/>
    <s v="itaj00100105"/>
    <s v="ITAJ00100105"/>
    <n v="12"/>
  </r>
  <r>
    <n v="561"/>
    <n v="13"/>
    <x v="36"/>
    <x v="16"/>
    <s v="NA"/>
    <s v="TELEFONOS"/>
    <s v="TELMEX"/>
    <s v="itel00100311"/>
    <s v="ITEL00100311"/>
    <n v="12"/>
  </r>
  <r>
    <n v="562"/>
    <n v="13"/>
    <x v="37"/>
    <x v="32"/>
    <s v="NA"/>
    <s v="BAFLE"/>
    <s v="STEREN"/>
    <s v="ibaf00100157"/>
    <s v="IBAF00100157"/>
    <n v="12"/>
  </r>
  <r>
    <n v="563"/>
    <n v="13"/>
    <x v="37"/>
    <x v="32"/>
    <s v="NA"/>
    <s v="BOTIQUIN"/>
    <s v="SN"/>
    <s v="ibot00100143"/>
    <s v="IBOT00100143"/>
    <n v="12"/>
  </r>
  <r>
    <n v="564"/>
    <n v="13"/>
    <x v="37"/>
    <x v="32"/>
    <s v="NA"/>
    <s v="CAMARA DIGITAL"/>
    <s v="SONY"/>
    <s v="ICAM00101788"/>
    <s v="ICAM00101788"/>
    <n v="12"/>
  </r>
  <r>
    <n v="566"/>
    <n v="13"/>
    <x v="37"/>
    <x v="32"/>
    <s v="NA"/>
    <s v="ENGARGOLADORA"/>
    <s v="COMBO"/>
    <s v="ieng00100257"/>
    <s v="IENG00100257"/>
    <n v="12"/>
  </r>
  <r>
    <n v="567"/>
    <n v="13"/>
    <x v="37"/>
    <x v="32"/>
    <s v="NA"/>
    <s v="EQUIPO DE PERIFONEO"/>
    <s v="RADSON"/>
    <s v="iamp00100043"/>
    <s v="IAMP00100043"/>
    <n v="12"/>
  </r>
  <r>
    <n v="568"/>
    <n v="13"/>
    <x v="37"/>
    <x v="32"/>
    <s v="NA"/>
    <s v="GRABADORA"/>
    <s v="SONY"/>
    <s v="IGRA00100394"/>
    <s v="IGRA00100394"/>
    <n v="12"/>
  </r>
  <r>
    <n v="569"/>
    <n v="13"/>
    <x v="37"/>
    <x v="32"/>
    <s v="NA"/>
    <s v="LAMPARA DE EMERGENCIA CHICA"/>
    <s v="SURTEK"/>
    <s v="ilam00100877"/>
    <s v="ILAM00100877"/>
    <n v="12"/>
  </r>
  <r>
    <n v="570"/>
    <n v="13"/>
    <x v="37"/>
    <x v="32"/>
    <s v="NA"/>
    <s v="LAMPARA DE EMERGENCIA CHICA"/>
    <s v="SURTEK"/>
    <s v="ilam00101318"/>
    <s v="ILAM00101318"/>
    <n v="12"/>
  </r>
  <r>
    <n v="571"/>
    <n v="13"/>
    <x v="37"/>
    <x v="32"/>
    <s v="NA"/>
    <s v="LAMPARA DE EMERGENCIA CHICA"/>
    <s v="SURTEK"/>
    <s v="ilam00101209"/>
    <s v="ILAM00101209"/>
    <n v="12"/>
  </r>
  <r>
    <n v="572"/>
    <n v="13"/>
    <x v="37"/>
    <x v="32"/>
    <s v="NA"/>
    <s v="LAMPARA DE EMERGENCIA GRANDE"/>
    <s v="STEREN"/>
    <s v="SN"/>
    <s v="SN"/>
    <n v="2"/>
  </r>
  <r>
    <n v="574"/>
    <n v="13"/>
    <x v="37"/>
    <x v="32"/>
    <s v="NA"/>
    <s v="RECEPTOR"/>
    <s v="SOUNDTRACK"/>
    <s v="isis01200050"/>
    <s v="ISIS01200050"/>
    <n v="12"/>
  </r>
  <r>
    <n v="575"/>
    <n v="13"/>
    <x v="37"/>
    <x v="32"/>
    <s v="NA"/>
    <s v="TAJALAPIZ"/>
    <s v="SN"/>
    <s v="ITAJ00100101"/>
    <s v="ITAJ00100101"/>
    <n v="12"/>
  </r>
  <r>
    <n v="576"/>
    <n v="13"/>
    <x v="37"/>
    <x v="32"/>
    <s v="NA"/>
    <s v="TELEFONOS"/>
    <s v="TELMEX"/>
    <s v="itel00100806"/>
    <s v="ITEL00100806"/>
    <n v="12"/>
  </r>
  <r>
    <n v="577"/>
    <n v="13"/>
    <x v="38"/>
    <x v="33"/>
    <s v="NA"/>
    <s v="BAFLE"/>
    <s v="STEREN"/>
    <s v="ibaf00100166"/>
    <s v="IBAF00100166"/>
    <n v="12"/>
  </r>
  <r>
    <n v="578"/>
    <n v="13"/>
    <x v="38"/>
    <x v="33"/>
    <s v="NA"/>
    <s v="BOTIQUIN"/>
    <s v="SN"/>
    <s v="ibot00100129"/>
    <s v="IBOT00100129"/>
    <n v="12"/>
  </r>
  <r>
    <n v="579"/>
    <n v="13"/>
    <x v="38"/>
    <x v="33"/>
    <s v="NA"/>
    <s v="CAMARA DIGITAL"/>
    <s v="SONY"/>
    <s v="ICAM00101751"/>
    <s v="ICAM00101751"/>
    <n v="12"/>
  </r>
  <r>
    <n v="580"/>
    <n v="13"/>
    <x v="38"/>
    <x v="33"/>
    <s v="NA"/>
    <s v="ENGARGOLADORA"/>
    <s v="COMBO"/>
    <s v="ieng00100002"/>
    <s v="IENG00100002"/>
    <n v="12"/>
  </r>
  <r>
    <n v="582"/>
    <n v="13"/>
    <x v="38"/>
    <x v="33"/>
    <s v="NA"/>
    <s v="EQUIPO DE PERIFONEO"/>
    <s v="RADSON"/>
    <s v="SN"/>
    <s v="SN"/>
    <n v="2"/>
  </r>
  <r>
    <n v="583"/>
    <n v="13"/>
    <x v="38"/>
    <x v="33"/>
    <s v="NA"/>
    <s v="GRABADORA"/>
    <s v="SONY"/>
    <s v="IGRA00100372"/>
    <s v="IGRA00100372"/>
    <n v="12"/>
  </r>
  <r>
    <n v="584"/>
    <n v="13"/>
    <x v="38"/>
    <x v="33"/>
    <s v="NA"/>
    <s v="LAMPARA DE EMERGENCIA CHICA"/>
    <s v="SURTEK"/>
    <s v="ilam00100893"/>
    <s v="ILAM00100893"/>
    <n v="12"/>
  </r>
  <r>
    <n v="585"/>
    <n v="13"/>
    <x v="38"/>
    <x v="33"/>
    <s v="NA"/>
    <s v="LAMPARA DE EMERGENCIA CHICA"/>
    <s v="SURTEK"/>
    <s v="ilam00101341"/>
    <s v="ILAM00101341"/>
    <n v="12"/>
  </r>
  <r>
    <n v="586"/>
    <n v="13"/>
    <x v="38"/>
    <x v="33"/>
    <s v="NA"/>
    <s v="LAMPARA DE EMERGENCIA CHICA"/>
    <s v="SURTEK"/>
    <s v="ilam00101141"/>
    <s v="ILAM00101141"/>
    <n v="12"/>
  </r>
  <r>
    <n v="587"/>
    <n v="13"/>
    <x v="38"/>
    <x v="33"/>
    <s v="NA"/>
    <s v="LAMPARA DE EMERGENCIA GRANDE"/>
    <s v="STEREN"/>
    <s v="SN"/>
    <s v="SN"/>
    <n v="2"/>
  </r>
  <r>
    <n v="588"/>
    <n v="13"/>
    <x v="38"/>
    <x v="33"/>
    <s v="NA"/>
    <s v="RECEPTOR"/>
    <s v="SOUNDTRACK"/>
    <s v="isis01200201"/>
    <s v="ISIS01200201"/>
    <n v="12"/>
  </r>
  <r>
    <n v="590"/>
    <n v="13"/>
    <x v="38"/>
    <x v="33"/>
    <s v="NA"/>
    <s v="TAJALAPIZ"/>
    <s v="SN"/>
    <s v="itaj00100173"/>
    <s v="ITAJ00100173"/>
    <n v="12"/>
  </r>
  <r>
    <n v="591"/>
    <n v="13"/>
    <x v="38"/>
    <x v="33"/>
    <s v="NA"/>
    <s v="TELEFONOS"/>
    <s v="TELMEX"/>
    <s v="itel00101001"/>
    <s v="ITEL00101001"/>
    <n v="12"/>
  </r>
  <r>
    <n v="592"/>
    <n v="13"/>
    <x v="39"/>
    <x v="34"/>
    <s v="NA"/>
    <s v="BAFLE"/>
    <s v="STEREN"/>
    <s v="ibaf00100045"/>
    <s v="IBAF00100045"/>
    <n v="12"/>
  </r>
  <r>
    <n v="593"/>
    <n v="13"/>
    <x v="39"/>
    <x v="34"/>
    <s v="NA"/>
    <s v="BOTIQUIN"/>
    <s v="SN"/>
    <s v="ibot00100051"/>
    <s v="IBOT00100051"/>
    <n v="12"/>
  </r>
  <r>
    <n v="594"/>
    <n v="13"/>
    <x v="39"/>
    <x v="34"/>
    <s v="NA"/>
    <s v="CAMARA DIGITAL"/>
    <s v="SONY"/>
    <s v="ICAM00101762"/>
    <s v="ICAM00101762"/>
    <n v="12"/>
  </r>
  <r>
    <n v="595"/>
    <n v="13"/>
    <x v="39"/>
    <x v="34"/>
    <s v="NA"/>
    <s v="ENGARGOLADORA"/>
    <s v="COMBO"/>
    <s v="IENG00100251"/>
    <s v="IENG00100251"/>
    <n v="12"/>
  </r>
  <r>
    <n v="596"/>
    <n v="13"/>
    <x v="39"/>
    <x v="34"/>
    <s v="NA"/>
    <s v="EQUIPO DE PERIFONEO"/>
    <s v="RADSON"/>
    <s v="SN"/>
    <s v="SN"/>
    <n v="2"/>
  </r>
  <r>
    <n v="598"/>
    <n v="13"/>
    <x v="39"/>
    <x v="34"/>
    <s v="NA"/>
    <s v="GRABADORA"/>
    <s v="SONY"/>
    <s v="IGRA00100383"/>
    <s v="IGRA00100383"/>
    <n v="12"/>
  </r>
  <r>
    <n v="599"/>
    <n v="13"/>
    <x v="39"/>
    <x v="34"/>
    <s v="NA"/>
    <s v="LAMPARA DE EMERGENCIA CHICA"/>
    <s v="SURTEK"/>
    <s v="ilam00101299"/>
    <s v="ILAM00101299"/>
    <n v="12"/>
  </r>
  <r>
    <n v="600"/>
    <n v="13"/>
    <x v="39"/>
    <x v="34"/>
    <s v="NA"/>
    <s v="LAMPARA DE EMERGENCIA CHICA"/>
    <s v="SURTEK"/>
    <s v="ilam00101281"/>
    <s v="ILAM00101281"/>
    <n v="12"/>
  </r>
  <r>
    <n v="601"/>
    <n v="13"/>
    <x v="39"/>
    <x v="34"/>
    <s v="NA"/>
    <s v="LAMPARA DE EMERGENCIA CHICA"/>
    <s v="SURTEK"/>
    <s v="ilam00101211"/>
    <s v="ILAM00101211"/>
    <n v="12"/>
  </r>
  <r>
    <n v="602"/>
    <n v="13"/>
    <x v="39"/>
    <x v="34"/>
    <s v="NA"/>
    <s v="LAMPARA DE EMERGENCIA GRANDE"/>
    <s v="STEREN"/>
    <s v="SN"/>
    <s v="SN"/>
    <n v="2"/>
  </r>
  <r>
    <n v="603"/>
    <n v="13"/>
    <x v="39"/>
    <x v="34"/>
    <s v="NA"/>
    <s v="RECEPTOR"/>
    <s v="SOUNDTRACK"/>
    <s v="isis01200107"/>
    <s v="ISIS01200107"/>
    <n v="12"/>
  </r>
  <r>
    <n v="604"/>
    <n v="13"/>
    <x v="39"/>
    <x v="34"/>
    <s v="NA"/>
    <s v="TAJALAPIZ"/>
    <s v="SN"/>
    <s v="ITAJ00100054"/>
    <s v="ITAJ00100054"/>
    <n v="12"/>
  </r>
  <r>
    <n v="606"/>
    <n v="13"/>
    <x v="39"/>
    <x v="34"/>
    <s v="NA"/>
    <s v="TELEFONOS"/>
    <s v="TELMEX"/>
    <s v="itel00100769"/>
    <s v="ITEL00100769"/>
    <n v="12"/>
  </r>
  <r>
    <n v="607"/>
    <n v="13"/>
    <x v="40"/>
    <x v="35"/>
    <s v="NA"/>
    <s v="BAFLE"/>
    <s v="STEREN"/>
    <s v="IBAF00100101"/>
    <s v="IBAF00100101"/>
    <n v="12"/>
  </r>
  <r>
    <n v="608"/>
    <n v="13"/>
    <x v="40"/>
    <x v="35"/>
    <s v="NA"/>
    <s v="BOTIQUIN"/>
    <s v="SN"/>
    <s v="ibot00100045"/>
    <s v="IBOT00100045"/>
    <n v="12"/>
  </r>
  <r>
    <n v="609"/>
    <n v="13"/>
    <x v="40"/>
    <x v="35"/>
    <s v="NA"/>
    <s v="CAMARA DIGITAL"/>
    <s v="SONY"/>
    <s v="ICAM00101773"/>
    <s v="ICAM00101773"/>
    <n v="12"/>
  </r>
  <r>
    <n v="610"/>
    <n v="13"/>
    <x v="40"/>
    <x v="35"/>
    <s v="NA"/>
    <s v="ENGARGOLADORA"/>
    <s v="COMBO"/>
    <s v="ieng00100206"/>
    <s v="IENG00100206"/>
    <n v="12"/>
  </r>
  <r>
    <n v="611"/>
    <n v="13"/>
    <x v="40"/>
    <x v="35"/>
    <s v="NA"/>
    <s v="EQUIPO DE PERIFONEO"/>
    <s v="RADSON"/>
    <s v="iamp00100102"/>
    <s v="IAMP00100102"/>
    <n v="12"/>
  </r>
  <r>
    <n v="612"/>
    <n v="13"/>
    <x v="40"/>
    <x v="35"/>
    <s v="NA"/>
    <s v="GRABADORA"/>
    <s v="SONY"/>
    <s v="IGRA00100334"/>
    <s v="IGRA00100334"/>
    <n v="12"/>
  </r>
  <r>
    <n v="614"/>
    <n v="13"/>
    <x v="40"/>
    <x v="35"/>
    <s v="NA"/>
    <s v="LAMPARA DE EMERGENCIA CHICA"/>
    <s v="SURTEK"/>
    <s v="ilam00101170"/>
    <s v="ILAM00101170"/>
    <n v="12"/>
  </r>
  <r>
    <n v="615"/>
    <n v="13"/>
    <x v="40"/>
    <x v="35"/>
    <s v="NA"/>
    <s v="LAMPARA DE EMERGENCIA CHICA"/>
    <s v="SURTEK"/>
    <s v="ilam00101163"/>
    <s v="ILAM00101163"/>
    <n v="12"/>
  </r>
  <r>
    <n v="616"/>
    <n v="13"/>
    <x v="40"/>
    <x v="35"/>
    <s v="NA"/>
    <s v="LAMPARA DE EMERGENCIA CHICA"/>
    <s v="SURTEK"/>
    <s v="ilam00101137"/>
    <s v="ILAM00101137"/>
    <n v="12"/>
  </r>
  <r>
    <n v="617"/>
    <n v="13"/>
    <x v="40"/>
    <x v="35"/>
    <s v="NA"/>
    <s v="LAMPARA DE EMERGENCIA GRANDE"/>
    <s v="STEREN"/>
    <s v="SN"/>
    <s v="SN"/>
    <n v="2"/>
  </r>
  <r>
    <n v="618"/>
    <n v="13"/>
    <x v="40"/>
    <x v="35"/>
    <s v="NA"/>
    <s v="RECEPTOR"/>
    <s v="SOUNDTRACK"/>
    <s v="isis01200139"/>
    <s v="ISIS01200139"/>
    <n v="12"/>
  </r>
  <r>
    <n v="619"/>
    <n v="13"/>
    <x v="40"/>
    <x v="35"/>
    <s v="NA"/>
    <s v="TAJALAPIZ"/>
    <s v="SN"/>
    <s v="itaj00100100"/>
    <s v="ITAJ00100100"/>
    <n v="12"/>
  </r>
  <r>
    <n v="620"/>
    <n v="13"/>
    <x v="40"/>
    <x v="35"/>
    <s v="NA"/>
    <s v="TELEFONOS"/>
    <s v="TELMEX"/>
    <s v="itel00100994"/>
    <s v="ITEL00100994"/>
    <n v="12"/>
  </r>
  <r>
    <n v="622"/>
    <n v="13"/>
    <x v="41"/>
    <x v="5"/>
    <s v="NA"/>
    <s v="BAFLE"/>
    <s v="STEREN"/>
    <s v="ibaf00100040"/>
    <s v="IBAF00100040"/>
    <n v="12"/>
  </r>
  <r>
    <n v="623"/>
    <n v="13"/>
    <x v="41"/>
    <x v="5"/>
    <s v="NA"/>
    <s v="BOTIQUIN"/>
    <s v="SN"/>
    <s v="ibot00100091"/>
    <s v="IBOT00100091"/>
    <n v="12"/>
  </r>
  <r>
    <n v="624"/>
    <n v="13"/>
    <x v="41"/>
    <x v="5"/>
    <s v="NA"/>
    <s v="CAMARA DIGITAL"/>
    <s v="SONY"/>
    <s v="ICAM00101782"/>
    <s v="ICAM00101782"/>
    <n v="12"/>
  </r>
  <r>
    <n v="625"/>
    <n v="13"/>
    <x v="41"/>
    <x v="5"/>
    <s v="NA"/>
    <s v="ENGARGOLADORA"/>
    <s v="COMBO"/>
    <s v="ieng00100142"/>
    <s v="IENG00100142"/>
    <n v="12"/>
  </r>
  <r>
    <n v="626"/>
    <n v="13"/>
    <x v="41"/>
    <x v="5"/>
    <s v="NA"/>
    <s v="EQUIPO DE PERIFONEO"/>
    <s v="RADSON"/>
    <s v="iamp00100101"/>
    <s v="IAMP00100101"/>
    <n v="12"/>
  </r>
  <r>
    <n v="627"/>
    <n v="13"/>
    <x v="41"/>
    <x v="5"/>
    <s v="NA"/>
    <s v="GRABADORA"/>
    <s v="SONY"/>
    <s v="IGRA00100274"/>
    <s v="IGRA00100274"/>
    <n v="12"/>
  </r>
  <r>
    <n v="628"/>
    <n v="13"/>
    <x v="41"/>
    <x v="5"/>
    <s v="NA"/>
    <s v="LAMPARA DE EMERGENCIA CHICA"/>
    <s v="SURTEK"/>
    <s v="ILAM00100837"/>
    <s v="ILAM00100837"/>
    <n v="12"/>
  </r>
  <r>
    <n v="630"/>
    <n v="13"/>
    <x v="41"/>
    <x v="5"/>
    <s v="NA"/>
    <s v="LAMPARA DE EMERGENCIA CHICA"/>
    <s v="SURTEK"/>
    <s v="ILAM00100901"/>
    <s v="ILAM00100901"/>
    <n v="12"/>
  </r>
  <r>
    <n v="631"/>
    <n v="13"/>
    <x v="41"/>
    <x v="5"/>
    <s v="NA"/>
    <s v="LAMPARA DE EMERGENCIA CHICA"/>
    <s v="SURTEK"/>
    <s v="ILAM00100903"/>
    <s v="ILAM00100903"/>
    <n v="12"/>
  </r>
  <r>
    <n v="632"/>
    <n v="13"/>
    <x v="41"/>
    <x v="5"/>
    <s v="NA"/>
    <s v="LAMPARA DE EMERGENCIA GRANDE"/>
    <s v="STEREN"/>
    <s v="SN"/>
    <s v="SN"/>
    <n v="2"/>
  </r>
  <r>
    <n v="633"/>
    <n v="13"/>
    <x v="41"/>
    <x v="5"/>
    <s v="NA"/>
    <s v="RECEPTOR"/>
    <s v="SOUNDTRACK"/>
    <s v="isis01200045"/>
    <s v="ISIS01200045"/>
    <n v="12"/>
  </r>
  <r>
    <n v="634"/>
    <n v="13"/>
    <x v="41"/>
    <x v="5"/>
    <s v="NA"/>
    <s v="TAJALAPIZ"/>
    <s v="SN"/>
    <s v="itaj00100029"/>
    <s v="ITAJ00100029"/>
    <n v="12"/>
  </r>
  <r>
    <n v="635"/>
    <n v="13"/>
    <x v="41"/>
    <x v="5"/>
    <s v="NA"/>
    <s v="TELEFONOS"/>
    <s v="TELMEX"/>
    <s v="itel00100754"/>
    <s v="ITEL00100754"/>
    <n v="12"/>
  </r>
  <r>
    <n v="636"/>
    <n v="13"/>
    <x v="42"/>
    <x v="22"/>
    <s v="NA"/>
    <s v="BAFLE"/>
    <s v="STEREN"/>
    <s v="IBAF00100195"/>
    <s v="IBAF00100195"/>
    <n v="12"/>
  </r>
  <r>
    <n v="638"/>
    <n v="13"/>
    <x v="42"/>
    <x v="22"/>
    <s v="NA"/>
    <s v="BOTIQUIN"/>
    <s v="SN"/>
    <s v="ibot00100052"/>
    <s v="IBOT00100052"/>
    <n v="12"/>
  </r>
  <r>
    <n v="639"/>
    <n v="13"/>
    <x v="42"/>
    <x v="22"/>
    <s v="NA"/>
    <s v="CAMARA DIGITAL"/>
    <s v="SONY"/>
    <s v="ICAM00101748"/>
    <s v="ICAM00101748"/>
    <n v="12"/>
  </r>
  <r>
    <n v="640"/>
    <n v="13"/>
    <x v="42"/>
    <x v="22"/>
    <s v="NA"/>
    <s v="ENGARGOLADORA"/>
    <s v="COMBO"/>
    <s v="ieng00100119"/>
    <s v="IENG00100119"/>
    <n v="12"/>
  </r>
  <r>
    <n v="641"/>
    <n v="13"/>
    <x v="42"/>
    <x v="22"/>
    <s v="NA"/>
    <s v="EQUIPO DE PERIFONEO"/>
    <s v="RADSON"/>
    <s v="IAMP00100055"/>
    <s v="IAMP00100055"/>
    <n v="12"/>
  </r>
  <r>
    <n v="642"/>
    <n v="13"/>
    <x v="42"/>
    <x v="22"/>
    <s v="NA"/>
    <s v="GRABADORA"/>
    <s v="SONY"/>
    <s v="IGRA00100339"/>
    <s v="IGRA00100339"/>
    <n v="12"/>
  </r>
  <r>
    <n v="643"/>
    <n v="13"/>
    <x v="42"/>
    <x v="22"/>
    <s v="NA"/>
    <s v="LAMPARA DE EMERGENCIA CHICA"/>
    <s v="SURTEK"/>
    <s v="ILAM00101133"/>
    <s v="ILAM00101133"/>
    <n v="12"/>
  </r>
  <r>
    <n v="644"/>
    <n v="13"/>
    <x v="42"/>
    <x v="22"/>
    <s v="NA"/>
    <s v="LAMPARA DE EMERGENCIA CHICA"/>
    <s v="SURTEK"/>
    <s v="ILAM00101306"/>
    <s v="ILAM00101306"/>
    <n v="12"/>
  </r>
  <r>
    <n v="646"/>
    <n v="13"/>
    <x v="42"/>
    <x v="22"/>
    <s v="NA"/>
    <s v="LAMPARA DE EMERGENCIA CHICA"/>
    <s v="SURTEK"/>
    <s v="ILAM00101317"/>
    <s v="ILAM00101317"/>
    <n v="12"/>
  </r>
  <r>
    <n v="647"/>
    <n v="13"/>
    <x v="42"/>
    <x v="22"/>
    <s v="NA"/>
    <s v="LAMPARA DE EMERGENCIA GRANDE"/>
    <s v="STEREN"/>
    <s v="SN"/>
    <s v="SN"/>
    <n v="2"/>
  </r>
  <r>
    <n v="648"/>
    <n v="13"/>
    <x v="42"/>
    <x v="22"/>
    <s v="NA"/>
    <s v="RECEPTOR"/>
    <s v="SOUNDTRACK"/>
    <s v="isis01200088"/>
    <s v="ISIS01200088"/>
    <n v="12"/>
  </r>
  <r>
    <n v="649"/>
    <n v="13"/>
    <x v="42"/>
    <x v="22"/>
    <s v="NA"/>
    <s v="TAJALAPIZ"/>
    <s v="SN"/>
    <s v="itaj00100281"/>
    <s v="ITAJ00100281"/>
    <n v="12"/>
  </r>
  <r>
    <n v="650"/>
    <n v="13"/>
    <x v="42"/>
    <x v="22"/>
    <s v="NA"/>
    <s v="TELEFONOS"/>
    <s v="TELMEX"/>
    <s v="itel00100486"/>
    <s v="ITEL00100486"/>
    <n v="12"/>
  </r>
  <r>
    <n v="651"/>
    <n v="13"/>
    <x v="43"/>
    <x v="36"/>
    <s v="NA"/>
    <s v="BAFLE"/>
    <s v="STEREN"/>
    <s v="IBAF00100080"/>
    <s v="IBAF00100080"/>
    <n v="12"/>
  </r>
  <r>
    <n v="652"/>
    <n v="13"/>
    <x v="43"/>
    <x v="36"/>
    <s v="NA"/>
    <s v="BOTIQUIN"/>
    <s v="SN"/>
    <s v="IBOT00100064"/>
    <s v="IBOT00100064"/>
    <n v="12"/>
  </r>
  <r>
    <n v="653"/>
    <n v="13"/>
    <x v="43"/>
    <x v="36"/>
    <s v="NA"/>
    <s v="CAMARA DIGITAL"/>
    <s v="SONY"/>
    <s v="icam00101795"/>
    <s v="ICAM00101795"/>
    <n v="12"/>
  </r>
  <r>
    <n v="655"/>
    <n v="13"/>
    <x v="43"/>
    <x v="36"/>
    <s v="NA"/>
    <s v="ENGARGOLADORA"/>
    <s v="COMBO"/>
    <s v="IENG00100079"/>
    <s v="IENG00100079"/>
    <n v="12"/>
  </r>
  <r>
    <n v="656"/>
    <n v="13"/>
    <x v="43"/>
    <x v="36"/>
    <s v="NA"/>
    <s v="EQUIPO DE PERIFONEO"/>
    <s v="RADSON"/>
    <s v="IAMP00100106"/>
    <s v="IAMP00100106"/>
    <n v="12"/>
  </r>
  <r>
    <n v="657"/>
    <n v="13"/>
    <x v="43"/>
    <x v="36"/>
    <s v="NA"/>
    <s v="GRABADORA"/>
    <s v="SONY"/>
    <s v="igra00100389"/>
    <s v="IGRA00100389"/>
    <n v="12"/>
  </r>
  <r>
    <n v="658"/>
    <n v="13"/>
    <x v="43"/>
    <x v="36"/>
    <s v="NA"/>
    <s v="LAMPARA DE EMERGENCIA CHICA"/>
    <s v="SURTEK"/>
    <s v="ilam00101264"/>
    <s v="ILAM00101264"/>
    <n v="12"/>
  </r>
  <r>
    <n v="659"/>
    <n v="13"/>
    <x v="43"/>
    <x v="36"/>
    <s v="NA"/>
    <s v="LAMPARA DE EMERGENCIA CHICA"/>
    <s v="SURTEK"/>
    <s v="ilam00100825"/>
    <s v="ILAM00100825"/>
    <n v="12"/>
  </r>
  <r>
    <n v="660"/>
    <n v="13"/>
    <x v="43"/>
    <x v="36"/>
    <s v="NA"/>
    <s v="LAMPARA DE EMERGENCIA CHICA"/>
    <s v="SURTEK"/>
    <s v="ilam00100843"/>
    <s v="ILAM00100843"/>
    <n v="12"/>
  </r>
  <r>
    <n v="661"/>
    <n v="13"/>
    <x v="43"/>
    <x v="36"/>
    <s v="NA"/>
    <s v="LAMPARA DE EMERGENCIA GRANDE"/>
    <s v="STEREN"/>
    <s v="sn"/>
    <s v="SN"/>
    <n v="2"/>
  </r>
  <r>
    <n v="663"/>
    <n v="13"/>
    <x v="43"/>
    <x v="36"/>
    <s v="NA"/>
    <s v="RECEPTOR"/>
    <s v="SOUNDTRACK"/>
    <s v="ISIS01200117"/>
    <s v="ISIS01200117"/>
    <n v="12"/>
  </r>
  <r>
    <n v="664"/>
    <n v="13"/>
    <x v="43"/>
    <x v="36"/>
    <s v="NA"/>
    <s v="TAJALAPIZ"/>
    <s v="SN"/>
    <s v="ITAJ00100229"/>
    <s v="ITAJ00100229"/>
    <n v="12"/>
  </r>
  <r>
    <n v="665"/>
    <n v="13"/>
    <x v="43"/>
    <x v="36"/>
    <s v="NA"/>
    <s v="TELEFONOS"/>
    <s v="TELMEX"/>
    <s v="ITEL00101086"/>
    <s v="ITEL00101086"/>
    <n v="12"/>
  </r>
  <r>
    <n v="666"/>
    <n v="13"/>
    <x v="44"/>
    <x v="37"/>
    <s v="NA"/>
    <s v="BAFLE"/>
    <s v="STEREN"/>
    <s v="ibaf00100108"/>
    <s v="IBAF00100108"/>
    <n v="12"/>
  </r>
  <r>
    <n v="667"/>
    <n v="13"/>
    <x v="44"/>
    <x v="37"/>
    <s v="NA"/>
    <s v="BOTIQUIN"/>
    <s v="SN"/>
    <s v="IBOT00100104"/>
    <s v="IBOT00100104"/>
    <n v="12"/>
  </r>
  <r>
    <n v="668"/>
    <n v="13"/>
    <x v="44"/>
    <x v="37"/>
    <s v="NA"/>
    <s v="CAMARA DIGITAL"/>
    <s v="SONY"/>
    <s v="icam00101797"/>
    <s v="ICAM00101797"/>
    <n v="12"/>
  </r>
  <r>
    <n v="669"/>
    <n v="13"/>
    <x v="44"/>
    <x v="37"/>
    <s v="NA"/>
    <s v="ENGARGOLADORA"/>
    <s v="COMBO"/>
    <s v="IENG00100032"/>
    <s v="IENG00100032"/>
    <n v="12"/>
  </r>
  <r>
    <n v="671"/>
    <n v="13"/>
    <x v="44"/>
    <x v="37"/>
    <s v="NA"/>
    <s v="EQUIPO DE PERIFONEO"/>
    <s v="RADSON"/>
    <s v="IAMP00100121"/>
    <s v="IAMP00100121"/>
    <n v="12"/>
  </r>
  <r>
    <n v="672"/>
    <n v="13"/>
    <x v="44"/>
    <x v="37"/>
    <s v="NA"/>
    <s v="GRABADORA"/>
    <s v="SONY"/>
    <s v="igra00100292"/>
    <s v="IGRA00100292"/>
    <n v="12"/>
  </r>
  <r>
    <n v="673"/>
    <n v="13"/>
    <x v="44"/>
    <x v="37"/>
    <s v="NA"/>
    <s v="LAMPARA DE EMERGENCIA CHICA"/>
    <s v="SURTEK"/>
    <s v="ilam00101344"/>
    <s v="ILAM00101344"/>
    <n v="12"/>
  </r>
  <r>
    <n v="674"/>
    <n v="13"/>
    <x v="44"/>
    <x v="37"/>
    <s v="NA"/>
    <s v="LAMPARA DE EMERGENCIA CHICA"/>
    <s v="SURTEK"/>
    <s v="ilam00101342"/>
    <s v="ILAM00101342"/>
    <n v="12"/>
  </r>
  <r>
    <n v="675"/>
    <n v="13"/>
    <x v="44"/>
    <x v="37"/>
    <s v="NA"/>
    <s v="LAMPARA DE EMERGENCIA CHICA"/>
    <s v="SURTEK"/>
    <s v="ilam00100847"/>
    <s v="ILAM00100847"/>
    <n v="12"/>
  </r>
  <r>
    <n v="676"/>
    <n v="13"/>
    <x v="44"/>
    <x v="37"/>
    <s v="NA"/>
    <s v="LAMPARA DE EMERGENCIA GRANDE"/>
    <s v="STEREN"/>
    <s v="sn"/>
    <s v="SN"/>
    <n v="2"/>
  </r>
  <r>
    <n v="677"/>
    <n v="13"/>
    <x v="44"/>
    <x v="37"/>
    <s v="NA"/>
    <s v="RECEPTOR"/>
    <s v="SOUNDTRACK"/>
    <s v="ISIS01200176"/>
    <s v="ISIS01200176"/>
    <n v="12"/>
  </r>
  <r>
    <n v="679"/>
    <n v="13"/>
    <x v="44"/>
    <x v="37"/>
    <s v="NA"/>
    <s v="TAJALAPIZ"/>
    <s v="SN"/>
    <s v="itaj00100001"/>
    <s v="ITAJ00100001"/>
    <n v="12"/>
  </r>
  <r>
    <n v="680"/>
    <n v="13"/>
    <x v="44"/>
    <x v="37"/>
    <s v="NA"/>
    <s v="TELEFONOS"/>
    <s v="TELMEX"/>
    <s v="itel00101095"/>
    <s v="ITEL00101095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5" cacheId="4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 rowHeaderCaption="DISTRITO">
  <location ref="A19:B27" firstHeaderRow="1" firstDataRow="1" firstDataCol="1"/>
  <pivotFields count="16">
    <pivotField showAll="0"/>
    <pivotField showAll="0"/>
    <pivotField showAll="0"/>
    <pivotField outline="0" insertBlankRow="1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8">
        <item x="24"/>
        <item x="11"/>
        <item x="37"/>
        <item x="21"/>
        <item x="35"/>
        <item x="0"/>
        <item x="2"/>
        <item x="4"/>
        <item x="14"/>
        <item x="32"/>
        <item x="22"/>
        <item x="5"/>
        <item x="15"/>
        <item x="34"/>
        <item x="13"/>
        <item x="12"/>
        <item x="3"/>
        <item x="27"/>
        <item x="30"/>
        <item x="26"/>
        <item x="36"/>
        <item x="28"/>
        <item x="19"/>
        <item x="31"/>
        <item x="17"/>
        <item x="25"/>
        <item x="7"/>
        <item x="6"/>
        <item x="10"/>
        <item x="33"/>
        <item x="20"/>
        <item x="16"/>
        <item x="1"/>
        <item x="29"/>
        <item x="9"/>
        <item x="8"/>
        <item x="23"/>
        <item x="18"/>
      </items>
    </pivotField>
    <pivotField showAll="0"/>
    <pivotField dataField="1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showAll="0"/>
    <pivotField multipleItemSelectionAllowed="1" showAll="0">
      <items count="7">
        <item x="2"/>
        <item h="1" x="1"/>
        <item h="1" x="4"/>
        <item h="1" x="3"/>
        <item h="1" x="0"/>
        <item h="1" x="5"/>
        <item t="default"/>
      </items>
    </pivotField>
    <pivotField showAll="0"/>
    <pivotField showAll="0"/>
    <pivotField showAll="0"/>
  </pivotFields>
  <rowFields count="1">
    <field x="4"/>
  </rowFields>
  <rowItems count="8">
    <i>
      <x/>
    </i>
    <i>
      <x v="4"/>
    </i>
    <i>
      <x v="6"/>
    </i>
    <i>
      <x v="7"/>
    </i>
    <i>
      <x v="13"/>
    </i>
    <i>
      <x v="17"/>
    </i>
    <i>
      <x v="19"/>
    </i>
    <i t="grand">
      <x/>
    </i>
  </rowItems>
  <colItems count="1">
    <i/>
  </colItems>
  <dataFields count="1">
    <dataField name="Cuenta de ARTICULO" fld="6" subtotal="count" baseField="0" baseItem="0"/>
  </dataFields>
  <formats count="35">
    <format dxfId="37">
      <pivotArea field="3" type="button" dataOnly="0" labelOnly="1" outline="0"/>
    </format>
    <format dxfId="36">
      <pivotArea field="4" type="button" dataOnly="0" labelOnly="1" outline="0" axis="axisRow" fieldPosition="0"/>
    </format>
    <format dxfId="35">
      <pivotArea field="3" type="button" dataOnly="0" labelOnly="1" outline="0"/>
    </format>
    <format dxfId="34">
      <pivotArea field="4" type="button" dataOnly="0" labelOnly="1" outline="0" axis="axisRow" fieldPosition="0"/>
    </format>
    <format dxfId="33">
      <pivotArea field="3" type="button" dataOnly="0" labelOnly="1" outline="0"/>
    </format>
    <format dxfId="32">
      <pivotArea field="4" type="button" dataOnly="0" labelOnly="1" outline="0" axis="axisRow" fieldPosition="0"/>
    </format>
    <format dxfId="31">
      <pivotArea dataOnly="0" labelOnly="1" grandRow="1" outline="0" fieldPosition="0"/>
    </format>
    <format dxfId="30">
      <pivotArea dataOnly="0" labelOnly="1" grandRow="1" outline="0" fieldPosition="0"/>
    </format>
    <format dxfId="29">
      <pivotArea field="6" type="button" dataOnly="0" labelOnly="1" outline="0"/>
    </format>
    <format dxfId="28">
      <pivotArea field="6" type="button" dataOnly="0" labelOnly="1" outline="0"/>
    </format>
    <format dxfId="27">
      <pivotArea dataOnly="0" labelOnly="1" outline="0" axis="axisValues" fieldPosition="0"/>
    </format>
    <format dxfId="26">
      <pivotArea dataOnly="0" labelOnly="1" outline="0" axis="axisValues" fieldPosition="0"/>
    </format>
    <format dxfId="25">
      <pivotArea dataOnly="0" labelOnly="1" outline="0" axis="axisValues" fieldPosition="0"/>
    </format>
    <format dxfId="24">
      <pivotArea dataOnly="0" labelOnly="1" outline="0" axis="axisValues" fieldPosition="0"/>
    </format>
    <format dxfId="23">
      <pivotArea grandRow="1" outline="0" collapsedLevelsAreSubtotals="1" fieldPosition="0"/>
    </format>
    <format dxfId="22">
      <pivotArea grandRow="1" outline="0" collapsedLevelsAreSubtotals="1" fieldPosition="0"/>
    </format>
    <format dxfId="21">
      <pivotArea dataOnly="0" labelOnly="1" outline="0" axis="axisValues" fieldPosition="0"/>
    </format>
    <format dxfId="20">
      <pivotArea dataOnly="0" labelOnly="1" outline="0" axis="axisValues" fieldPosition="0"/>
    </format>
    <format dxfId="19">
      <pivotArea field="4" type="button" dataOnly="0" labelOnly="1" outline="0" axis="axisRow" fieldPosition="0"/>
    </format>
    <format dxfId="18">
      <pivotArea dataOnly="0" labelOnly="1" fieldPosition="0">
        <references count="1">
          <reference field="4" count="14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17">
      <pivotArea dataOnly="0" labelOnly="1" grandRow="1" outline="0" fieldPosition="0"/>
    </format>
    <format dxfId="16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14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14">
      <pivotArea dataOnly="0" labelOnly="1" grandRow="1" outline="0" fieldPosition="0"/>
    </format>
    <format dxfId="13">
      <pivotArea outline="0" collapsedLevelsAreSubtotals="1" fieldPosition="0"/>
    </format>
    <format dxfId="12">
      <pivotArea outline="0" collapsedLevelsAreSubtotals="1" fieldPosition="0">
        <references count="1">
          <reference field="4" count="14" selected="0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11">
      <pivotArea dataOnly="0" labelOnly="1" fieldPosition="0">
        <references count="1">
          <reference field="4" count="14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10">
      <pivotArea outline="0" collapsedLevelsAreSubtotals="1" fieldPosition="0">
        <references count="1">
          <reference field="4" count="14" selected="0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9">
      <pivotArea dataOnly="0" labelOnly="1" fieldPosition="0">
        <references count="1">
          <reference field="4" count="14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</format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4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 rowHeaderCaption="ARTICULOS">
  <location ref="A30:B42" firstHeaderRow="1" firstDataRow="1" firstDataCol="1"/>
  <pivotFields count="16">
    <pivotField showAll="0"/>
    <pivotField showAll="0"/>
    <pivotField showAll="0"/>
    <pivotField outline="0" insertBlankRow="1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outline="0" defaultSubtotal="0">
      <items count="38">
        <item x="24"/>
        <item x="11"/>
        <item x="37"/>
        <item x="21"/>
        <item x="35"/>
        <item x="0"/>
        <item x="2"/>
        <item x="4"/>
        <item x="14"/>
        <item x="32"/>
        <item x="22"/>
        <item x="5"/>
        <item x="15"/>
        <item x="34"/>
        <item x="13"/>
        <item x="12"/>
        <item x="3"/>
        <item x="27"/>
        <item x="30"/>
        <item x="26"/>
        <item x="36"/>
        <item x="28"/>
        <item x="19"/>
        <item x="31"/>
        <item x="17"/>
        <item x="25"/>
        <item x="7"/>
        <item x="6"/>
        <item x="10"/>
        <item x="33"/>
        <item x="20"/>
        <item x="16"/>
        <item x="1"/>
        <item x="29"/>
        <item x="9"/>
        <item x="8"/>
        <item x="23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dataField="1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showAll="0"/>
    <pivotField showAll="0">
      <items count="7">
        <item x="2"/>
        <item h="1" x="1"/>
        <item h="1" x="4"/>
        <item h="1" x="3"/>
        <item h="1" x="0"/>
        <item h="1" x="5"/>
        <item t="default"/>
      </items>
    </pivotField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ARTICULO" fld="6" subtotal="count" baseField="0" baseItem="0"/>
  </dataFields>
  <formats count="25">
    <format dxfId="62">
      <pivotArea field="3" type="button" dataOnly="0" labelOnly="1" outline="0"/>
    </format>
    <format dxfId="61">
      <pivotArea field="4" type="button" dataOnly="0" labelOnly="1" outline="0"/>
    </format>
    <format dxfId="60">
      <pivotArea field="3" type="button" dataOnly="0" labelOnly="1" outline="0"/>
    </format>
    <format dxfId="59">
      <pivotArea field="4" type="button" dataOnly="0" labelOnly="1" outline="0"/>
    </format>
    <format dxfId="58">
      <pivotArea field="3" type="button" dataOnly="0" labelOnly="1" outline="0"/>
    </format>
    <format dxfId="57">
      <pivotArea field="4" type="button" dataOnly="0" labelOnly="1" outline="0"/>
    </format>
    <format dxfId="56">
      <pivotArea dataOnly="0" labelOnly="1" grandRow="1" outline="0" fieldPosition="0"/>
    </format>
    <format dxfId="55">
      <pivotArea dataOnly="0" labelOnly="1" grandRow="1" outline="0" fieldPosition="0"/>
    </format>
    <format dxfId="54">
      <pivotArea field="6" type="button" dataOnly="0" labelOnly="1" outline="0" axis="axisRow" fieldPosition="0"/>
    </format>
    <format dxfId="53">
      <pivotArea field="6" type="button" dataOnly="0" labelOnly="1" outline="0" axis="axisRow" fieldPosition="0"/>
    </format>
    <format dxfId="52">
      <pivotArea dataOnly="0" labelOnly="1" outline="0" axis="axisValues" fieldPosition="0"/>
    </format>
    <format dxfId="51">
      <pivotArea dataOnly="0" labelOnly="1" outline="0" axis="axisValues" fieldPosition="0"/>
    </format>
    <format dxfId="50">
      <pivotArea dataOnly="0" labelOnly="1" outline="0" axis="axisValues" fieldPosition="0"/>
    </format>
    <format dxfId="49">
      <pivotArea dataOnly="0" labelOnly="1" outline="0" axis="axisValues" fieldPosition="0"/>
    </format>
    <format dxfId="48">
      <pivotArea grandRow="1" outline="0" collapsedLevelsAreSubtotals="1" fieldPosition="0"/>
    </format>
    <format dxfId="47">
      <pivotArea grandRow="1" outline="0" collapsedLevelsAreSubtotals="1" fieldPosition="0"/>
    </format>
    <format dxfId="46">
      <pivotArea outline="0" collapsedLevelsAreSubtotals="1" fieldPosition="0"/>
    </format>
    <format dxfId="45">
      <pivotArea dataOnly="0" labelOnly="1" fieldPosition="0">
        <references count="1">
          <reference field="6" count="0"/>
        </references>
      </pivotArea>
    </format>
    <format dxfId="44">
      <pivotArea dataOnly="0" labelOnly="1" grandRow="1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dataOnly="0" labelOnly="1" outline="0" axis="axisValues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dataOnly="0" labelOnly="1" outline="0" axis="axisValues" fieldPosition="0"/>
    </format>
  </format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8" cacheId="4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 rowHeaderCaption="DISTRITO">
  <location ref="A7:B16" firstHeaderRow="1" firstDataRow="1" firstDataCol="2"/>
  <pivotFields count="16">
    <pivotField showAll="0"/>
    <pivotField showAll="0"/>
    <pivotField showAll="0"/>
    <pivotField outline="0" insertBlankRow="1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8">
        <item x="24"/>
        <item x="11"/>
        <item x="37"/>
        <item x="21"/>
        <item x="35"/>
        <item x="0"/>
        <item x="2"/>
        <item x="4"/>
        <item x="14"/>
        <item x="32"/>
        <item x="22"/>
        <item x="5"/>
        <item x="15"/>
        <item x="34"/>
        <item x="13"/>
        <item x="12"/>
        <item x="3"/>
        <item x="27"/>
        <item x="30"/>
        <item x="26"/>
        <item x="36"/>
        <item x="28"/>
        <item x="19"/>
        <item x="31"/>
        <item x="17"/>
        <item x="25"/>
        <item x="7"/>
        <item x="6"/>
        <item x="10"/>
        <item x="33"/>
        <item x="20"/>
        <item x="16"/>
        <item x="1"/>
        <item x="29"/>
        <item x="9"/>
        <item x="8"/>
        <item x="23"/>
        <item x="18"/>
      </items>
    </pivotField>
    <pivotField showAll="0"/>
    <pivotField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showAll="0"/>
    <pivotField multipleItemSelectionAllowed="1" showAll="0">
      <items count="7">
        <item x="2"/>
        <item h="1" x="1"/>
        <item h="1" x="4"/>
        <item h="1" x="3"/>
        <item h="1" x="0"/>
        <item h="1" x="5"/>
        <item t="default"/>
      </items>
    </pivotField>
    <pivotField showAll="0"/>
    <pivotField axis="axisRow" showAll="0" sortType="ascending">
      <items count="17">
        <item x="0"/>
        <item x="11"/>
        <item x="10"/>
        <item x="15"/>
        <item x="2"/>
        <item x="6"/>
        <item x="4"/>
        <item x="9"/>
        <item x="8"/>
        <item x="7"/>
        <item x="13"/>
        <item x="3"/>
        <item x="1"/>
        <item x="5"/>
        <item x="14"/>
        <item x="12"/>
        <item t="default"/>
      </items>
    </pivotField>
    <pivotField showAll="0"/>
  </pivotFields>
  <rowFields count="2">
    <field x="4"/>
    <field x="14"/>
  </rowFields>
  <rowItems count="9">
    <i>
      <x/>
      <x/>
    </i>
    <i>
      <x v="4"/>
      <x v="8"/>
    </i>
    <i>
      <x v="6"/>
      <x v="4"/>
    </i>
    <i>
      <x v="7"/>
      <x v="6"/>
    </i>
    <i>
      <x v="13"/>
      <x v="1"/>
    </i>
    <i>
      <x v="17"/>
      <x v="6"/>
    </i>
    <i>
      <x v="19"/>
      <x v="10"/>
    </i>
    <i r="1">
      <x v="12"/>
    </i>
    <i t="grand">
      <x/>
    </i>
  </rowItems>
  <colItems count="1">
    <i/>
  </colItems>
  <formats count="120">
    <format dxfId="182">
      <pivotArea field="3" type="button" dataOnly="0" labelOnly="1" outline="0"/>
    </format>
    <format dxfId="181">
      <pivotArea field="4" type="button" dataOnly="0" labelOnly="1" outline="0" axis="axisRow" fieldPosition="0"/>
    </format>
    <format dxfId="180">
      <pivotArea field="3" type="button" dataOnly="0" labelOnly="1" outline="0"/>
    </format>
    <format dxfId="179">
      <pivotArea field="4" type="button" dataOnly="0" labelOnly="1" outline="0" axis="axisRow" fieldPosition="0"/>
    </format>
    <format dxfId="178">
      <pivotArea field="3" type="button" dataOnly="0" labelOnly="1" outline="0"/>
    </format>
    <format dxfId="177">
      <pivotArea field="4" type="button" dataOnly="0" labelOnly="1" outline="0" axis="axisRow" fieldPosition="0"/>
    </format>
    <format dxfId="176">
      <pivotArea dataOnly="0" labelOnly="1" grandRow="1" outline="0" fieldPosition="0"/>
    </format>
    <format dxfId="175">
      <pivotArea dataOnly="0" labelOnly="1" grandRow="1" outline="0" fieldPosition="0"/>
    </format>
    <format dxfId="174">
      <pivotArea field="6" type="button" dataOnly="0" labelOnly="1" outline="0"/>
    </format>
    <format dxfId="173">
      <pivotArea field="6" type="button" dataOnly="0" labelOnly="1" outline="0"/>
    </format>
    <format dxfId="172">
      <pivotArea dataOnly="0" labelOnly="1" outline="0" axis="axisValues" fieldPosition="0"/>
    </format>
    <format dxfId="171">
      <pivotArea dataOnly="0" labelOnly="1" outline="0" axis="axisValues" fieldPosition="0"/>
    </format>
    <format dxfId="170">
      <pivotArea dataOnly="0" labelOnly="1" outline="0" axis="axisValues" fieldPosition="0"/>
    </format>
    <format dxfId="169">
      <pivotArea dataOnly="0" labelOnly="1" outline="0" axis="axisValues" fieldPosition="0"/>
    </format>
    <format dxfId="168">
      <pivotArea grandRow="1" outline="0" collapsedLevelsAreSubtotals="1" fieldPosition="0"/>
    </format>
    <format dxfId="167">
      <pivotArea grandRow="1" outline="0" collapsedLevelsAreSubtotals="1" fieldPosition="0"/>
    </format>
    <format dxfId="166">
      <pivotArea dataOnly="0" labelOnly="1" outline="0" axis="axisValues" fieldPosition="0"/>
    </format>
    <format dxfId="165">
      <pivotArea dataOnly="0" labelOnly="1" outline="0" axis="axisValues" fieldPosition="0"/>
    </format>
    <format dxfId="164">
      <pivotArea field="4" type="button" dataOnly="0" labelOnly="1" outline="0" axis="axisRow" fieldPosition="0"/>
    </format>
    <format dxfId="163">
      <pivotArea dataOnly="0" labelOnly="1" fieldPosition="0">
        <references count="1">
          <reference field="4" count="14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162">
      <pivotArea dataOnly="0" labelOnly="1" grandRow="1" outline="0" fieldPosition="0"/>
    </format>
    <format dxfId="161">
      <pivotArea field="4" type="button" dataOnly="0" labelOnly="1" outline="0" axis="axisRow" fieldPosition="0"/>
    </format>
    <format dxfId="160">
      <pivotArea dataOnly="0" labelOnly="1" fieldPosition="0">
        <references count="1">
          <reference field="4" count="14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159">
      <pivotArea dataOnly="0" labelOnly="1" grandRow="1" outline="0" fieldPosition="0"/>
    </format>
    <format dxfId="158">
      <pivotArea outline="0" collapsedLevelsAreSubtotals="1" fieldPosition="0"/>
    </format>
    <format dxfId="157">
      <pivotArea outline="0" collapsedLevelsAreSubtotals="1" fieldPosition="0">
        <references count="1">
          <reference field="4" count="14" selected="0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156">
      <pivotArea dataOnly="0" labelOnly="1" fieldPosition="0">
        <references count="1">
          <reference field="4" count="14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155">
      <pivotArea outline="0" collapsedLevelsAreSubtotals="1" fieldPosition="0">
        <references count="1">
          <reference field="4" count="14" selected="0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154">
      <pivotArea dataOnly="0" labelOnly="1" fieldPosition="0">
        <references count="1">
          <reference field="4" count="14">
            <x v="3"/>
            <x v="6"/>
            <x v="8"/>
            <x v="10"/>
            <x v="11"/>
            <x v="12"/>
            <x v="17"/>
            <x v="19"/>
            <x v="24"/>
            <x v="25"/>
            <x v="26"/>
            <x v="27"/>
            <x v="30"/>
            <x v="31"/>
          </reference>
        </references>
      </pivotArea>
    </format>
    <format dxfId="153">
      <pivotArea outline="0" collapsedLevelsAreSubtotals="1" fieldPosition="0"/>
    </format>
    <format dxfId="152">
      <pivotArea dataOnly="0" labelOnly="1" outline="0" axis="axisValues" fieldPosition="0"/>
    </format>
    <format dxfId="151">
      <pivotArea dataOnly="0" labelOnly="1" outline="0" axis="axisValues" fieldPosition="0"/>
    </format>
    <format dxfId="150">
      <pivotArea outline="0" collapsedLevelsAreSubtotals="1" fieldPosition="0"/>
    </format>
    <format dxfId="149">
      <pivotArea dataOnly="0" labelOnly="1" outline="0" axis="axisValues" fieldPosition="0"/>
    </format>
    <format dxfId="148">
      <pivotArea dataOnly="0" labelOnly="1" outline="0" axis="axisValues" fieldPosition="0"/>
    </format>
    <format dxfId="147">
      <pivotArea field="14" type="button" dataOnly="0" labelOnly="1" outline="0" axis="axisRow" fieldPosition="1"/>
    </format>
    <format dxfId="146">
      <pivotArea type="all" dataOnly="0" outline="0" fieldPosition="0"/>
    </format>
    <format dxfId="145">
      <pivotArea field="4" type="button" dataOnly="0" labelOnly="1" outline="0" axis="axisRow" fieldPosition="0"/>
    </format>
    <format dxfId="144">
      <pivotArea field="14" type="button" dataOnly="0" labelOnly="1" outline="0" axis="axisRow" fieldPosition="1"/>
    </format>
    <format dxfId="143">
      <pivotArea dataOnly="0" labelOnly="1" fieldPosition="0">
        <references count="1">
          <reference field="4" count="7">
            <x v="2"/>
            <x v="11"/>
            <x v="14"/>
            <x v="18"/>
            <x v="21"/>
            <x v="22"/>
            <x v="23"/>
          </reference>
        </references>
      </pivotArea>
    </format>
    <format dxfId="142">
      <pivotArea dataOnly="0" labelOnly="1" grandRow="1" outline="0" fieldPosition="0"/>
    </format>
    <format dxfId="141">
      <pivotArea dataOnly="0" labelOnly="1" fieldPosition="0">
        <references count="2">
          <reference field="4" count="1" selected="0">
            <x v="2"/>
          </reference>
          <reference field="14" count="1">
            <x v="9"/>
          </reference>
        </references>
      </pivotArea>
    </format>
    <format dxfId="140">
      <pivotArea dataOnly="0" labelOnly="1" fieldPosition="0">
        <references count="2">
          <reference field="4" count="1" selected="0">
            <x v="11"/>
          </reference>
          <reference field="14" count="2">
            <x v="3"/>
            <x v="5"/>
          </reference>
        </references>
      </pivotArea>
    </format>
    <format dxfId="139">
      <pivotArea dataOnly="0" labelOnly="1" fieldPosition="0">
        <references count="2">
          <reference field="4" count="1" selected="0">
            <x v="14"/>
          </reference>
          <reference field="14" count="1">
            <x v="7"/>
          </reference>
        </references>
      </pivotArea>
    </format>
    <format dxfId="138">
      <pivotArea dataOnly="0" labelOnly="1" fieldPosition="0">
        <references count="2">
          <reference field="4" count="1" selected="0">
            <x v="18"/>
          </reference>
          <reference field="14" count="1">
            <x v="13"/>
          </reference>
        </references>
      </pivotArea>
    </format>
    <format dxfId="137">
      <pivotArea dataOnly="0" labelOnly="1" fieldPosition="0">
        <references count="2">
          <reference field="4" count="1" selected="0">
            <x v="21"/>
          </reference>
          <reference field="14" count="1">
            <x v="1"/>
          </reference>
        </references>
      </pivotArea>
    </format>
    <format dxfId="136">
      <pivotArea dataOnly="0" labelOnly="1" fieldPosition="0">
        <references count="2">
          <reference field="4" count="1" selected="0">
            <x v="22"/>
          </reference>
          <reference field="14" count="1">
            <x v="0"/>
          </reference>
        </references>
      </pivotArea>
    </format>
    <format dxfId="135">
      <pivotArea dataOnly="0" labelOnly="1" fieldPosition="0">
        <references count="2">
          <reference field="4" count="1" selected="0">
            <x v="23"/>
          </reference>
          <reference field="14" count="1">
            <x v="11"/>
          </reference>
        </references>
      </pivotArea>
    </format>
    <format dxfId="134">
      <pivotArea type="all" dataOnly="0" outline="0" fieldPosition="0"/>
    </format>
    <format dxfId="133">
      <pivotArea field="4" type="button" dataOnly="0" labelOnly="1" outline="0" axis="axisRow" fieldPosition="0"/>
    </format>
    <format dxfId="132">
      <pivotArea field="14" type="button" dataOnly="0" labelOnly="1" outline="0" axis="axisRow" fieldPosition="1"/>
    </format>
    <format dxfId="131">
      <pivotArea dataOnly="0" labelOnly="1" fieldPosition="0">
        <references count="1">
          <reference field="4" count="7">
            <x v="2"/>
            <x v="11"/>
            <x v="14"/>
            <x v="18"/>
            <x v="21"/>
            <x v="22"/>
            <x v="23"/>
          </reference>
        </references>
      </pivotArea>
    </format>
    <format dxfId="130">
      <pivotArea dataOnly="0" labelOnly="1" grandRow="1" outline="0" fieldPosition="0"/>
    </format>
    <format dxfId="129">
      <pivotArea dataOnly="0" labelOnly="1" fieldPosition="0">
        <references count="2">
          <reference field="4" count="1" selected="0">
            <x v="2"/>
          </reference>
          <reference field="14" count="1">
            <x v="9"/>
          </reference>
        </references>
      </pivotArea>
    </format>
    <format dxfId="128">
      <pivotArea dataOnly="0" labelOnly="1" fieldPosition="0">
        <references count="2">
          <reference field="4" count="1" selected="0">
            <x v="11"/>
          </reference>
          <reference field="14" count="2">
            <x v="3"/>
            <x v="5"/>
          </reference>
        </references>
      </pivotArea>
    </format>
    <format dxfId="127">
      <pivotArea dataOnly="0" labelOnly="1" fieldPosition="0">
        <references count="2">
          <reference field="4" count="1" selected="0">
            <x v="14"/>
          </reference>
          <reference field="14" count="1">
            <x v="7"/>
          </reference>
        </references>
      </pivotArea>
    </format>
    <format dxfId="126">
      <pivotArea dataOnly="0" labelOnly="1" fieldPosition="0">
        <references count="2">
          <reference field="4" count="1" selected="0">
            <x v="18"/>
          </reference>
          <reference field="14" count="1">
            <x v="13"/>
          </reference>
        </references>
      </pivotArea>
    </format>
    <format dxfId="125">
      <pivotArea dataOnly="0" labelOnly="1" fieldPosition="0">
        <references count="2">
          <reference field="4" count="1" selected="0">
            <x v="21"/>
          </reference>
          <reference field="14" count="1">
            <x v="1"/>
          </reference>
        </references>
      </pivotArea>
    </format>
    <format dxfId="124">
      <pivotArea dataOnly="0" labelOnly="1" fieldPosition="0">
        <references count="2">
          <reference field="4" count="1" selected="0">
            <x v="22"/>
          </reference>
          <reference field="14" count="1">
            <x v="0"/>
          </reference>
        </references>
      </pivotArea>
    </format>
    <format dxfId="123">
      <pivotArea dataOnly="0" labelOnly="1" fieldPosition="0">
        <references count="2">
          <reference field="4" count="1" selected="0">
            <x v="23"/>
          </reference>
          <reference field="14" count="1">
            <x v="11"/>
          </reference>
        </references>
      </pivotArea>
    </format>
    <format dxfId="122">
      <pivotArea type="all" dataOnly="0" outline="0" fieldPosition="0"/>
    </format>
    <format dxfId="121">
      <pivotArea field="4" type="button" dataOnly="0" labelOnly="1" outline="0" axis="axisRow" fieldPosition="0"/>
    </format>
    <format dxfId="120">
      <pivotArea field="14" type="button" dataOnly="0" labelOnly="1" outline="0" axis="axisRow" fieldPosition="1"/>
    </format>
    <format dxfId="119">
      <pivotArea dataOnly="0" labelOnly="1" fieldPosition="0">
        <references count="1">
          <reference field="4" count="7">
            <x v="2"/>
            <x v="11"/>
            <x v="14"/>
            <x v="18"/>
            <x v="21"/>
            <x v="22"/>
            <x v="23"/>
          </reference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2">
          <reference field="4" count="1" selected="0">
            <x v="2"/>
          </reference>
          <reference field="14" count="1">
            <x v="9"/>
          </reference>
        </references>
      </pivotArea>
    </format>
    <format dxfId="116">
      <pivotArea dataOnly="0" labelOnly="1" fieldPosition="0">
        <references count="2">
          <reference field="4" count="1" selected="0">
            <x v="11"/>
          </reference>
          <reference field="14" count="2">
            <x v="3"/>
            <x v="5"/>
          </reference>
        </references>
      </pivotArea>
    </format>
    <format dxfId="115">
      <pivotArea dataOnly="0" labelOnly="1" fieldPosition="0">
        <references count="2">
          <reference field="4" count="1" selected="0">
            <x v="14"/>
          </reference>
          <reference field="14" count="1">
            <x v="7"/>
          </reference>
        </references>
      </pivotArea>
    </format>
    <format dxfId="114">
      <pivotArea dataOnly="0" labelOnly="1" fieldPosition="0">
        <references count="2">
          <reference field="4" count="1" selected="0">
            <x v="18"/>
          </reference>
          <reference field="14" count="1">
            <x v="13"/>
          </reference>
        </references>
      </pivotArea>
    </format>
    <format dxfId="113">
      <pivotArea dataOnly="0" labelOnly="1" fieldPosition="0">
        <references count="2">
          <reference field="4" count="1" selected="0">
            <x v="21"/>
          </reference>
          <reference field="14" count="1">
            <x v="1"/>
          </reference>
        </references>
      </pivotArea>
    </format>
    <format dxfId="112">
      <pivotArea dataOnly="0" labelOnly="1" fieldPosition="0">
        <references count="2">
          <reference field="4" count="1" selected="0">
            <x v="22"/>
          </reference>
          <reference field="14" count="1">
            <x v="0"/>
          </reference>
        </references>
      </pivotArea>
    </format>
    <format dxfId="111">
      <pivotArea dataOnly="0" labelOnly="1" fieldPosition="0">
        <references count="2">
          <reference field="4" count="1" selected="0">
            <x v="23"/>
          </reference>
          <reference field="14" count="1">
            <x v="11"/>
          </reference>
        </references>
      </pivotArea>
    </format>
    <format dxfId="110">
      <pivotArea type="all" dataOnly="0" outline="0" fieldPosition="0"/>
    </format>
    <format dxfId="109">
      <pivotArea field="4" type="button" dataOnly="0" labelOnly="1" outline="0" axis="axisRow" fieldPosition="0"/>
    </format>
    <format dxfId="108">
      <pivotArea field="14" type="button" dataOnly="0" labelOnly="1" outline="0" axis="axisRow" fieldPosition="1"/>
    </format>
    <format dxfId="107">
      <pivotArea dataOnly="0" labelOnly="1" fieldPosition="0">
        <references count="1">
          <reference field="4" count="7">
            <x v="2"/>
            <x v="11"/>
            <x v="14"/>
            <x v="18"/>
            <x v="21"/>
            <x v="22"/>
            <x v="23"/>
          </reference>
        </references>
      </pivotArea>
    </format>
    <format dxfId="106">
      <pivotArea dataOnly="0" labelOnly="1" grandRow="1" outline="0" fieldPosition="0"/>
    </format>
    <format dxfId="105">
      <pivotArea dataOnly="0" labelOnly="1" fieldPosition="0">
        <references count="2">
          <reference field="4" count="1" selected="0">
            <x v="2"/>
          </reference>
          <reference field="14" count="1">
            <x v="9"/>
          </reference>
        </references>
      </pivotArea>
    </format>
    <format dxfId="104">
      <pivotArea dataOnly="0" labelOnly="1" fieldPosition="0">
        <references count="2">
          <reference field="4" count="1" selected="0">
            <x v="11"/>
          </reference>
          <reference field="14" count="2">
            <x v="3"/>
            <x v="5"/>
          </reference>
        </references>
      </pivotArea>
    </format>
    <format dxfId="103">
      <pivotArea dataOnly="0" labelOnly="1" fieldPosition="0">
        <references count="2">
          <reference field="4" count="1" selected="0">
            <x v="14"/>
          </reference>
          <reference field="14" count="1">
            <x v="7"/>
          </reference>
        </references>
      </pivotArea>
    </format>
    <format dxfId="102">
      <pivotArea dataOnly="0" labelOnly="1" fieldPosition="0">
        <references count="2">
          <reference field="4" count="1" selected="0">
            <x v="18"/>
          </reference>
          <reference field="14" count="1">
            <x v="13"/>
          </reference>
        </references>
      </pivotArea>
    </format>
    <format dxfId="101">
      <pivotArea dataOnly="0" labelOnly="1" fieldPosition="0">
        <references count="2">
          <reference field="4" count="1" selected="0">
            <x v="21"/>
          </reference>
          <reference field="14" count="1">
            <x v="1"/>
          </reference>
        </references>
      </pivotArea>
    </format>
    <format dxfId="100">
      <pivotArea dataOnly="0" labelOnly="1" fieldPosition="0">
        <references count="2">
          <reference field="4" count="1" selected="0">
            <x v="22"/>
          </reference>
          <reference field="14" count="1">
            <x v="0"/>
          </reference>
        </references>
      </pivotArea>
    </format>
    <format dxfId="99">
      <pivotArea dataOnly="0" labelOnly="1" fieldPosition="0">
        <references count="2">
          <reference field="4" count="1" selected="0">
            <x v="23"/>
          </reference>
          <reference field="14" count="1">
            <x v="11"/>
          </reference>
        </references>
      </pivotArea>
    </format>
    <format dxfId="98">
      <pivotArea type="all" dataOnly="0" outline="0" fieldPosition="0"/>
    </format>
    <format dxfId="97">
      <pivotArea field="4" type="button" dataOnly="0" labelOnly="1" outline="0" axis="axisRow" fieldPosition="0"/>
    </format>
    <format dxfId="96">
      <pivotArea field="14" type="button" dataOnly="0" labelOnly="1" outline="0" axis="axisRow" fieldPosition="1"/>
    </format>
    <format dxfId="95">
      <pivotArea dataOnly="0" labelOnly="1" fieldPosition="0">
        <references count="1">
          <reference field="4" count="7">
            <x v="2"/>
            <x v="11"/>
            <x v="14"/>
            <x v="18"/>
            <x v="21"/>
            <x v="22"/>
            <x v="23"/>
          </reference>
        </references>
      </pivotArea>
    </format>
    <format dxfId="94">
      <pivotArea dataOnly="0" labelOnly="1" grandRow="1" outline="0" fieldPosition="0"/>
    </format>
    <format dxfId="93">
      <pivotArea dataOnly="0" labelOnly="1" fieldPosition="0">
        <references count="2">
          <reference field="4" count="1" selected="0">
            <x v="2"/>
          </reference>
          <reference field="14" count="1">
            <x v="9"/>
          </reference>
        </references>
      </pivotArea>
    </format>
    <format dxfId="92">
      <pivotArea dataOnly="0" labelOnly="1" fieldPosition="0">
        <references count="2">
          <reference field="4" count="1" selected="0">
            <x v="11"/>
          </reference>
          <reference field="14" count="2">
            <x v="3"/>
            <x v="5"/>
          </reference>
        </references>
      </pivotArea>
    </format>
    <format dxfId="91">
      <pivotArea dataOnly="0" labelOnly="1" fieldPosition="0">
        <references count="2">
          <reference field="4" count="1" selected="0">
            <x v="14"/>
          </reference>
          <reference field="14" count="1">
            <x v="7"/>
          </reference>
        </references>
      </pivotArea>
    </format>
    <format dxfId="90">
      <pivotArea dataOnly="0" labelOnly="1" fieldPosition="0">
        <references count="2">
          <reference field="4" count="1" selected="0">
            <x v="18"/>
          </reference>
          <reference field="14" count="1">
            <x v="13"/>
          </reference>
        </references>
      </pivotArea>
    </format>
    <format dxfId="89">
      <pivotArea dataOnly="0" labelOnly="1" fieldPosition="0">
        <references count="2">
          <reference field="4" count="1" selected="0">
            <x v="21"/>
          </reference>
          <reference field="14" count="1">
            <x v="1"/>
          </reference>
        </references>
      </pivotArea>
    </format>
    <format dxfId="88">
      <pivotArea dataOnly="0" labelOnly="1" fieldPosition="0">
        <references count="2">
          <reference field="4" count="1" selected="0">
            <x v="22"/>
          </reference>
          <reference field="14" count="1">
            <x v="0"/>
          </reference>
        </references>
      </pivotArea>
    </format>
    <format dxfId="87">
      <pivotArea dataOnly="0" labelOnly="1" fieldPosition="0">
        <references count="2">
          <reference field="4" count="1" selected="0">
            <x v="23"/>
          </reference>
          <reference field="14" count="1">
            <x v="11"/>
          </reference>
        </references>
      </pivotArea>
    </format>
    <format dxfId="86">
      <pivotArea type="all" dataOnly="0" outline="0" fieldPosition="0"/>
    </format>
    <format dxfId="85">
      <pivotArea field="4" type="button" dataOnly="0" labelOnly="1" outline="0" axis="axisRow" fieldPosition="0"/>
    </format>
    <format dxfId="84">
      <pivotArea field="14" type="button" dataOnly="0" labelOnly="1" outline="0" axis="axisRow" fieldPosition="1"/>
    </format>
    <format dxfId="83">
      <pivotArea dataOnly="0" labelOnly="1" fieldPosition="0">
        <references count="1">
          <reference field="4" count="7">
            <x v="2"/>
            <x v="11"/>
            <x v="14"/>
            <x v="18"/>
            <x v="21"/>
            <x v="22"/>
            <x v="23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2">
          <reference field="4" count="1" selected="0">
            <x v="2"/>
          </reference>
          <reference field="14" count="1">
            <x v="9"/>
          </reference>
        </references>
      </pivotArea>
    </format>
    <format dxfId="80">
      <pivotArea dataOnly="0" labelOnly="1" fieldPosition="0">
        <references count="2">
          <reference field="4" count="1" selected="0">
            <x v="11"/>
          </reference>
          <reference field="14" count="2">
            <x v="3"/>
            <x v="5"/>
          </reference>
        </references>
      </pivotArea>
    </format>
    <format dxfId="79">
      <pivotArea dataOnly="0" labelOnly="1" fieldPosition="0">
        <references count="2">
          <reference field="4" count="1" selected="0">
            <x v="14"/>
          </reference>
          <reference field="14" count="1">
            <x v="7"/>
          </reference>
        </references>
      </pivotArea>
    </format>
    <format dxfId="78">
      <pivotArea dataOnly="0" labelOnly="1" fieldPosition="0">
        <references count="2">
          <reference field="4" count="1" selected="0">
            <x v="18"/>
          </reference>
          <reference field="14" count="1">
            <x v="13"/>
          </reference>
        </references>
      </pivotArea>
    </format>
    <format dxfId="77">
      <pivotArea dataOnly="0" labelOnly="1" fieldPosition="0">
        <references count="2">
          <reference field="4" count="1" selected="0">
            <x v="21"/>
          </reference>
          <reference field="14" count="1">
            <x v="1"/>
          </reference>
        </references>
      </pivotArea>
    </format>
    <format dxfId="76">
      <pivotArea dataOnly="0" labelOnly="1" fieldPosition="0">
        <references count="2">
          <reference field="4" count="1" selected="0">
            <x v="22"/>
          </reference>
          <reference field="14" count="1">
            <x v="0"/>
          </reference>
        </references>
      </pivotArea>
    </format>
    <format dxfId="75">
      <pivotArea dataOnly="0" labelOnly="1" fieldPosition="0">
        <references count="2">
          <reference field="4" count="1" selected="0">
            <x v="23"/>
          </reference>
          <reference field="14" count="1">
            <x v="11"/>
          </reference>
        </references>
      </pivotArea>
    </format>
    <format dxfId="74">
      <pivotArea type="all" dataOnly="0" outline="0" fieldPosition="0"/>
    </format>
    <format dxfId="73">
      <pivotArea field="4" type="button" dataOnly="0" labelOnly="1" outline="0" axis="axisRow" fieldPosition="0"/>
    </format>
    <format dxfId="72">
      <pivotArea field="14" type="button" dataOnly="0" labelOnly="1" outline="0" axis="axisRow" fieldPosition="1"/>
    </format>
    <format dxfId="71">
      <pivotArea dataOnly="0" labelOnly="1" fieldPosition="0">
        <references count="1">
          <reference field="4" count="7">
            <x v="2"/>
            <x v="11"/>
            <x v="14"/>
            <x v="18"/>
            <x v="21"/>
            <x v="22"/>
            <x v="23"/>
          </reference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2">
          <reference field="4" count="1" selected="0">
            <x v="2"/>
          </reference>
          <reference field="14" count="1">
            <x v="9"/>
          </reference>
        </references>
      </pivotArea>
    </format>
    <format dxfId="68">
      <pivotArea dataOnly="0" labelOnly="1" fieldPosition="0">
        <references count="2">
          <reference field="4" count="1" selected="0">
            <x v="11"/>
          </reference>
          <reference field="14" count="2">
            <x v="3"/>
            <x v="5"/>
          </reference>
        </references>
      </pivotArea>
    </format>
    <format dxfId="67">
      <pivotArea dataOnly="0" labelOnly="1" fieldPosition="0">
        <references count="2">
          <reference field="4" count="1" selected="0">
            <x v="14"/>
          </reference>
          <reference field="14" count="1">
            <x v="7"/>
          </reference>
        </references>
      </pivotArea>
    </format>
    <format dxfId="66">
      <pivotArea dataOnly="0" labelOnly="1" fieldPosition="0">
        <references count="2">
          <reference field="4" count="1" selected="0">
            <x v="18"/>
          </reference>
          <reference field="14" count="1">
            <x v="13"/>
          </reference>
        </references>
      </pivotArea>
    </format>
    <format dxfId="65">
      <pivotArea dataOnly="0" labelOnly="1" fieldPosition="0">
        <references count="2">
          <reference field="4" count="1" selected="0">
            <x v="21"/>
          </reference>
          <reference field="14" count="1">
            <x v="1"/>
          </reference>
        </references>
      </pivotArea>
    </format>
    <format dxfId="64">
      <pivotArea dataOnly="0" labelOnly="1" fieldPosition="0">
        <references count="2">
          <reference field="4" count="1" selected="0">
            <x v="22"/>
          </reference>
          <reference field="14" count="1">
            <x v="0"/>
          </reference>
        </references>
      </pivotArea>
    </format>
    <format dxfId="63">
      <pivotArea dataOnly="0" labelOnly="1" fieldPosition="0">
        <references count="2">
          <reference field="4" count="1" selected="0">
            <x v="23"/>
          </reference>
          <reference field="14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ST" cacheId="51" applyNumberFormats="0" applyBorderFormats="0" applyFontFormats="0" applyPatternFormats="0" applyAlignmentFormats="0" applyWidthHeightFormats="0" dataCaption="" updatedVersion="6" compact="0" compactData="0">
  <location ref="A3:D30" firstHeaderRow="1" firstDataRow="2" firstDataCol="2"/>
  <pivotFields count="10">
    <pivotField name="NP" compact="0" outline="0" multipleItemSelectionAllowed="1" showAll="0"/>
    <pivotField name="TOTAL" dataField="1" compact="0" outline="0" multipleItemSelectionAllowed="1" showAll="0"/>
    <pivotField name="CLAVE" axis="axisRow" compact="0" outline="0" multipleItemSelectionAllowed="1" showAll="0" sortType="ascending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</items>
    </pivotField>
    <pivotField name="DISTRITO" axis="axisRow" compact="0" outline="0" multipleItemSelectionAllowed="1" showAll="0" sortType="ascending">
      <items count="39">
        <item x="24"/>
        <item x="11"/>
        <item x="37"/>
        <item x="21"/>
        <item x="35"/>
        <item x="0"/>
        <item x="2"/>
        <item x="4"/>
        <item x="14"/>
        <item x="32"/>
        <item x="22"/>
        <item x="5"/>
        <item x="15"/>
        <item x="34"/>
        <item x="13"/>
        <item x="12"/>
        <item x="3"/>
        <item x="27"/>
        <item x="30"/>
        <item x="26"/>
        <item x="36"/>
        <item x="28"/>
        <item x="19"/>
        <item x="31"/>
        <item x="17"/>
        <item x="25"/>
        <item x="7"/>
        <item x="6"/>
        <item x="10"/>
        <item x="33"/>
        <item x="20"/>
        <item x="16"/>
        <item x="1"/>
        <item x="29"/>
        <item x="9"/>
        <item x="8"/>
        <item x="23"/>
        <item x="18"/>
        <item t="default"/>
      </items>
    </pivotField>
    <pivotField name="LOCALIDAD" compact="0" outline="0" multipleItemSelectionAllowed="1" showAll="0"/>
    <pivotField name="ARTICULO" dataField="1" compact="0" outline="0" multipleItemSelectionAllowed="1" showAll="0"/>
    <pivotField name="MARCA " compact="0" outline="0" multipleItemSelectionAllowed="1" showAll="0"/>
    <pivotField name="INVENTARIO 1" compact="0" outline="0" multipleItemSelectionAllowed="1" showAll="0"/>
    <pivotField name="INVENTARIO M" compact="0" outline="0" multipleItemSelectionAllowed="1" showAll="0"/>
    <pivotField name="VALIDADOR" compact="0" outline="0" multipleItemSelectionAllowed="1" showAll="0"/>
  </pivotFields>
  <rowFields count="2">
    <field x="2"/>
    <field x="3"/>
  </rowFields>
  <rowItems count="26">
    <i>
      <x/>
      <x v="5"/>
    </i>
    <i>
      <x v="1"/>
      <x v="32"/>
    </i>
    <i>
      <x v="2"/>
      <x v="6"/>
    </i>
    <i>
      <x v="3"/>
      <x v="16"/>
    </i>
    <i>
      <x v="4"/>
      <x v="7"/>
    </i>
    <i>
      <x v="5"/>
      <x v="11"/>
    </i>
    <i>
      <x v="6"/>
      <x v="27"/>
    </i>
    <i>
      <x v="7"/>
      <x v="11"/>
    </i>
    <i>
      <x v="8"/>
      <x v="26"/>
    </i>
    <i>
      <x v="9"/>
      <x v="35"/>
    </i>
    <i>
      <x v="10"/>
      <x v="34"/>
    </i>
    <i>
      <x v="11"/>
      <x v="28"/>
    </i>
    <i>
      <x v="12"/>
      <x v="1"/>
    </i>
    <i>
      <x v="13"/>
      <x v="15"/>
    </i>
    <i>
      <x v="14"/>
      <x v="14"/>
    </i>
    <i>
      <x v="15"/>
      <x v="8"/>
    </i>
    <i>
      <x v="16"/>
      <x v="12"/>
    </i>
    <i>
      <x v="17"/>
      <x v="31"/>
    </i>
    <i>
      <x v="18"/>
      <x v="24"/>
    </i>
    <i>
      <x v="19"/>
      <x v="37"/>
    </i>
    <i>
      <x v="20"/>
      <x v="11"/>
    </i>
    <i>
      <x v="21"/>
      <x v="22"/>
    </i>
    <i>
      <x v="22"/>
      <x v="30"/>
    </i>
    <i>
      <x v="23"/>
      <x v="3"/>
    </i>
    <i>
      <x v="24"/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ARTICULO" fld="5" subtotal="count" baseField="0"/>
    <dataField name="Cuenta de TOTAL" fld="1" subtotal="count" baseField="0"/>
  </dataFields>
  <pivotTableStyleInfo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IA" sourceName="DIA">
  <pivotTables>
    <pivotTable tabId="11" name="TablaDinámica5"/>
    <pivotTable tabId="11" name="TablaDinámica1"/>
    <pivotTable tabId="11" name="TablaDinámica8"/>
  </pivotTables>
  <data>
    <tabular pivotCacheId="1">
      <items count="6">
        <i x="2" s="1"/>
        <i x="1"/>
        <i x="4"/>
        <i x="3"/>
        <i x="0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IA" cache="SegmentaciónDeDatos_DIA" caption="DIA" style="SlicerStyleDark5" rowHeight="3960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zoomScale="50" zoomScaleNormal="50" workbookViewId="0">
      <selection activeCell="N1" sqref="N1"/>
    </sheetView>
  </sheetViews>
  <sheetFormatPr baseColWidth="10" defaultRowHeight="15" x14ac:dyDescent="0.25"/>
  <cols>
    <col min="1" max="1" width="32.85546875" style="169" customWidth="1"/>
    <col min="2" max="2" width="25.5703125" style="169" customWidth="1"/>
    <col min="3" max="3" width="20.42578125" style="169" customWidth="1"/>
    <col min="4" max="4" width="16.5703125" style="169" customWidth="1"/>
    <col min="5" max="5" width="17.5703125" style="169" bestFit="1" customWidth="1"/>
    <col min="6" max="6" width="21.5703125" style="169" bestFit="1" customWidth="1"/>
    <col min="7" max="7" width="12.42578125" style="169" customWidth="1"/>
    <col min="8" max="8" width="31.140625" style="169" bestFit="1" customWidth="1"/>
    <col min="9" max="9" width="19.85546875" style="169" customWidth="1"/>
    <col min="10" max="10" width="29.7109375" style="169" customWidth="1"/>
    <col min="11" max="11" width="10.140625" style="169" customWidth="1"/>
    <col min="12" max="12" width="11.140625" style="169" customWidth="1"/>
    <col min="13" max="13" width="4.42578125" style="169" customWidth="1"/>
    <col min="14" max="14" width="63.42578125" style="169" customWidth="1"/>
    <col min="15" max="16384" width="11.42578125" style="169"/>
  </cols>
  <sheetData>
    <row r="1" spans="1:14" ht="24.75" customHeight="1" x14ac:dyDescent="0.25">
      <c r="B1" s="172"/>
      <c r="C1" s="172"/>
      <c r="D1" s="188" t="s">
        <v>1025</v>
      </c>
      <c r="E1" s="188"/>
      <c r="F1" s="188"/>
      <c r="G1" s="188"/>
      <c r="H1" s="188"/>
      <c r="I1" s="188"/>
      <c r="J1" s="188"/>
      <c r="K1" s="188"/>
      <c r="L1" s="172"/>
      <c r="M1" s="172"/>
      <c r="N1" s="174" t="s">
        <v>2</v>
      </c>
    </row>
    <row r="2" spans="1:14" ht="24" customHeight="1" x14ac:dyDescent="0.25">
      <c r="B2" s="172"/>
      <c r="C2" s="172"/>
      <c r="D2" s="188"/>
      <c r="E2" s="188"/>
      <c r="F2" s="188"/>
      <c r="G2" s="188"/>
      <c r="H2" s="188"/>
      <c r="I2" s="188"/>
      <c r="J2" s="188"/>
      <c r="K2" s="188"/>
      <c r="L2" s="172"/>
      <c r="M2" s="172"/>
      <c r="N2" s="174" t="s">
        <v>3</v>
      </c>
    </row>
    <row r="3" spans="1:14" ht="23.25" customHeight="1" x14ac:dyDescent="0.25">
      <c r="B3" s="172"/>
      <c r="C3" s="172"/>
      <c r="D3" s="188"/>
      <c r="E3" s="188"/>
      <c r="F3" s="188"/>
      <c r="G3" s="188"/>
      <c r="H3" s="188"/>
      <c r="I3" s="188"/>
      <c r="J3" s="188"/>
      <c r="K3" s="188"/>
      <c r="L3" s="172"/>
      <c r="M3" s="172"/>
      <c r="N3" s="175" t="s">
        <v>7</v>
      </c>
    </row>
    <row r="4" spans="1:14" ht="15" customHeight="1" x14ac:dyDescent="0.25">
      <c r="B4" s="172"/>
      <c r="C4" s="172"/>
      <c r="D4" s="188"/>
      <c r="E4" s="188"/>
      <c r="F4" s="188"/>
      <c r="G4" s="188"/>
      <c r="H4" s="188"/>
      <c r="I4" s="188"/>
      <c r="J4" s="188"/>
      <c r="K4" s="188"/>
      <c r="L4" s="172"/>
      <c r="M4" s="172"/>
    </row>
    <row r="5" spans="1:14" ht="15" customHeight="1" x14ac:dyDescent="0.25">
      <c r="B5" s="172"/>
      <c r="C5" s="172"/>
      <c r="D5" s="172"/>
      <c r="E5" s="172"/>
      <c r="F5" s="172"/>
      <c r="G5" s="172"/>
      <c r="H5" s="172"/>
      <c r="I5" s="172"/>
      <c r="J5" s="173"/>
      <c r="K5" s="172"/>
      <c r="L5" s="172"/>
      <c r="M5" s="172"/>
    </row>
    <row r="7" spans="1:14" ht="21" x14ac:dyDescent="0.35">
      <c r="A7" s="183" t="s">
        <v>22</v>
      </c>
      <c r="B7" s="183" t="s">
        <v>33</v>
      </c>
    </row>
    <row r="8" spans="1:14" ht="21" x14ac:dyDescent="0.35">
      <c r="A8" s="184" t="s">
        <v>78</v>
      </c>
      <c r="B8" s="187">
        <v>0.33333333333333331</v>
      </c>
    </row>
    <row r="9" spans="1:14" ht="21" x14ac:dyDescent="0.35">
      <c r="A9" s="184" t="s">
        <v>91</v>
      </c>
      <c r="B9" s="187">
        <v>0.52083333333333337</v>
      </c>
    </row>
    <row r="10" spans="1:14" ht="21" x14ac:dyDescent="0.35">
      <c r="A10" s="184" t="s">
        <v>38</v>
      </c>
      <c r="B10" s="187">
        <v>0.4375</v>
      </c>
    </row>
    <row r="11" spans="1:14" ht="21" x14ac:dyDescent="0.35">
      <c r="A11" s="184" t="s">
        <v>43</v>
      </c>
      <c r="B11" s="187">
        <v>0.47916666666666669</v>
      </c>
    </row>
    <row r="12" spans="1:14" ht="21" x14ac:dyDescent="0.35">
      <c r="A12" s="184" t="s">
        <v>89</v>
      </c>
      <c r="B12" s="187">
        <v>0.375</v>
      </c>
    </row>
    <row r="13" spans="1:14" ht="21" x14ac:dyDescent="0.35">
      <c r="A13" s="184" t="s">
        <v>635</v>
      </c>
      <c r="B13" s="187">
        <v>0.47916666666666669</v>
      </c>
    </row>
    <row r="14" spans="1:14" ht="21" x14ac:dyDescent="0.35">
      <c r="A14" s="184" t="s">
        <v>80</v>
      </c>
      <c r="B14" s="187">
        <v>0.5625</v>
      </c>
    </row>
    <row r="15" spans="1:14" ht="21" x14ac:dyDescent="0.35">
      <c r="A15" s="185"/>
      <c r="B15" s="187">
        <v>0.60416666666666663</v>
      </c>
    </row>
    <row r="16" spans="1:14" ht="21" x14ac:dyDescent="0.35">
      <c r="A16" s="186" t="s">
        <v>637</v>
      </c>
      <c r="B16" s="183"/>
    </row>
    <row r="17" spans="1:2" x14ac:dyDescent="0.25">
      <c r="A17"/>
      <c r="B17"/>
    </row>
    <row r="19" spans="1:2" hidden="1" x14ac:dyDescent="0.25">
      <c r="A19" s="167" t="s">
        <v>22</v>
      </c>
      <c r="B19" s="179" t="s">
        <v>66</v>
      </c>
    </row>
    <row r="20" spans="1:2" hidden="1" x14ac:dyDescent="0.25">
      <c r="A20" t="s">
        <v>78</v>
      </c>
      <c r="B20" s="177">
        <v>12</v>
      </c>
    </row>
    <row r="21" spans="1:2" hidden="1" x14ac:dyDescent="0.25">
      <c r="A21" t="s">
        <v>91</v>
      </c>
      <c r="B21" s="177">
        <v>13</v>
      </c>
    </row>
    <row r="22" spans="1:2" ht="18.75" hidden="1" x14ac:dyDescent="0.3">
      <c r="A22" s="171" t="s">
        <v>38</v>
      </c>
      <c r="B22" s="180">
        <v>17</v>
      </c>
    </row>
    <row r="23" spans="1:2" hidden="1" x14ac:dyDescent="0.25">
      <c r="A23" t="s">
        <v>43</v>
      </c>
      <c r="B23" s="177">
        <v>13</v>
      </c>
    </row>
    <row r="24" spans="1:2" hidden="1" x14ac:dyDescent="0.25">
      <c r="A24" t="s">
        <v>89</v>
      </c>
      <c r="B24" s="177">
        <v>13</v>
      </c>
    </row>
    <row r="25" spans="1:2" ht="18.75" hidden="1" x14ac:dyDescent="0.3">
      <c r="A25" s="171" t="s">
        <v>635</v>
      </c>
      <c r="B25" s="180">
        <v>17</v>
      </c>
    </row>
    <row r="26" spans="1:2" ht="18.75" hidden="1" x14ac:dyDescent="0.3">
      <c r="A26" s="171" t="s">
        <v>80</v>
      </c>
      <c r="B26" s="180">
        <v>24</v>
      </c>
    </row>
    <row r="27" spans="1:2" hidden="1" x14ac:dyDescent="0.25">
      <c r="A27" s="167" t="s">
        <v>637</v>
      </c>
      <c r="B27" s="178">
        <v>109</v>
      </c>
    </row>
    <row r="28" spans="1:2" hidden="1" x14ac:dyDescent="0.25">
      <c r="A28"/>
      <c r="B28"/>
    </row>
    <row r="29" spans="1:2" hidden="1" x14ac:dyDescent="0.25">
      <c r="A29"/>
      <c r="B29"/>
    </row>
    <row r="30" spans="1:2" hidden="1" x14ac:dyDescent="0.25">
      <c r="A30" s="166" t="s">
        <v>1024</v>
      </c>
      <c r="B30" s="176" t="s">
        <v>66</v>
      </c>
    </row>
    <row r="31" spans="1:2" hidden="1" x14ac:dyDescent="0.25">
      <c r="A31" s="168" t="s">
        <v>37</v>
      </c>
      <c r="B31" s="177">
        <v>8</v>
      </c>
    </row>
    <row r="32" spans="1:2" hidden="1" x14ac:dyDescent="0.25">
      <c r="A32" s="168" t="s">
        <v>51</v>
      </c>
      <c r="B32" s="177">
        <v>8</v>
      </c>
    </row>
    <row r="33" spans="1:2" hidden="1" x14ac:dyDescent="0.25">
      <c r="A33" s="168" t="s">
        <v>61</v>
      </c>
      <c r="B33" s="177">
        <v>8</v>
      </c>
    </row>
    <row r="34" spans="1:2" hidden="1" x14ac:dyDescent="0.25">
      <c r="A34" s="168" t="s">
        <v>72</v>
      </c>
      <c r="B34" s="177">
        <v>8</v>
      </c>
    </row>
    <row r="35" spans="1:2" hidden="1" x14ac:dyDescent="0.25">
      <c r="A35" s="168" t="s">
        <v>88</v>
      </c>
      <c r="B35" s="177">
        <v>8</v>
      </c>
    </row>
    <row r="36" spans="1:2" hidden="1" x14ac:dyDescent="0.25">
      <c r="A36" s="168" t="s">
        <v>96</v>
      </c>
      <c r="B36" s="177">
        <v>8</v>
      </c>
    </row>
    <row r="37" spans="1:2" hidden="1" x14ac:dyDescent="0.25">
      <c r="A37" s="168" t="s">
        <v>98</v>
      </c>
      <c r="B37" s="177">
        <v>29</v>
      </c>
    </row>
    <row r="38" spans="1:2" hidden="1" x14ac:dyDescent="0.25">
      <c r="A38" s="168" t="s">
        <v>114</v>
      </c>
      <c r="B38" s="177">
        <v>8</v>
      </c>
    </row>
    <row r="39" spans="1:2" hidden="1" x14ac:dyDescent="0.25">
      <c r="A39" s="168" t="s">
        <v>134</v>
      </c>
      <c r="B39" s="177">
        <v>8</v>
      </c>
    </row>
    <row r="40" spans="1:2" hidden="1" x14ac:dyDescent="0.25">
      <c r="A40" s="168" t="s">
        <v>145</v>
      </c>
      <c r="B40" s="177">
        <v>8</v>
      </c>
    </row>
    <row r="41" spans="1:2" hidden="1" x14ac:dyDescent="0.25">
      <c r="A41" s="168" t="s">
        <v>159</v>
      </c>
      <c r="B41" s="177">
        <v>8</v>
      </c>
    </row>
    <row r="42" spans="1:2" hidden="1" x14ac:dyDescent="0.25">
      <c r="A42" s="170" t="s">
        <v>637</v>
      </c>
      <c r="B42" s="178">
        <v>109</v>
      </c>
    </row>
    <row r="43" spans="1:2" hidden="1" x14ac:dyDescent="0.25"/>
    <row r="44" spans="1:2" hidden="1" x14ac:dyDescent="0.25"/>
    <row r="45" spans="1:2" hidden="1" x14ac:dyDescent="0.25"/>
    <row r="46" spans="1:2" hidden="1" x14ac:dyDescent="0.25"/>
    <row r="47" spans="1:2" hidden="1" x14ac:dyDescent="0.25"/>
    <row r="48" spans="1:2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spans="1:2" hidden="1" x14ac:dyDescent="0.25"/>
    <row r="66" spans="1:2" hidden="1" x14ac:dyDescent="0.25">
      <c r="A66"/>
      <c r="B66"/>
    </row>
    <row r="67" spans="1:2" hidden="1" x14ac:dyDescent="0.25">
      <c r="A67"/>
      <c r="B67"/>
    </row>
    <row r="68" spans="1:2" hidden="1" x14ac:dyDescent="0.25">
      <c r="A68"/>
      <c r="B68"/>
    </row>
    <row r="69" spans="1:2" hidden="1" x14ac:dyDescent="0.25">
      <c r="A69"/>
      <c r="B69"/>
    </row>
    <row r="70" spans="1:2" hidden="1" x14ac:dyDescent="0.25">
      <c r="A70"/>
      <c r="B70"/>
    </row>
    <row r="71" spans="1:2" hidden="1" x14ac:dyDescent="0.25">
      <c r="A71"/>
      <c r="B71"/>
    </row>
    <row r="72" spans="1:2" hidden="1" x14ac:dyDescent="0.25">
      <c r="A72"/>
      <c r="B72"/>
    </row>
    <row r="73" spans="1:2" hidden="1" x14ac:dyDescent="0.25">
      <c r="A73"/>
      <c r="B73"/>
    </row>
    <row r="74" spans="1:2" hidden="1" x14ac:dyDescent="0.25">
      <c r="A74"/>
      <c r="B74"/>
    </row>
    <row r="75" spans="1:2" hidden="1" x14ac:dyDescent="0.25">
      <c r="A75"/>
      <c r="B75"/>
    </row>
  </sheetData>
  <mergeCells count="1">
    <mergeCell ref="D1:K4"/>
  </mergeCells>
  <pageMargins left="0.7" right="0.7" top="0.75" bottom="0.75" header="0.3" footer="0.3"/>
  <pageSetup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topLeftCell="J5" workbookViewId="0">
      <selection activeCell="O6" sqref="O6"/>
    </sheetView>
  </sheetViews>
  <sheetFormatPr baseColWidth="10" defaultColWidth="14.42578125" defaultRowHeight="15" customHeight="1" x14ac:dyDescent="0.25"/>
  <cols>
    <col min="1" max="1" width="9" bestFit="1" customWidth="1"/>
    <col min="2" max="2" width="3.85546875" customWidth="1"/>
    <col min="3" max="3" width="7.28515625" customWidth="1"/>
    <col min="4" max="4" width="7" customWidth="1"/>
    <col min="5" max="5" width="46.28515625" customWidth="1"/>
    <col min="6" max="6" width="12" customWidth="1"/>
    <col min="7" max="7" width="24.7109375" customWidth="1"/>
    <col min="8" max="8" width="8.85546875" customWidth="1"/>
    <col min="9" max="9" width="14.85546875" customWidth="1"/>
    <col min="10" max="10" width="15.7109375" customWidth="1"/>
    <col min="11" max="11" width="12.42578125" customWidth="1"/>
    <col min="12" max="12" width="103.140625" customWidth="1"/>
    <col min="13" max="14" width="10.7109375" customWidth="1"/>
    <col min="15" max="15" width="14.85546875" customWidth="1"/>
    <col min="16" max="16" width="12.28515625" customWidth="1"/>
    <col min="17" max="27" width="10.7109375" customWidth="1"/>
  </cols>
  <sheetData>
    <row r="1" spans="1:16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2</v>
      </c>
    </row>
    <row r="2" spans="1:16" ht="15.75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3</v>
      </c>
    </row>
    <row r="3" spans="1:16" ht="15.75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3" t="s">
        <v>7</v>
      </c>
    </row>
    <row r="4" spans="1:16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5" t="s">
        <v>11</v>
      </c>
    </row>
    <row r="5" spans="1:16" ht="15.75" x14ac:dyDescent="0.25">
      <c r="A5" s="6" t="s">
        <v>17</v>
      </c>
      <c r="B5" s="7" t="s">
        <v>20</v>
      </c>
      <c r="C5" s="7" t="s">
        <v>19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28</v>
      </c>
      <c r="K5" s="7" t="s">
        <v>29</v>
      </c>
      <c r="L5" s="7" t="s">
        <v>30</v>
      </c>
      <c r="M5" s="6" t="s">
        <v>31</v>
      </c>
      <c r="N5" s="7" t="s">
        <v>32</v>
      </c>
      <c r="O5" s="6" t="s">
        <v>33</v>
      </c>
      <c r="P5" s="6" t="s">
        <v>34</v>
      </c>
    </row>
    <row r="6" spans="1:16" ht="15" customHeight="1" x14ac:dyDescent="0.25">
      <c r="A6" s="1" t="str">
        <f t="shared" ref="A6:A69" si="0">D6&amp;N6</f>
        <v>600125</v>
      </c>
      <c r="B6" s="1">
        <v>1</v>
      </c>
      <c r="C6" s="1">
        <v>13</v>
      </c>
      <c r="D6" s="1">
        <v>6001</v>
      </c>
      <c r="E6" s="1" t="s">
        <v>27</v>
      </c>
      <c r="F6" s="1" t="s">
        <v>36</v>
      </c>
      <c r="G6" s="1" t="s">
        <v>37</v>
      </c>
      <c r="H6" s="1" t="s">
        <v>39</v>
      </c>
      <c r="I6" s="1" t="s">
        <v>40</v>
      </c>
      <c r="J6" s="1" t="s">
        <v>40</v>
      </c>
      <c r="K6" s="1">
        <v>12</v>
      </c>
      <c r="L6" s="1" t="s">
        <v>41</v>
      </c>
      <c r="M6" s="1" t="str">
        <f>VLOOKUP(D6,HORARIOS!B:H,7,0)</f>
        <v>Dia 5</v>
      </c>
      <c r="N6" s="1">
        <f>VLOOKUP(D6,HORARIOS!B:I,8,0)</f>
        <v>25</v>
      </c>
      <c r="O6" s="9">
        <f>VLOOKUP(D6,HORARIOS!B:D,3,0)</f>
        <v>0.33333333333333331</v>
      </c>
      <c r="P6" s="9" t="str">
        <f>VLOOKUP(A6,HORARIOS!A:E,5,0)</f>
        <v>12:00 hrs</v>
      </c>
    </row>
    <row r="7" spans="1:16" ht="15" customHeight="1" x14ac:dyDescent="0.25">
      <c r="A7" s="1" t="str">
        <f t="shared" si="0"/>
        <v>600125</v>
      </c>
      <c r="B7" s="1">
        <v>2</v>
      </c>
      <c r="C7" s="1">
        <v>13</v>
      </c>
      <c r="D7" s="1">
        <v>6001</v>
      </c>
      <c r="E7" s="1" t="s">
        <v>27</v>
      </c>
      <c r="F7" s="1" t="s">
        <v>36</v>
      </c>
      <c r="G7" s="1" t="s">
        <v>51</v>
      </c>
      <c r="H7" s="1" t="s">
        <v>52</v>
      </c>
      <c r="I7" s="1" t="s">
        <v>53</v>
      </c>
      <c r="J7" s="1" t="s">
        <v>54</v>
      </c>
      <c r="K7" s="1">
        <v>12</v>
      </c>
      <c r="M7" s="1" t="str">
        <f>VLOOKUP(D7,HORARIOS!B:H,7,0)</f>
        <v>Dia 5</v>
      </c>
      <c r="N7" s="1">
        <f>VLOOKUP(D7,HORARIOS!B:I,8,0)</f>
        <v>25</v>
      </c>
      <c r="O7" s="9">
        <f>VLOOKUP(D7,HORARIOS!B:D,3,0)</f>
        <v>0.33333333333333331</v>
      </c>
      <c r="P7" s="9" t="str">
        <f>VLOOKUP(A7,HORARIOS!A:E,5,0)</f>
        <v>12:00 hrs</v>
      </c>
    </row>
    <row r="8" spans="1:16" ht="15" customHeight="1" x14ac:dyDescent="0.25">
      <c r="A8" s="1" t="str">
        <f t="shared" si="0"/>
        <v>600125</v>
      </c>
      <c r="B8" s="1">
        <v>3</v>
      </c>
      <c r="C8" s="1">
        <v>13</v>
      </c>
      <c r="D8" s="1">
        <v>6001</v>
      </c>
      <c r="E8" s="1" t="s">
        <v>27</v>
      </c>
      <c r="F8" s="1" t="s">
        <v>36</v>
      </c>
      <c r="G8" s="1" t="s">
        <v>61</v>
      </c>
      <c r="H8" s="1" t="s">
        <v>62</v>
      </c>
      <c r="I8" s="1" t="s">
        <v>63</v>
      </c>
      <c r="J8" s="1" t="s">
        <v>63</v>
      </c>
      <c r="K8" s="1">
        <v>12</v>
      </c>
      <c r="L8" s="1" t="s">
        <v>64</v>
      </c>
      <c r="M8" s="1" t="str">
        <f>VLOOKUP(D8,HORARIOS!B:H,7,0)</f>
        <v>Dia 5</v>
      </c>
      <c r="N8" s="1">
        <f>VLOOKUP(D8,HORARIOS!B:I,8,0)</f>
        <v>25</v>
      </c>
      <c r="O8" s="9">
        <f>VLOOKUP(D8,HORARIOS!B:D,3,0)</f>
        <v>0.33333333333333331</v>
      </c>
      <c r="P8" s="9" t="str">
        <f>VLOOKUP(A8,HORARIOS!A:E,5,0)</f>
        <v>12:00 hrs</v>
      </c>
    </row>
    <row r="9" spans="1:16" ht="15" customHeight="1" x14ac:dyDescent="0.25">
      <c r="A9" s="1" t="str">
        <f t="shared" si="0"/>
        <v>600125</v>
      </c>
      <c r="B9" s="1">
        <v>4</v>
      </c>
      <c r="C9" s="1">
        <v>13</v>
      </c>
      <c r="D9" s="1">
        <v>6001</v>
      </c>
      <c r="E9" s="1" t="s">
        <v>27</v>
      </c>
      <c r="F9" s="1" t="s">
        <v>36</v>
      </c>
      <c r="G9" s="1" t="s">
        <v>72</v>
      </c>
      <c r="H9" s="1" t="s">
        <v>73</v>
      </c>
      <c r="I9" s="1" t="s">
        <v>74</v>
      </c>
      <c r="J9" s="1" t="s">
        <v>74</v>
      </c>
      <c r="K9" s="1">
        <v>12</v>
      </c>
      <c r="M9" s="1" t="str">
        <f>VLOOKUP(D9,HORARIOS!B:H,7,0)</f>
        <v>Dia 5</v>
      </c>
      <c r="N9" s="1">
        <f>VLOOKUP(D9,HORARIOS!B:I,8,0)</f>
        <v>25</v>
      </c>
      <c r="O9" s="9">
        <f>VLOOKUP(D9,HORARIOS!B:D,3,0)</f>
        <v>0.33333333333333331</v>
      </c>
      <c r="P9" s="9" t="str">
        <f>VLOOKUP(A9,HORARIOS!A:E,5,0)</f>
        <v>12:00 hrs</v>
      </c>
    </row>
    <row r="10" spans="1:16" ht="15" customHeight="1" x14ac:dyDescent="0.25">
      <c r="A10" s="1" t="str">
        <f t="shared" si="0"/>
        <v>600125</v>
      </c>
      <c r="B10" s="1">
        <v>5</v>
      </c>
      <c r="C10" s="1">
        <v>13</v>
      </c>
      <c r="D10" s="1">
        <v>6001</v>
      </c>
      <c r="E10" s="1" t="s">
        <v>27</v>
      </c>
      <c r="F10" s="1" t="s">
        <v>36</v>
      </c>
      <c r="G10" s="1" t="s">
        <v>88</v>
      </c>
      <c r="H10" s="1" t="s">
        <v>90</v>
      </c>
      <c r="I10" s="1" t="s">
        <v>92</v>
      </c>
      <c r="J10" s="1" t="s">
        <v>93</v>
      </c>
      <c r="K10" s="1">
        <v>12</v>
      </c>
      <c r="M10" s="1" t="str">
        <f>VLOOKUP(D10,HORARIOS!B:H,7,0)</f>
        <v>Dia 5</v>
      </c>
      <c r="N10" s="1">
        <f>VLOOKUP(D10,HORARIOS!B:I,8,0)</f>
        <v>25</v>
      </c>
      <c r="O10" s="9">
        <f>VLOOKUP(D10,HORARIOS!B:D,3,0)</f>
        <v>0.33333333333333331</v>
      </c>
      <c r="P10" s="9" t="str">
        <f>VLOOKUP(A10,HORARIOS!A:E,5,0)</f>
        <v>12:00 hrs</v>
      </c>
    </row>
    <row r="11" spans="1:16" ht="15" customHeight="1" x14ac:dyDescent="0.25">
      <c r="A11" s="1" t="str">
        <f t="shared" si="0"/>
        <v>600125</v>
      </c>
      <c r="B11" s="1">
        <v>6</v>
      </c>
      <c r="C11" s="1">
        <v>13</v>
      </c>
      <c r="D11" s="1">
        <v>6001</v>
      </c>
      <c r="E11" s="1" t="s">
        <v>27</v>
      </c>
      <c r="F11" s="1" t="s">
        <v>36</v>
      </c>
      <c r="G11" s="1" t="s">
        <v>96</v>
      </c>
      <c r="H11" s="1" t="s">
        <v>62</v>
      </c>
      <c r="I11" s="1" t="s">
        <v>97</v>
      </c>
      <c r="J11" s="1" t="s">
        <v>97</v>
      </c>
      <c r="K11" s="1">
        <v>12</v>
      </c>
      <c r="M11" s="1" t="str">
        <f>VLOOKUP(D11,HORARIOS!B:H,7,0)</f>
        <v>Dia 5</v>
      </c>
      <c r="N11" s="1">
        <f>VLOOKUP(D11,HORARIOS!B:I,8,0)</f>
        <v>25</v>
      </c>
      <c r="O11" s="9">
        <f>VLOOKUP(D11,HORARIOS!B:D,3,0)</f>
        <v>0.33333333333333331</v>
      </c>
      <c r="P11" s="9" t="str">
        <f>VLOOKUP(A11,HORARIOS!A:E,5,0)</f>
        <v>12:00 hrs</v>
      </c>
    </row>
    <row r="12" spans="1:16" ht="15" customHeight="1" x14ac:dyDescent="0.25">
      <c r="A12" s="1" t="str">
        <f t="shared" si="0"/>
        <v>600125</v>
      </c>
      <c r="B12" s="1">
        <v>7</v>
      </c>
      <c r="C12" s="1">
        <v>13</v>
      </c>
      <c r="D12" s="1">
        <v>6001</v>
      </c>
      <c r="E12" s="1" t="s">
        <v>27</v>
      </c>
      <c r="F12" s="1" t="s">
        <v>36</v>
      </c>
      <c r="G12" s="1" t="s">
        <v>98</v>
      </c>
      <c r="H12" s="1" t="s">
        <v>99</v>
      </c>
      <c r="I12" s="1" t="s">
        <v>100</v>
      </c>
      <c r="J12" s="1" t="s">
        <v>100</v>
      </c>
      <c r="K12" s="1">
        <v>12</v>
      </c>
      <c r="L12" s="1" t="s">
        <v>101</v>
      </c>
      <c r="M12" s="1" t="str">
        <f>VLOOKUP(D12,HORARIOS!B:H,7,0)</f>
        <v>Dia 5</v>
      </c>
      <c r="N12" s="1">
        <f>VLOOKUP(D12,HORARIOS!B:I,8,0)</f>
        <v>25</v>
      </c>
      <c r="O12" s="9">
        <f>VLOOKUP(D12,HORARIOS!B:D,3,0)</f>
        <v>0.33333333333333331</v>
      </c>
      <c r="P12" s="9" t="str">
        <f>VLOOKUP(A12,HORARIOS!A:E,5,0)</f>
        <v>12:00 hrs</v>
      </c>
    </row>
    <row r="13" spans="1:16" ht="15" customHeight="1" x14ac:dyDescent="0.25">
      <c r="A13" s="1" t="str">
        <f t="shared" si="0"/>
        <v>600125</v>
      </c>
      <c r="B13" s="1">
        <v>8</v>
      </c>
      <c r="C13" s="1">
        <v>13</v>
      </c>
      <c r="D13" s="1">
        <v>6001</v>
      </c>
      <c r="E13" s="1" t="s">
        <v>27</v>
      </c>
      <c r="F13" s="1" t="s">
        <v>36</v>
      </c>
      <c r="G13" s="1" t="s">
        <v>98</v>
      </c>
      <c r="H13" s="1" t="s">
        <v>99</v>
      </c>
      <c r="I13" s="1" t="s">
        <v>102</v>
      </c>
      <c r="J13" s="1" t="s">
        <v>102</v>
      </c>
      <c r="K13" s="1">
        <v>12</v>
      </c>
      <c r="L13" s="1" t="s">
        <v>101</v>
      </c>
      <c r="M13" s="1" t="str">
        <f>VLOOKUP(D13,HORARIOS!B:H,7,0)</f>
        <v>Dia 5</v>
      </c>
      <c r="N13" s="1">
        <f>VLOOKUP(D13,HORARIOS!B:I,8,0)</f>
        <v>25</v>
      </c>
      <c r="O13" s="9">
        <f>VLOOKUP(D13,HORARIOS!B:D,3,0)</f>
        <v>0.33333333333333331</v>
      </c>
      <c r="P13" s="9" t="str">
        <f>VLOOKUP(A13,HORARIOS!A:E,5,0)</f>
        <v>12:00 hrs</v>
      </c>
    </row>
    <row r="14" spans="1:16" ht="15" customHeight="1" x14ac:dyDescent="0.25">
      <c r="A14" s="1" t="str">
        <f t="shared" si="0"/>
        <v>600125</v>
      </c>
      <c r="B14" s="1">
        <v>9</v>
      </c>
      <c r="C14" s="1">
        <v>13</v>
      </c>
      <c r="D14" s="1">
        <v>6001</v>
      </c>
      <c r="E14" s="1" t="s">
        <v>27</v>
      </c>
      <c r="F14" s="1" t="s">
        <v>36</v>
      </c>
      <c r="G14" s="1" t="s">
        <v>98</v>
      </c>
      <c r="H14" s="1" t="s">
        <v>99</v>
      </c>
      <c r="I14" s="1" t="s">
        <v>103</v>
      </c>
      <c r="J14" s="1" t="s">
        <v>103</v>
      </c>
      <c r="K14" s="1">
        <v>12</v>
      </c>
      <c r="L14" s="1" t="s">
        <v>101</v>
      </c>
      <c r="M14" s="1" t="str">
        <f>VLOOKUP(D14,HORARIOS!B:H,7,0)</f>
        <v>Dia 5</v>
      </c>
      <c r="N14" s="1">
        <f>VLOOKUP(D14,HORARIOS!B:I,8,0)</f>
        <v>25</v>
      </c>
      <c r="O14" s="9">
        <f>VLOOKUP(D14,HORARIOS!B:D,3,0)</f>
        <v>0.33333333333333331</v>
      </c>
      <c r="P14" s="9" t="str">
        <f>VLOOKUP(A14,HORARIOS!A:E,5,0)</f>
        <v>12:00 hrs</v>
      </c>
    </row>
    <row r="15" spans="1:16" ht="15" customHeight="1" x14ac:dyDescent="0.25">
      <c r="A15" s="1" t="str">
        <f t="shared" si="0"/>
        <v>600125</v>
      </c>
      <c r="B15" s="1">
        <v>10</v>
      </c>
      <c r="C15" s="1">
        <v>13</v>
      </c>
      <c r="D15" s="1">
        <v>6001</v>
      </c>
      <c r="E15" s="1" t="s">
        <v>27</v>
      </c>
      <c r="F15" s="1" t="s">
        <v>36</v>
      </c>
      <c r="G15" s="1" t="s">
        <v>114</v>
      </c>
      <c r="H15" s="1" t="s">
        <v>39</v>
      </c>
      <c r="I15" s="1" t="s">
        <v>52</v>
      </c>
      <c r="J15" s="1" t="s">
        <v>52</v>
      </c>
      <c r="K15" s="1">
        <v>2</v>
      </c>
      <c r="L15" s="1" t="s">
        <v>115</v>
      </c>
      <c r="M15" s="1" t="str">
        <f>VLOOKUP(D15,HORARIOS!B:H,7,0)</f>
        <v>Dia 5</v>
      </c>
      <c r="N15" s="1">
        <f>VLOOKUP(D15,HORARIOS!B:I,8,0)</f>
        <v>25</v>
      </c>
      <c r="O15" s="9">
        <f>VLOOKUP(D15,HORARIOS!B:D,3,0)</f>
        <v>0.33333333333333331</v>
      </c>
      <c r="P15" s="9" t="str">
        <f>VLOOKUP(A15,HORARIOS!A:E,5,0)</f>
        <v>12:00 hrs</v>
      </c>
    </row>
    <row r="16" spans="1:16" ht="15" customHeight="1" x14ac:dyDescent="0.25">
      <c r="A16" s="1" t="str">
        <f t="shared" si="0"/>
        <v>600125</v>
      </c>
      <c r="B16" s="1">
        <v>14</v>
      </c>
      <c r="C16" s="1">
        <v>13</v>
      </c>
      <c r="D16" s="1">
        <v>6001</v>
      </c>
      <c r="E16" s="1" t="s">
        <v>27</v>
      </c>
      <c r="F16" s="1" t="s">
        <v>36</v>
      </c>
      <c r="G16" s="1" t="s">
        <v>134</v>
      </c>
      <c r="H16" s="1" t="s">
        <v>135</v>
      </c>
      <c r="I16" s="1" t="s">
        <v>136</v>
      </c>
      <c r="J16" s="1" t="s">
        <v>137</v>
      </c>
      <c r="K16" s="1">
        <v>12</v>
      </c>
      <c r="L16" s="1" t="s">
        <v>138</v>
      </c>
      <c r="M16" s="1" t="str">
        <f>VLOOKUP(D16,HORARIOS!B:H,7,0)</f>
        <v>Dia 5</v>
      </c>
      <c r="N16" s="1">
        <f>VLOOKUP(D16,HORARIOS!B:I,8,0)</f>
        <v>25</v>
      </c>
      <c r="O16" s="9">
        <f>VLOOKUP(D16,HORARIOS!B:D,3,0)</f>
        <v>0.33333333333333331</v>
      </c>
      <c r="P16" s="9" t="str">
        <f>VLOOKUP(A16,HORARIOS!A:E,5,0)</f>
        <v>12:00 hrs</v>
      </c>
    </row>
    <row r="17" spans="1:16" ht="15" customHeight="1" x14ac:dyDescent="0.25">
      <c r="A17" s="1" t="str">
        <f t="shared" si="0"/>
        <v>600125</v>
      </c>
      <c r="B17" s="1">
        <v>15</v>
      </c>
      <c r="C17" s="1">
        <v>13</v>
      </c>
      <c r="D17" s="1">
        <v>6001</v>
      </c>
      <c r="E17" s="1" t="s">
        <v>27</v>
      </c>
      <c r="F17" s="1" t="s">
        <v>36</v>
      </c>
      <c r="G17" s="1" t="s">
        <v>145</v>
      </c>
      <c r="H17" s="1" t="s">
        <v>52</v>
      </c>
      <c r="I17" s="1" t="s">
        <v>146</v>
      </c>
      <c r="J17" s="1" t="s">
        <v>147</v>
      </c>
      <c r="K17" s="1">
        <v>12</v>
      </c>
      <c r="M17" s="1" t="str">
        <f>VLOOKUP(D17,HORARIOS!B:H,7,0)</f>
        <v>Dia 5</v>
      </c>
      <c r="N17" s="1">
        <f>VLOOKUP(D17,HORARIOS!B:I,8,0)</f>
        <v>25</v>
      </c>
      <c r="O17" s="9">
        <f>VLOOKUP(D17,HORARIOS!B:D,3,0)</f>
        <v>0.33333333333333331</v>
      </c>
      <c r="P17" s="9" t="str">
        <f>VLOOKUP(A17,HORARIOS!A:E,5,0)</f>
        <v>12:00 hrs</v>
      </c>
    </row>
    <row r="18" spans="1:16" ht="15" customHeight="1" x14ac:dyDescent="0.25">
      <c r="A18" s="1" t="str">
        <f t="shared" si="0"/>
        <v>600125</v>
      </c>
      <c r="B18" s="1">
        <v>16</v>
      </c>
      <c r="C18" s="1">
        <v>13</v>
      </c>
      <c r="D18" s="1">
        <v>6001</v>
      </c>
      <c r="E18" s="1" t="s">
        <v>27</v>
      </c>
      <c r="F18" s="1" t="s">
        <v>36</v>
      </c>
      <c r="G18" s="1" t="s">
        <v>159</v>
      </c>
      <c r="H18" s="1" t="s">
        <v>160</v>
      </c>
      <c r="I18" s="1" t="s">
        <v>162</v>
      </c>
      <c r="J18" s="1" t="s">
        <v>163</v>
      </c>
      <c r="K18" s="1">
        <v>12</v>
      </c>
      <c r="M18" s="1" t="str">
        <f>VLOOKUP(D18,HORARIOS!B:H,7,0)</f>
        <v>Dia 5</v>
      </c>
      <c r="N18" s="1">
        <f>VLOOKUP(D18,HORARIOS!B:I,8,0)</f>
        <v>25</v>
      </c>
      <c r="O18" s="9">
        <f>VLOOKUP(D18,HORARIOS!B:D,3,0)</f>
        <v>0.33333333333333331</v>
      </c>
      <c r="P18" s="9" t="str">
        <f>VLOOKUP(A18,HORARIOS!A:E,5,0)</f>
        <v>12:00 hrs</v>
      </c>
    </row>
    <row r="19" spans="1:16" ht="15" customHeight="1" x14ac:dyDescent="0.25">
      <c r="A19" s="1" t="str">
        <f t="shared" si="0"/>
        <v>600212</v>
      </c>
      <c r="B19" s="1">
        <v>17</v>
      </c>
      <c r="C19" s="1">
        <v>12</v>
      </c>
      <c r="D19" s="1">
        <v>6002</v>
      </c>
      <c r="E19" s="1" t="s">
        <v>76</v>
      </c>
      <c r="F19" s="1" t="s">
        <v>36</v>
      </c>
      <c r="G19" s="1" t="s">
        <v>37</v>
      </c>
      <c r="H19" s="1" t="s">
        <v>39</v>
      </c>
      <c r="I19" t="s">
        <v>1015</v>
      </c>
      <c r="J19" t="s">
        <v>1015</v>
      </c>
      <c r="K19" s="1">
        <v>12</v>
      </c>
      <c r="L19" s="1" t="s">
        <v>171</v>
      </c>
      <c r="M19" s="1" t="str">
        <f>VLOOKUP(D19,HORARIOS!B:H,7,0)</f>
        <v>Día 2</v>
      </c>
      <c r="N19" s="1">
        <f>VLOOKUP(D19,HORARIOS!B:I,8,0)</f>
        <v>12</v>
      </c>
      <c r="O19" s="9">
        <f>VLOOKUP(D19,HORARIOS!B:D,3,0)</f>
        <v>0.60416666666666663</v>
      </c>
      <c r="P19" s="12" t="str">
        <f>VLOOKUP(A19,HORARIOS!A:E,5,0)</f>
        <v>16:30 hrs</v>
      </c>
    </row>
    <row r="20" spans="1:16" x14ac:dyDescent="0.25">
      <c r="A20" s="1" t="str">
        <f t="shared" si="0"/>
        <v>600212</v>
      </c>
      <c r="B20" s="1">
        <v>18</v>
      </c>
      <c r="C20" s="1">
        <v>12</v>
      </c>
      <c r="D20" s="1">
        <v>6002</v>
      </c>
      <c r="E20" s="1" t="s">
        <v>76</v>
      </c>
      <c r="F20" s="1" t="s">
        <v>36</v>
      </c>
      <c r="G20" s="1" t="s">
        <v>51</v>
      </c>
      <c r="H20" s="1" t="s">
        <v>52</v>
      </c>
      <c r="I20" s="1" t="s">
        <v>179</v>
      </c>
      <c r="J20" s="1" t="s">
        <v>179</v>
      </c>
      <c r="K20" s="1">
        <v>12</v>
      </c>
      <c r="M20" s="1" t="str">
        <f>VLOOKUP(D20,HORARIOS!B:H,7,0)</f>
        <v>Día 2</v>
      </c>
      <c r="N20" s="1">
        <f>VLOOKUP(D20,HORARIOS!B:I,8,0)</f>
        <v>12</v>
      </c>
      <c r="O20" s="9">
        <f>VLOOKUP(D20,HORARIOS!B:D,3,0)</f>
        <v>0.60416666666666663</v>
      </c>
      <c r="P20" s="12" t="str">
        <f>VLOOKUP(A20,HORARIOS!A:E,5,0)</f>
        <v>16:30 hrs</v>
      </c>
    </row>
    <row r="21" spans="1:16" ht="15.75" customHeight="1" x14ac:dyDescent="0.25">
      <c r="A21" s="1" t="str">
        <f t="shared" si="0"/>
        <v>600212</v>
      </c>
      <c r="B21" s="1">
        <v>19</v>
      </c>
      <c r="C21" s="1">
        <v>12</v>
      </c>
      <c r="D21" s="1">
        <v>6002</v>
      </c>
      <c r="E21" s="1" t="s">
        <v>76</v>
      </c>
      <c r="F21" s="1" t="s">
        <v>36</v>
      </c>
      <c r="G21" s="1" t="s">
        <v>61</v>
      </c>
      <c r="H21" s="1" t="s">
        <v>62</v>
      </c>
      <c r="I21" s="1" t="s">
        <v>182</v>
      </c>
      <c r="J21" s="1" t="s">
        <v>183</v>
      </c>
      <c r="K21" s="1">
        <v>12</v>
      </c>
      <c r="M21" s="1" t="str">
        <f>VLOOKUP(D21,HORARIOS!B:H,7,0)</f>
        <v>Día 2</v>
      </c>
      <c r="N21" s="1">
        <f>VLOOKUP(D21,HORARIOS!B:I,8,0)</f>
        <v>12</v>
      </c>
      <c r="O21" s="9">
        <f>VLOOKUP(D21,HORARIOS!B:D,3,0)</f>
        <v>0.60416666666666663</v>
      </c>
      <c r="P21" s="12" t="str">
        <f>VLOOKUP(A21,HORARIOS!A:E,5,0)</f>
        <v>16:30 hrs</v>
      </c>
    </row>
    <row r="22" spans="1:16" ht="15.75" customHeight="1" x14ac:dyDescent="0.25">
      <c r="A22" s="1" t="str">
        <f t="shared" si="0"/>
        <v>600212</v>
      </c>
      <c r="B22" s="1">
        <v>20</v>
      </c>
      <c r="C22" s="1">
        <v>12</v>
      </c>
      <c r="D22" s="1">
        <v>6002</v>
      </c>
      <c r="E22" s="1" t="s">
        <v>76</v>
      </c>
      <c r="F22" s="1" t="s">
        <v>36</v>
      </c>
      <c r="G22" s="1" t="s">
        <v>72</v>
      </c>
      <c r="H22" s="1" t="s">
        <v>73</v>
      </c>
      <c r="I22" s="1" t="s">
        <v>184</v>
      </c>
      <c r="J22" s="1" t="s">
        <v>185</v>
      </c>
      <c r="K22" s="1">
        <v>12</v>
      </c>
      <c r="M22" s="1" t="str">
        <f>VLOOKUP(D22,HORARIOS!B:H,7,0)</f>
        <v>Día 2</v>
      </c>
      <c r="N22" s="1">
        <f>VLOOKUP(D22,HORARIOS!B:I,8,0)</f>
        <v>12</v>
      </c>
      <c r="O22" s="9">
        <f>VLOOKUP(D22,HORARIOS!B:D,3,0)</f>
        <v>0.60416666666666663</v>
      </c>
      <c r="P22" s="12" t="str">
        <f>VLOOKUP(A22,HORARIOS!A:E,5,0)</f>
        <v>16:30 hrs</v>
      </c>
    </row>
    <row r="23" spans="1:16" ht="15.75" customHeight="1" x14ac:dyDescent="0.25">
      <c r="A23" s="1" t="str">
        <f t="shared" si="0"/>
        <v>600212</v>
      </c>
      <c r="B23" s="1">
        <v>21</v>
      </c>
      <c r="C23" s="1">
        <v>12</v>
      </c>
      <c r="D23" s="1">
        <v>6002</v>
      </c>
      <c r="E23" s="1" t="s">
        <v>76</v>
      </c>
      <c r="F23" s="1" t="s">
        <v>36</v>
      </c>
      <c r="G23" s="1" t="s">
        <v>88</v>
      </c>
      <c r="H23" s="1" t="s">
        <v>90</v>
      </c>
      <c r="I23" s="1" t="s">
        <v>186</v>
      </c>
      <c r="J23" s="1" t="s">
        <v>186</v>
      </c>
      <c r="K23" s="1">
        <v>12</v>
      </c>
      <c r="M23" s="1" t="str">
        <f>VLOOKUP(D23,HORARIOS!B:H,7,0)</f>
        <v>Día 2</v>
      </c>
      <c r="N23" s="1">
        <f>VLOOKUP(D23,HORARIOS!B:I,8,0)</f>
        <v>12</v>
      </c>
      <c r="O23" s="9">
        <f>VLOOKUP(D23,HORARIOS!B:D,3,0)</f>
        <v>0.60416666666666663</v>
      </c>
      <c r="P23" s="12" t="str">
        <f>VLOOKUP(A23,HORARIOS!A:E,5,0)</f>
        <v>16:30 hrs</v>
      </c>
    </row>
    <row r="24" spans="1:16" ht="15.75" customHeight="1" x14ac:dyDescent="0.25">
      <c r="A24" s="1" t="str">
        <f t="shared" si="0"/>
        <v>600212</v>
      </c>
      <c r="B24" s="1">
        <v>22</v>
      </c>
      <c r="C24" s="1">
        <v>12</v>
      </c>
      <c r="D24" s="1">
        <v>6002</v>
      </c>
      <c r="E24" s="1" t="s">
        <v>76</v>
      </c>
      <c r="F24" s="1" t="s">
        <v>36</v>
      </c>
      <c r="G24" s="1" t="s">
        <v>96</v>
      </c>
      <c r="H24" s="1" t="s">
        <v>62</v>
      </c>
      <c r="I24" s="1" t="s">
        <v>187</v>
      </c>
      <c r="J24" s="1" t="s">
        <v>188</v>
      </c>
      <c r="K24" s="1">
        <v>12</v>
      </c>
      <c r="M24" s="1" t="str">
        <f>VLOOKUP(D24,HORARIOS!B:H,7,0)</f>
        <v>Día 2</v>
      </c>
      <c r="N24" s="1">
        <f>VLOOKUP(D24,HORARIOS!B:I,8,0)</f>
        <v>12</v>
      </c>
      <c r="O24" s="9">
        <f>VLOOKUP(D24,HORARIOS!B:D,3,0)</f>
        <v>0.60416666666666663</v>
      </c>
      <c r="P24" s="12" t="str">
        <f>VLOOKUP(A24,HORARIOS!A:E,5,0)</f>
        <v>16:30 hrs</v>
      </c>
    </row>
    <row r="25" spans="1:16" ht="15.75" customHeight="1" x14ac:dyDescent="0.25">
      <c r="A25" s="1" t="str">
        <f t="shared" si="0"/>
        <v>600212</v>
      </c>
      <c r="B25" s="1">
        <v>23</v>
      </c>
      <c r="C25" s="1">
        <v>12</v>
      </c>
      <c r="D25" s="1">
        <v>6002</v>
      </c>
      <c r="E25" s="1" t="s">
        <v>76</v>
      </c>
      <c r="F25" s="1" t="s">
        <v>36</v>
      </c>
      <c r="G25" s="1" t="s">
        <v>98</v>
      </c>
      <c r="H25" s="1" t="s">
        <v>99</v>
      </c>
      <c r="I25" s="1" t="s">
        <v>189</v>
      </c>
      <c r="J25" s="1" t="s">
        <v>189</v>
      </c>
      <c r="K25" s="1">
        <v>12</v>
      </c>
      <c r="L25" s="1" t="s">
        <v>101</v>
      </c>
      <c r="M25" s="1" t="str">
        <f>VLOOKUP(D25,HORARIOS!B:H,7,0)</f>
        <v>Día 2</v>
      </c>
      <c r="N25" s="1">
        <f>VLOOKUP(D25,HORARIOS!B:I,8,0)</f>
        <v>12</v>
      </c>
      <c r="O25" s="9">
        <f>VLOOKUP(D25,HORARIOS!B:D,3,0)</f>
        <v>0.60416666666666663</v>
      </c>
      <c r="P25" s="12" t="str">
        <f>VLOOKUP(A25,HORARIOS!A:E,5,0)</f>
        <v>16:30 hrs</v>
      </c>
    </row>
    <row r="26" spans="1:16" ht="15.75" customHeight="1" x14ac:dyDescent="0.25">
      <c r="A26" s="1" t="str">
        <f t="shared" si="0"/>
        <v>600212</v>
      </c>
      <c r="B26" s="1">
        <v>24</v>
      </c>
      <c r="C26" s="1">
        <v>12</v>
      </c>
      <c r="D26" s="1">
        <v>6002</v>
      </c>
      <c r="E26" s="1" t="s">
        <v>76</v>
      </c>
      <c r="F26" s="1" t="s">
        <v>36</v>
      </c>
      <c r="G26" s="1" t="s">
        <v>98</v>
      </c>
      <c r="H26" s="1" t="s">
        <v>99</v>
      </c>
      <c r="I26" s="1" t="s">
        <v>190</v>
      </c>
      <c r="J26" s="1" t="s">
        <v>190</v>
      </c>
      <c r="K26" s="1">
        <v>12</v>
      </c>
      <c r="L26" s="1" t="s">
        <v>101</v>
      </c>
      <c r="M26" s="1" t="str">
        <f>VLOOKUP(D26,HORARIOS!B:H,7,0)</f>
        <v>Día 2</v>
      </c>
      <c r="N26" s="1">
        <f>VLOOKUP(D26,HORARIOS!B:I,8,0)</f>
        <v>12</v>
      </c>
      <c r="O26" s="9">
        <f>VLOOKUP(D26,HORARIOS!B:D,3,0)</f>
        <v>0.60416666666666663</v>
      </c>
      <c r="P26" s="12" t="str">
        <f>VLOOKUP(A26,HORARIOS!A:E,5,0)</f>
        <v>16:30 hrs</v>
      </c>
    </row>
    <row r="27" spans="1:16" ht="15.75" customHeight="1" x14ac:dyDescent="0.25">
      <c r="A27" s="1" t="str">
        <f t="shared" si="0"/>
        <v>600212</v>
      </c>
      <c r="B27" s="1">
        <v>25</v>
      </c>
      <c r="C27" s="1">
        <v>12</v>
      </c>
      <c r="D27" s="1">
        <v>6002</v>
      </c>
      <c r="E27" s="1" t="s">
        <v>76</v>
      </c>
      <c r="F27" s="1" t="s">
        <v>36</v>
      </c>
      <c r="G27" s="1" t="s">
        <v>114</v>
      </c>
      <c r="H27" s="1" t="s">
        <v>39</v>
      </c>
      <c r="I27" s="1" t="s">
        <v>52</v>
      </c>
      <c r="J27" s="1" t="s">
        <v>52</v>
      </c>
      <c r="K27" s="1">
        <v>2</v>
      </c>
      <c r="L27" s="1" t="s">
        <v>115</v>
      </c>
      <c r="M27" s="1" t="str">
        <f>VLOOKUP(D27,HORARIOS!B:H,7,0)</f>
        <v>Día 2</v>
      </c>
      <c r="N27" s="1">
        <f>VLOOKUP(D27,HORARIOS!B:I,8,0)</f>
        <v>12</v>
      </c>
      <c r="O27" s="9">
        <f>VLOOKUP(D27,HORARIOS!B:D,3,0)</f>
        <v>0.60416666666666663</v>
      </c>
      <c r="P27" s="12" t="str">
        <f>VLOOKUP(A27,HORARIOS!A:E,5,0)</f>
        <v>16:30 hrs</v>
      </c>
    </row>
    <row r="28" spans="1:16" ht="15.75" customHeight="1" x14ac:dyDescent="0.25">
      <c r="A28" s="1" t="str">
        <f t="shared" si="0"/>
        <v>600212</v>
      </c>
      <c r="B28" s="1">
        <v>26</v>
      </c>
      <c r="C28" s="1">
        <v>12</v>
      </c>
      <c r="D28" s="1">
        <v>6002</v>
      </c>
      <c r="E28" s="1" t="s">
        <v>76</v>
      </c>
      <c r="F28" s="1" t="s">
        <v>36</v>
      </c>
      <c r="G28" s="1" t="s">
        <v>134</v>
      </c>
      <c r="H28" s="1" t="s">
        <v>135</v>
      </c>
      <c r="I28" s="1" t="s">
        <v>191</v>
      </c>
      <c r="J28" s="1" t="s">
        <v>192</v>
      </c>
      <c r="K28" s="1">
        <v>12</v>
      </c>
      <c r="L28" s="1" t="s">
        <v>138</v>
      </c>
      <c r="M28" s="1" t="str">
        <f>VLOOKUP(D28,HORARIOS!B:H,7,0)</f>
        <v>Día 2</v>
      </c>
      <c r="N28" s="1">
        <f>VLOOKUP(D28,HORARIOS!B:I,8,0)</f>
        <v>12</v>
      </c>
      <c r="O28" s="9">
        <f>VLOOKUP(D28,HORARIOS!B:D,3,0)</f>
        <v>0.60416666666666663</v>
      </c>
      <c r="P28" s="12" t="str">
        <f>VLOOKUP(A28,HORARIOS!A:E,5,0)</f>
        <v>16:30 hrs</v>
      </c>
    </row>
    <row r="29" spans="1:16" ht="15.75" customHeight="1" x14ac:dyDescent="0.25">
      <c r="A29" s="1" t="str">
        <f t="shared" si="0"/>
        <v>600212</v>
      </c>
      <c r="B29" s="1">
        <v>27</v>
      </c>
      <c r="C29" s="1">
        <v>12</v>
      </c>
      <c r="D29" s="1">
        <v>6002</v>
      </c>
      <c r="E29" s="1" t="s">
        <v>76</v>
      </c>
      <c r="F29" s="1" t="s">
        <v>36</v>
      </c>
      <c r="G29" s="1" t="s">
        <v>145</v>
      </c>
      <c r="H29" s="1" t="s">
        <v>52</v>
      </c>
      <c r="I29" s="1" t="s">
        <v>193</v>
      </c>
      <c r="J29" s="1" t="s">
        <v>193</v>
      </c>
      <c r="K29" s="1">
        <v>12</v>
      </c>
      <c r="M29" s="1" t="str">
        <f>VLOOKUP(D29,HORARIOS!B:H,7,0)</f>
        <v>Día 2</v>
      </c>
      <c r="N29" s="1">
        <f>VLOOKUP(D29,HORARIOS!B:I,8,0)</f>
        <v>12</v>
      </c>
      <c r="O29" s="9">
        <f>VLOOKUP(D29,HORARIOS!B:D,3,0)</f>
        <v>0.60416666666666663</v>
      </c>
      <c r="P29" s="12" t="str">
        <f>VLOOKUP(A29,HORARIOS!A:E,5,0)</f>
        <v>16:30 hrs</v>
      </c>
    </row>
    <row r="30" spans="1:16" ht="15.75" customHeight="1" x14ac:dyDescent="0.25">
      <c r="A30" s="1" t="str">
        <f t="shared" si="0"/>
        <v>600212</v>
      </c>
      <c r="B30" s="1">
        <v>28</v>
      </c>
      <c r="C30" s="1">
        <v>12</v>
      </c>
      <c r="D30" s="1">
        <v>6002</v>
      </c>
      <c r="E30" s="1" t="s">
        <v>76</v>
      </c>
      <c r="F30" s="1" t="s">
        <v>36</v>
      </c>
      <c r="G30" s="1" t="s">
        <v>159</v>
      </c>
      <c r="H30" s="1" t="s">
        <v>160</v>
      </c>
      <c r="I30" s="1" t="s">
        <v>194</v>
      </c>
      <c r="J30" s="1" t="s">
        <v>194</v>
      </c>
      <c r="K30" s="1">
        <v>12</v>
      </c>
      <c r="M30" s="1" t="str">
        <f>VLOOKUP(D30,HORARIOS!B:H,7,0)</f>
        <v>Día 2</v>
      </c>
      <c r="N30" s="1">
        <f>VLOOKUP(D30,HORARIOS!B:I,8,0)</f>
        <v>12</v>
      </c>
      <c r="O30" s="9">
        <f>VLOOKUP(D30,HORARIOS!B:D,3,0)</f>
        <v>0.60416666666666663</v>
      </c>
      <c r="P30" s="12" t="str">
        <f>VLOOKUP(A30,HORARIOS!A:E,5,0)</f>
        <v>16:30 hrs</v>
      </c>
    </row>
    <row r="31" spans="1:16" ht="15.75" customHeight="1" x14ac:dyDescent="0.25">
      <c r="A31" s="1" t="str">
        <f t="shared" si="0"/>
        <v>60032</v>
      </c>
      <c r="B31" s="1">
        <v>29</v>
      </c>
      <c r="C31" s="1">
        <v>17</v>
      </c>
      <c r="D31" s="1">
        <v>6003</v>
      </c>
      <c r="E31" s="1" t="s">
        <v>38</v>
      </c>
      <c r="F31" s="1" t="s">
        <v>36</v>
      </c>
      <c r="G31" s="1" t="s">
        <v>37</v>
      </c>
      <c r="H31" s="1" t="s">
        <v>39</v>
      </c>
      <c r="I31" s="1" t="s">
        <v>195</v>
      </c>
      <c r="J31" s="1" t="s">
        <v>195</v>
      </c>
      <c r="K31" s="1">
        <v>12</v>
      </c>
      <c r="L31" s="1" t="s">
        <v>41</v>
      </c>
      <c r="M31" s="1" t="str">
        <f>VLOOKUP(D31,HORARIOS!B:H,7,0)</f>
        <v>Día 1</v>
      </c>
      <c r="N31" s="1">
        <f>VLOOKUP(D31,HORARIOS!B:I,8,0)</f>
        <v>2</v>
      </c>
      <c r="O31" s="9">
        <f>VLOOKUP(D31,HORARIOS!B:D,3,0)</f>
        <v>0.4375</v>
      </c>
      <c r="P31" s="9" t="str">
        <f>VLOOKUP(A31,HORARIOS!A:E,5,0)</f>
        <v>14:00 hrs</v>
      </c>
    </row>
    <row r="32" spans="1:16" ht="15.75" customHeight="1" x14ac:dyDescent="0.25">
      <c r="A32" s="1" t="str">
        <f t="shared" si="0"/>
        <v>60032</v>
      </c>
      <c r="B32" s="1">
        <v>30</v>
      </c>
      <c r="C32" s="1">
        <v>17</v>
      </c>
      <c r="D32" s="1">
        <v>6003</v>
      </c>
      <c r="E32" s="1" t="s">
        <v>38</v>
      </c>
      <c r="F32" s="1" t="s">
        <v>36</v>
      </c>
      <c r="G32" s="1" t="s">
        <v>51</v>
      </c>
      <c r="H32" s="1" t="s">
        <v>52</v>
      </c>
      <c r="I32" s="1" t="s">
        <v>196</v>
      </c>
      <c r="J32" s="1" t="s">
        <v>196</v>
      </c>
      <c r="K32" s="1">
        <v>12</v>
      </c>
      <c r="M32" s="1" t="str">
        <f>VLOOKUP(D32,HORARIOS!B:H,7,0)</f>
        <v>Día 1</v>
      </c>
      <c r="N32" s="1">
        <f>VLOOKUP(D32,HORARIOS!B:I,8,0)</f>
        <v>2</v>
      </c>
      <c r="O32" s="9">
        <f>VLOOKUP(D32,HORARIOS!B:D,3,0)</f>
        <v>0.4375</v>
      </c>
      <c r="P32" s="9" t="str">
        <f>VLOOKUP(A32,HORARIOS!A:E,5,0)</f>
        <v>14:00 hrs</v>
      </c>
    </row>
    <row r="33" spans="1:16" ht="15.75" customHeight="1" x14ac:dyDescent="0.25">
      <c r="A33" s="1" t="str">
        <f t="shared" si="0"/>
        <v>60032</v>
      </c>
      <c r="B33" s="1">
        <v>31</v>
      </c>
      <c r="C33" s="1">
        <v>17</v>
      </c>
      <c r="D33" s="1">
        <v>6003</v>
      </c>
      <c r="E33" s="1" t="s">
        <v>38</v>
      </c>
      <c r="F33" s="1" t="s">
        <v>36</v>
      </c>
      <c r="G33" s="1" t="s">
        <v>61</v>
      </c>
      <c r="H33" s="1" t="s">
        <v>62</v>
      </c>
      <c r="I33" s="1" t="s">
        <v>197</v>
      </c>
      <c r="J33" s="1" t="s">
        <v>197</v>
      </c>
      <c r="K33" s="1">
        <v>12</v>
      </c>
      <c r="L33" s="1" t="s">
        <v>64</v>
      </c>
      <c r="M33" s="1" t="str">
        <f>VLOOKUP(D33,HORARIOS!B:H,7,0)</f>
        <v>Día 1</v>
      </c>
      <c r="N33" s="1">
        <f>VLOOKUP(D33,HORARIOS!B:I,8,0)</f>
        <v>2</v>
      </c>
      <c r="O33" s="9">
        <f>VLOOKUP(D33,HORARIOS!B:D,3,0)</f>
        <v>0.4375</v>
      </c>
      <c r="P33" s="9" t="str">
        <f>VLOOKUP(A33,HORARIOS!A:E,5,0)</f>
        <v>14:00 hrs</v>
      </c>
    </row>
    <row r="34" spans="1:16" ht="15.75" customHeight="1" x14ac:dyDescent="0.25">
      <c r="A34" s="1" t="str">
        <f t="shared" si="0"/>
        <v>60032</v>
      </c>
      <c r="B34" s="1">
        <v>32</v>
      </c>
      <c r="C34" s="1">
        <v>17</v>
      </c>
      <c r="D34" s="1">
        <v>6003</v>
      </c>
      <c r="E34" s="1" t="s">
        <v>38</v>
      </c>
      <c r="F34" s="1" t="s">
        <v>36</v>
      </c>
      <c r="G34" s="1" t="s">
        <v>72</v>
      </c>
      <c r="H34" s="1" t="s">
        <v>73</v>
      </c>
      <c r="I34" s="1" t="s">
        <v>198</v>
      </c>
      <c r="J34" s="1" t="s">
        <v>198</v>
      </c>
      <c r="K34" s="1">
        <v>12</v>
      </c>
      <c r="M34" s="1" t="str">
        <f>VLOOKUP(D34,HORARIOS!B:H,7,0)</f>
        <v>Día 1</v>
      </c>
      <c r="N34" s="1">
        <f>VLOOKUP(D34,HORARIOS!B:I,8,0)</f>
        <v>2</v>
      </c>
      <c r="O34" s="9">
        <f>VLOOKUP(D34,HORARIOS!B:D,3,0)</f>
        <v>0.4375</v>
      </c>
      <c r="P34" s="9" t="str">
        <f>VLOOKUP(A34,HORARIOS!A:E,5,0)</f>
        <v>14:00 hrs</v>
      </c>
    </row>
    <row r="35" spans="1:16" ht="15.75" customHeight="1" x14ac:dyDescent="0.25">
      <c r="A35" s="1" t="str">
        <f t="shared" si="0"/>
        <v>60032</v>
      </c>
      <c r="B35" s="1">
        <v>33</v>
      </c>
      <c r="C35" s="1">
        <v>17</v>
      </c>
      <c r="D35" s="1">
        <v>6003</v>
      </c>
      <c r="E35" s="1" t="s">
        <v>38</v>
      </c>
      <c r="F35" s="1" t="s">
        <v>36</v>
      </c>
      <c r="G35" s="1" t="s">
        <v>88</v>
      </c>
      <c r="H35" s="1" t="s">
        <v>90</v>
      </c>
      <c r="I35" s="1" t="s">
        <v>199</v>
      </c>
      <c r="J35" s="1" t="s">
        <v>199</v>
      </c>
      <c r="K35" s="1">
        <v>12</v>
      </c>
      <c r="M35" s="1" t="str">
        <f>VLOOKUP(D35,HORARIOS!B:H,7,0)</f>
        <v>Día 1</v>
      </c>
      <c r="N35" s="1">
        <f>VLOOKUP(D35,HORARIOS!B:I,8,0)</f>
        <v>2</v>
      </c>
      <c r="O35" s="9">
        <f>VLOOKUP(D35,HORARIOS!B:D,3,0)</f>
        <v>0.4375</v>
      </c>
      <c r="P35" s="9" t="str">
        <f>VLOOKUP(A35,HORARIOS!A:E,5,0)</f>
        <v>14:00 hrs</v>
      </c>
    </row>
    <row r="36" spans="1:16" ht="15.75" customHeight="1" x14ac:dyDescent="0.25">
      <c r="A36" s="1" t="str">
        <f t="shared" si="0"/>
        <v>60032</v>
      </c>
      <c r="B36" s="1">
        <v>35</v>
      </c>
      <c r="C36" s="1">
        <v>17</v>
      </c>
      <c r="D36" s="1">
        <v>6003</v>
      </c>
      <c r="E36" s="1" t="s">
        <v>38</v>
      </c>
      <c r="F36" s="1" t="s">
        <v>36</v>
      </c>
      <c r="G36" s="1" t="s">
        <v>96</v>
      </c>
      <c r="H36" s="1" t="s">
        <v>62</v>
      </c>
      <c r="I36" s="1" t="s">
        <v>200</v>
      </c>
      <c r="J36" s="1" t="s">
        <v>200</v>
      </c>
      <c r="K36" s="1">
        <v>12</v>
      </c>
      <c r="M36" s="1" t="str">
        <f>VLOOKUP(D36,HORARIOS!B:H,7,0)</f>
        <v>Día 1</v>
      </c>
      <c r="N36" s="1">
        <f>VLOOKUP(D36,HORARIOS!B:I,8,0)</f>
        <v>2</v>
      </c>
      <c r="O36" s="9">
        <f>VLOOKUP(D36,HORARIOS!B:D,3,0)</f>
        <v>0.4375</v>
      </c>
      <c r="P36" s="9" t="str">
        <f>VLOOKUP(A36,HORARIOS!A:E,5,0)</f>
        <v>14:00 hrs</v>
      </c>
    </row>
    <row r="37" spans="1:16" ht="15.75" customHeight="1" x14ac:dyDescent="0.25">
      <c r="A37" s="1" t="str">
        <f t="shared" si="0"/>
        <v>60032</v>
      </c>
      <c r="B37" s="1">
        <v>36</v>
      </c>
      <c r="C37" s="1">
        <v>17</v>
      </c>
      <c r="D37" s="1">
        <v>6003</v>
      </c>
      <c r="E37" s="1" t="s">
        <v>38</v>
      </c>
      <c r="F37" s="1" t="s">
        <v>36</v>
      </c>
      <c r="G37" s="1" t="s">
        <v>98</v>
      </c>
      <c r="H37" s="1" t="s">
        <v>99</v>
      </c>
      <c r="I37" s="1" t="s">
        <v>201</v>
      </c>
      <c r="J37" s="1" t="s">
        <v>201</v>
      </c>
      <c r="K37" s="1">
        <v>12</v>
      </c>
      <c r="L37" s="1" t="s">
        <v>101</v>
      </c>
      <c r="M37" s="1" t="str">
        <f>VLOOKUP(D37,HORARIOS!B:H,7,0)</f>
        <v>Día 1</v>
      </c>
      <c r="N37" s="1">
        <f>VLOOKUP(D37,HORARIOS!B:I,8,0)</f>
        <v>2</v>
      </c>
      <c r="O37" s="9">
        <f>VLOOKUP(D37,HORARIOS!B:D,3,0)</f>
        <v>0.4375</v>
      </c>
      <c r="P37" s="9" t="str">
        <f>VLOOKUP(A37,HORARIOS!A:E,5,0)</f>
        <v>14:00 hrs</v>
      </c>
    </row>
    <row r="38" spans="1:16" ht="15.75" customHeight="1" x14ac:dyDescent="0.25">
      <c r="A38" s="1" t="str">
        <f t="shared" si="0"/>
        <v>60032</v>
      </c>
      <c r="B38" s="1">
        <v>37</v>
      </c>
      <c r="C38" s="1">
        <v>17</v>
      </c>
      <c r="D38" s="1">
        <v>6003</v>
      </c>
      <c r="E38" s="1" t="s">
        <v>38</v>
      </c>
      <c r="F38" s="1" t="s">
        <v>36</v>
      </c>
      <c r="G38" s="1" t="s">
        <v>98</v>
      </c>
      <c r="H38" s="1" t="s">
        <v>99</v>
      </c>
      <c r="I38" s="1" t="s">
        <v>202</v>
      </c>
      <c r="J38" s="1" t="s">
        <v>202</v>
      </c>
      <c r="K38" s="1">
        <v>12</v>
      </c>
      <c r="L38" s="1" t="s">
        <v>101</v>
      </c>
      <c r="M38" s="1" t="str">
        <f>VLOOKUP(D38,HORARIOS!B:H,7,0)</f>
        <v>Día 1</v>
      </c>
      <c r="N38" s="1">
        <f>VLOOKUP(D38,HORARIOS!B:I,8,0)</f>
        <v>2</v>
      </c>
      <c r="O38" s="9">
        <f>VLOOKUP(D38,HORARIOS!B:D,3,0)</f>
        <v>0.4375</v>
      </c>
      <c r="P38" s="9" t="str">
        <f>VLOOKUP(A38,HORARIOS!A:E,5,0)</f>
        <v>14:00 hrs</v>
      </c>
    </row>
    <row r="39" spans="1:16" ht="15.75" customHeight="1" x14ac:dyDescent="0.25">
      <c r="A39" s="1" t="str">
        <f t="shared" si="0"/>
        <v>60032</v>
      </c>
      <c r="B39" s="1">
        <v>38</v>
      </c>
      <c r="C39" s="1">
        <v>17</v>
      </c>
      <c r="D39" s="1">
        <v>6003</v>
      </c>
      <c r="E39" s="1" t="s">
        <v>38</v>
      </c>
      <c r="F39" s="1" t="s">
        <v>36</v>
      </c>
      <c r="G39" s="1" t="s">
        <v>98</v>
      </c>
      <c r="H39" s="1" t="s">
        <v>99</v>
      </c>
      <c r="I39" s="1" t="s">
        <v>203</v>
      </c>
      <c r="J39" s="1" t="s">
        <v>203</v>
      </c>
      <c r="K39" s="1">
        <v>12</v>
      </c>
      <c r="L39" s="1" t="s">
        <v>101</v>
      </c>
      <c r="M39" s="1" t="str">
        <f>VLOOKUP(D39,HORARIOS!B:H,7,0)</f>
        <v>Día 1</v>
      </c>
      <c r="N39" s="1">
        <f>VLOOKUP(D39,HORARIOS!B:I,8,0)</f>
        <v>2</v>
      </c>
      <c r="O39" s="9">
        <f>VLOOKUP(D39,HORARIOS!B:D,3,0)</f>
        <v>0.4375</v>
      </c>
      <c r="P39" s="9" t="str">
        <f>VLOOKUP(A39,HORARIOS!A:E,5,0)</f>
        <v>14:00 hrs</v>
      </c>
    </row>
    <row r="40" spans="1:16" ht="15.75" customHeight="1" x14ac:dyDescent="0.25">
      <c r="A40" s="1" t="str">
        <f t="shared" si="0"/>
        <v>60032</v>
      </c>
      <c r="B40" s="1">
        <v>40</v>
      </c>
      <c r="C40" s="1">
        <v>17</v>
      </c>
      <c r="D40" s="1">
        <v>6003</v>
      </c>
      <c r="E40" s="1" t="s">
        <v>38</v>
      </c>
      <c r="F40" s="1" t="s">
        <v>36</v>
      </c>
      <c r="G40" s="1" t="s">
        <v>98</v>
      </c>
      <c r="H40" s="1" t="s">
        <v>99</v>
      </c>
      <c r="I40" s="1" t="s">
        <v>204</v>
      </c>
      <c r="J40" s="1" t="s">
        <v>204</v>
      </c>
      <c r="K40" s="1">
        <v>12</v>
      </c>
      <c r="L40" s="1" t="s">
        <v>101</v>
      </c>
      <c r="M40" s="1" t="str">
        <f>VLOOKUP(D40,HORARIOS!B:H,7,0)</f>
        <v>Día 1</v>
      </c>
      <c r="N40" s="1">
        <f>VLOOKUP(D40,HORARIOS!B:I,8,0)</f>
        <v>2</v>
      </c>
      <c r="O40" s="9">
        <f>VLOOKUP(D40,HORARIOS!B:D,3,0)</f>
        <v>0.4375</v>
      </c>
      <c r="P40" s="9" t="str">
        <f>VLOOKUP(A40,HORARIOS!A:E,5,0)</f>
        <v>14:00 hrs</v>
      </c>
    </row>
    <row r="41" spans="1:16" ht="15.75" customHeight="1" x14ac:dyDescent="0.25">
      <c r="A41" s="1" t="str">
        <f t="shared" si="0"/>
        <v>60032</v>
      </c>
      <c r="B41" s="1">
        <v>41</v>
      </c>
      <c r="C41" s="1">
        <v>17</v>
      </c>
      <c r="D41" s="1">
        <v>6003</v>
      </c>
      <c r="E41" s="1" t="s">
        <v>38</v>
      </c>
      <c r="F41" s="1" t="s">
        <v>36</v>
      </c>
      <c r="G41" s="1" t="s">
        <v>98</v>
      </c>
      <c r="H41" s="1" t="s">
        <v>99</v>
      </c>
      <c r="I41" s="1" t="s">
        <v>205</v>
      </c>
      <c r="J41" s="1" t="s">
        <v>205</v>
      </c>
      <c r="K41" s="1">
        <v>12</v>
      </c>
      <c r="L41" s="1" t="s">
        <v>101</v>
      </c>
      <c r="M41" s="1" t="str">
        <f>VLOOKUP(D41,HORARIOS!B:H,7,0)</f>
        <v>Día 1</v>
      </c>
      <c r="N41" s="1">
        <f>VLOOKUP(D41,HORARIOS!B:I,8,0)</f>
        <v>2</v>
      </c>
      <c r="O41" s="9">
        <f>VLOOKUP(D41,HORARIOS!B:D,3,0)</f>
        <v>0.4375</v>
      </c>
      <c r="P41" s="9" t="str">
        <f>VLOOKUP(A41,HORARIOS!A:E,5,0)</f>
        <v>14:00 hrs</v>
      </c>
    </row>
    <row r="42" spans="1:16" ht="15.75" customHeight="1" x14ac:dyDescent="0.25">
      <c r="A42" s="1" t="str">
        <f t="shared" si="0"/>
        <v>60032</v>
      </c>
      <c r="B42" s="1">
        <v>42</v>
      </c>
      <c r="C42" s="1">
        <v>17</v>
      </c>
      <c r="D42" s="1">
        <v>6003</v>
      </c>
      <c r="E42" s="1" t="s">
        <v>38</v>
      </c>
      <c r="F42" s="1" t="s">
        <v>36</v>
      </c>
      <c r="G42" s="1" t="s">
        <v>98</v>
      </c>
      <c r="H42" s="1" t="s">
        <v>99</v>
      </c>
      <c r="I42" s="1" t="s">
        <v>206</v>
      </c>
      <c r="J42" s="1" t="s">
        <v>206</v>
      </c>
      <c r="K42" s="1">
        <v>12</v>
      </c>
      <c r="L42" s="1" t="s">
        <v>101</v>
      </c>
      <c r="M42" s="1" t="str">
        <f>VLOOKUP(D42,HORARIOS!B:H,7,0)</f>
        <v>Día 1</v>
      </c>
      <c r="N42" s="1">
        <f>VLOOKUP(D42,HORARIOS!B:I,8,0)</f>
        <v>2</v>
      </c>
      <c r="O42" s="9">
        <f>VLOOKUP(D42,HORARIOS!B:D,3,0)</f>
        <v>0.4375</v>
      </c>
      <c r="P42" s="9" t="str">
        <f>VLOOKUP(A42,HORARIOS!A:E,5,0)</f>
        <v>14:00 hrs</v>
      </c>
    </row>
    <row r="43" spans="1:16" ht="15.75" customHeight="1" x14ac:dyDescent="0.25">
      <c r="A43" s="1" t="str">
        <f t="shared" si="0"/>
        <v>60032</v>
      </c>
      <c r="B43" s="1">
        <v>43</v>
      </c>
      <c r="C43" s="1">
        <v>17</v>
      </c>
      <c r="D43" s="1">
        <v>6003</v>
      </c>
      <c r="E43" s="1" t="s">
        <v>38</v>
      </c>
      <c r="F43" s="1" t="s">
        <v>36</v>
      </c>
      <c r="G43" s="1" t="s">
        <v>98</v>
      </c>
      <c r="H43" s="1" t="s">
        <v>99</v>
      </c>
      <c r="I43" s="1" t="s">
        <v>207</v>
      </c>
      <c r="J43" s="1" t="s">
        <v>207</v>
      </c>
      <c r="K43" s="1">
        <v>12</v>
      </c>
      <c r="L43" s="1" t="s">
        <v>101</v>
      </c>
      <c r="M43" s="1" t="str">
        <f>VLOOKUP(D43,HORARIOS!B:H,7,0)</f>
        <v>Día 1</v>
      </c>
      <c r="N43" s="1">
        <f>VLOOKUP(D43,HORARIOS!B:I,8,0)</f>
        <v>2</v>
      </c>
      <c r="O43" s="9">
        <f>VLOOKUP(D43,HORARIOS!B:D,3,0)</f>
        <v>0.4375</v>
      </c>
      <c r="P43" s="9" t="str">
        <f>VLOOKUP(A43,HORARIOS!A:E,5,0)</f>
        <v>14:00 hrs</v>
      </c>
    </row>
    <row r="44" spans="1:16" ht="15.75" customHeight="1" x14ac:dyDescent="0.25">
      <c r="A44" s="1" t="str">
        <f t="shared" si="0"/>
        <v>60032</v>
      </c>
      <c r="B44" s="1">
        <v>44</v>
      </c>
      <c r="C44" s="1">
        <v>17</v>
      </c>
      <c r="D44" s="1">
        <v>6003</v>
      </c>
      <c r="E44" s="1" t="s">
        <v>38</v>
      </c>
      <c r="F44" s="1" t="s">
        <v>36</v>
      </c>
      <c r="G44" s="1" t="s">
        <v>114</v>
      </c>
      <c r="H44" s="1" t="s">
        <v>39</v>
      </c>
      <c r="I44" s="1" t="s">
        <v>52</v>
      </c>
      <c r="J44" s="1" t="s">
        <v>52</v>
      </c>
      <c r="K44" s="1">
        <v>2</v>
      </c>
      <c r="L44" s="1" t="s">
        <v>115</v>
      </c>
      <c r="M44" s="1" t="str">
        <f>VLOOKUP(D44,HORARIOS!B:H,7,0)</f>
        <v>Día 1</v>
      </c>
      <c r="N44" s="1">
        <f>VLOOKUP(D44,HORARIOS!B:I,8,0)</f>
        <v>2</v>
      </c>
      <c r="O44" s="9">
        <f>VLOOKUP(D44,HORARIOS!B:D,3,0)</f>
        <v>0.4375</v>
      </c>
      <c r="P44" s="9" t="str">
        <f>VLOOKUP(A44,HORARIOS!A:E,5,0)</f>
        <v>14:00 hrs</v>
      </c>
    </row>
    <row r="45" spans="1:16" ht="15.75" customHeight="1" x14ac:dyDescent="0.25">
      <c r="A45" s="1" t="str">
        <f t="shared" si="0"/>
        <v>60032</v>
      </c>
      <c r="B45" s="1">
        <v>45</v>
      </c>
      <c r="C45" s="1">
        <v>17</v>
      </c>
      <c r="D45" s="1">
        <v>6003</v>
      </c>
      <c r="E45" s="1" t="s">
        <v>38</v>
      </c>
      <c r="F45" s="1" t="s">
        <v>36</v>
      </c>
      <c r="G45" s="1" t="s">
        <v>134</v>
      </c>
      <c r="H45" s="1" t="s">
        <v>135</v>
      </c>
      <c r="I45" s="1" t="s">
        <v>208</v>
      </c>
      <c r="J45" s="1" t="s">
        <v>209</v>
      </c>
      <c r="K45" s="1">
        <v>12</v>
      </c>
      <c r="L45" s="1" t="s">
        <v>138</v>
      </c>
      <c r="M45" s="1" t="str">
        <f>VLOOKUP(D45,HORARIOS!B:H,7,0)</f>
        <v>Día 1</v>
      </c>
      <c r="N45" s="1">
        <f>VLOOKUP(D45,HORARIOS!B:I,8,0)</f>
        <v>2</v>
      </c>
      <c r="O45" s="9">
        <f>VLOOKUP(D45,HORARIOS!B:D,3,0)</f>
        <v>0.4375</v>
      </c>
      <c r="P45" s="9" t="str">
        <f>VLOOKUP(A45,HORARIOS!A:E,5,0)</f>
        <v>14:00 hrs</v>
      </c>
    </row>
    <row r="46" spans="1:16" ht="15.75" customHeight="1" x14ac:dyDescent="0.25">
      <c r="A46" s="1" t="str">
        <f t="shared" si="0"/>
        <v>60032</v>
      </c>
      <c r="B46" s="1">
        <v>46</v>
      </c>
      <c r="C46" s="1">
        <v>17</v>
      </c>
      <c r="D46" s="1">
        <v>6003</v>
      </c>
      <c r="E46" s="1" t="s">
        <v>38</v>
      </c>
      <c r="F46" s="1" t="s">
        <v>36</v>
      </c>
      <c r="G46" s="1" t="s">
        <v>145</v>
      </c>
      <c r="H46" s="1" t="s">
        <v>52</v>
      </c>
      <c r="I46" s="1" t="s">
        <v>210</v>
      </c>
      <c r="J46" s="1" t="s">
        <v>210</v>
      </c>
      <c r="K46" s="1">
        <v>12</v>
      </c>
      <c r="M46" s="1" t="str">
        <f>VLOOKUP(D46,HORARIOS!B:H,7,0)</f>
        <v>Día 1</v>
      </c>
      <c r="N46" s="1">
        <f>VLOOKUP(D46,HORARIOS!B:I,8,0)</f>
        <v>2</v>
      </c>
      <c r="O46" s="9">
        <f>VLOOKUP(D46,HORARIOS!B:D,3,0)</f>
        <v>0.4375</v>
      </c>
      <c r="P46" s="9" t="str">
        <f>VLOOKUP(A46,HORARIOS!A:E,5,0)</f>
        <v>14:00 hrs</v>
      </c>
    </row>
    <row r="47" spans="1:16" ht="15.75" customHeight="1" x14ac:dyDescent="0.25">
      <c r="A47" s="1" t="str">
        <f t="shared" si="0"/>
        <v>60032</v>
      </c>
      <c r="B47" s="1">
        <v>48</v>
      </c>
      <c r="C47" s="1">
        <v>17</v>
      </c>
      <c r="D47" s="1">
        <v>6003</v>
      </c>
      <c r="E47" s="1" t="s">
        <v>38</v>
      </c>
      <c r="F47" s="1" t="s">
        <v>36</v>
      </c>
      <c r="G47" s="1" t="s">
        <v>159</v>
      </c>
      <c r="H47" s="1" t="s">
        <v>160</v>
      </c>
      <c r="I47" s="1" t="s">
        <v>211</v>
      </c>
      <c r="J47" s="1" t="s">
        <v>211</v>
      </c>
      <c r="K47" s="1">
        <v>12</v>
      </c>
      <c r="M47" s="1" t="str">
        <f>VLOOKUP(D47,HORARIOS!B:H,7,0)</f>
        <v>Día 1</v>
      </c>
      <c r="N47" s="1">
        <f>VLOOKUP(D47,HORARIOS!B:I,8,0)</f>
        <v>2</v>
      </c>
      <c r="O47" s="9">
        <f>VLOOKUP(D47,HORARIOS!B:D,3,0)</f>
        <v>0.4375</v>
      </c>
      <c r="P47" s="9" t="str">
        <f>VLOOKUP(A47,HORARIOS!A:E,5,0)</f>
        <v>14:00 hrs</v>
      </c>
    </row>
    <row r="48" spans="1:16" ht="15.75" customHeight="1" x14ac:dyDescent="0.25">
      <c r="A48" s="1" t="str">
        <f t="shared" si="0"/>
        <v>600424</v>
      </c>
      <c r="B48" s="1">
        <v>49</v>
      </c>
      <c r="C48" s="1">
        <v>12</v>
      </c>
      <c r="D48" s="1">
        <v>6004</v>
      </c>
      <c r="E48" s="1" t="s">
        <v>42</v>
      </c>
      <c r="F48" s="1" t="s">
        <v>36</v>
      </c>
      <c r="G48" s="1" t="s">
        <v>37</v>
      </c>
      <c r="H48" s="1" t="s">
        <v>39</v>
      </c>
      <c r="I48" s="1" t="s">
        <v>212</v>
      </c>
      <c r="J48" s="1" t="s">
        <v>212</v>
      </c>
      <c r="K48" s="1">
        <v>12</v>
      </c>
      <c r="L48" s="1" t="s">
        <v>41</v>
      </c>
      <c r="M48" s="1" t="str">
        <f>VLOOKUP(D48,HORARIOS!B:H,7,0)</f>
        <v>Día 4</v>
      </c>
      <c r="N48" s="1">
        <f>VLOOKUP(D48,HORARIOS!B:I,8,0)</f>
        <v>24</v>
      </c>
      <c r="O48" s="9">
        <f>VLOOKUP(D48,HORARIOS!B:D,3,0)</f>
        <v>0.58333333333333337</v>
      </c>
      <c r="P48" s="9" t="str">
        <f>VLOOKUP(A48,HORARIOS!A:E,5,0)</f>
        <v>17:00 hrs</v>
      </c>
    </row>
    <row r="49" spans="1:16" ht="15.75" customHeight="1" x14ac:dyDescent="0.25">
      <c r="A49" s="1" t="str">
        <f t="shared" si="0"/>
        <v>600424</v>
      </c>
      <c r="B49" s="1">
        <v>50</v>
      </c>
      <c r="C49" s="1">
        <v>12</v>
      </c>
      <c r="D49" s="1">
        <v>6004</v>
      </c>
      <c r="E49" s="1" t="s">
        <v>42</v>
      </c>
      <c r="F49" s="1" t="s">
        <v>36</v>
      </c>
      <c r="G49" s="1" t="s">
        <v>51</v>
      </c>
      <c r="H49" s="1" t="s">
        <v>52</v>
      </c>
      <c r="I49" s="1" t="s">
        <v>213</v>
      </c>
      <c r="J49" s="1" t="s">
        <v>213</v>
      </c>
      <c r="K49" s="1">
        <v>12</v>
      </c>
      <c r="M49" s="1" t="str">
        <f>VLOOKUP(D49,HORARIOS!B:H,7,0)</f>
        <v>Día 4</v>
      </c>
      <c r="N49" s="1">
        <f>VLOOKUP(D49,HORARIOS!B:I,8,0)</f>
        <v>24</v>
      </c>
      <c r="O49" s="9">
        <f>VLOOKUP(D49,HORARIOS!B:D,3,0)</f>
        <v>0.58333333333333337</v>
      </c>
      <c r="P49" s="9" t="str">
        <f>VLOOKUP(A49,HORARIOS!A:E,5,0)</f>
        <v>17:00 hrs</v>
      </c>
    </row>
    <row r="50" spans="1:16" ht="15.75" customHeight="1" x14ac:dyDescent="0.25">
      <c r="A50" s="1" t="str">
        <f t="shared" si="0"/>
        <v>600424</v>
      </c>
      <c r="B50" s="1">
        <v>51</v>
      </c>
      <c r="C50" s="1">
        <v>12</v>
      </c>
      <c r="D50" s="1">
        <v>6004</v>
      </c>
      <c r="E50" s="1" t="s">
        <v>42</v>
      </c>
      <c r="F50" s="1" t="s">
        <v>36</v>
      </c>
      <c r="G50" s="1" t="s">
        <v>61</v>
      </c>
      <c r="H50" s="1" t="s">
        <v>62</v>
      </c>
      <c r="I50" s="1" t="s">
        <v>214</v>
      </c>
      <c r="J50" s="1" t="s">
        <v>215</v>
      </c>
      <c r="K50" s="1">
        <v>12</v>
      </c>
      <c r="L50" s="1" t="s">
        <v>64</v>
      </c>
      <c r="M50" s="1" t="str">
        <f>VLOOKUP(D50,HORARIOS!B:H,7,0)</f>
        <v>Día 4</v>
      </c>
      <c r="N50" s="1">
        <f>VLOOKUP(D50,HORARIOS!B:I,8,0)</f>
        <v>24</v>
      </c>
      <c r="O50" s="9">
        <f>VLOOKUP(D50,HORARIOS!B:D,3,0)</f>
        <v>0.58333333333333337</v>
      </c>
      <c r="P50" s="9" t="str">
        <f>VLOOKUP(A50,HORARIOS!A:E,5,0)</f>
        <v>17:00 hrs</v>
      </c>
    </row>
    <row r="51" spans="1:16" ht="15.75" customHeight="1" x14ac:dyDescent="0.25">
      <c r="A51" s="1" t="str">
        <f t="shared" si="0"/>
        <v>600424</v>
      </c>
      <c r="B51" s="1">
        <v>52</v>
      </c>
      <c r="C51" s="1">
        <v>12</v>
      </c>
      <c r="D51" s="1">
        <v>6004</v>
      </c>
      <c r="E51" s="1" t="s">
        <v>42</v>
      </c>
      <c r="F51" s="1" t="s">
        <v>36</v>
      </c>
      <c r="G51" s="1" t="s">
        <v>72</v>
      </c>
      <c r="H51" s="1" t="s">
        <v>73</v>
      </c>
      <c r="I51" s="1" t="s">
        <v>216</v>
      </c>
      <c r="J51" s="1" t="s">
        <v>216</v>
      </c>
      <c r="K51" s="1">
        <v>12</v>
      </c>
      <c r="M51" s="1" t="str">
        <f>VLOOKUP(D51,HORARIOS!B:H,7,0)</f>
        <v>Día 4</v>
      </c>
      <c r="N51" s="1">
        <f>VLOOKUP(D51,HORARIOS!B:I,8,0)</f>
        <v>24</v>
      </c>
      <c r="O51" s="9">
        <f>VLOOKUP(D51,HORARIOS!B:D,3,0)</f>
        <v>0.58333333333333337</v>
      </c>
      <c r="P51" s="9" t="str">
        <f>VLOOKUP(A51,HORARIOS!A:E,5,0)</f>
        <v>17:00 hrs</v>
      </c>
    </row>
    <row r="52" spans="1:16" ht="15.75" customHeight="1" x14ac:dyDescent="0.25">
      <c r="A52" s="1" t="str">
        <f t="shared" si="0"/>
        <v>600424</v>
      </c>
      <c r="B52" s="1">
        <v>53</v>
      </c>
      <c r="C52" s="1">
        <v>12</v>
      </c>
      <c r="D52" s="1">
        <v>6004</v>
      </c>
      <c r="E52" s="1" t="s">
        <v>42</v>
      </c>
      <c r="F52" s="1" t="s">
        <v>36</v>
      </c>
      <c r="G52" s="1" t="s">
        <v>88</v>
      </c>
      <c r="H52" s="1" t="s">
        <v>90</v>
      </c>
      <c r="I52" s="1" t="s">
        <v>217</v>
      </c>
      <c r="J52" s="1" t="s">
        <v>217</v>
      </c>
      <c r="K52" s="1">
        <v>12</v>
      </c>
      <c r="M52" s="1" t="str">
        <f>VLOOKUP(D52,HORARIOS!B:H,7,0)</f>
        <v>Día 4</v>
      </c>
      <c r="N52" s="1">
        <f>VLOOKUP(D52,HORARIOS!B:I,8,0)</f>
        <v>24</v>
      </c>
      <c r="O52" s="9">
        <f>VLOOKUP(D52,HORARIOS!B:D,3,0)</f>
        <v>0.58333333333333337</v>
      </c>
      <c r="P52" s="9" t="str">
        <f>VLOOKUP(A52,HORARIOS!A:E,5,0)</f>
        <v>17:00 hrs</v>
      </c>
    </row>
    <row r="53" spans="1:16" ht="15.75" customHeight="1" x14ac:dyDescent="0.25">
      <c r="A53" s="1" t="str">
        <f t="shared" si="0"/>
        <v>600424</v>
      </c>
      <c r="B53" s="1">
        <v>54</v>
      </c>
      <c r="C53" s="1">
        <v>12</v>
      </c>
      <c r="D53" s="1">
        <v>6004</v>
      </c>
      <c r="E53" s="1" t="s">
        <v>42</v>
      </c>
      <c r="F53" s="1" t="s">
        <v>36</v>
      </c>
      <c r="G53" s="1" t="s">
        <v>96</v>
      </c>
      <c r="H53" s="1" t="s">
        <v>62</v>
      </c>
      <c r="I53" s="1" t="s">
        <v>218</v>
      </c>
      <c r="J53" s="1" t="s">
        <v>219</v>
      </c>
      <c r="K53" s="1">
        <v>12</v>
      </c>
      <c r="M53" s="1" t="str">
        <f>VLOOKUP(D53,HORARIOS!B:H,7,0)</f>
        <v>Día 4</v>
      </c>
      <c r="N53" s="1">
        <f>VLOOKUP(D53,HORARIOS!B:I,8,0)</f>
        <v>24</v>
      </c>
      <c r="O53" s="9">
        <f>VLOOKUP(D53,HORARIOS!B:D,3,0)</f>
        <v>0.58333333333333337</v>
      </c>
      <c r="P53" s="9" t="str">
        <f>VLOOKUP(A53,HORARIOS!A:E,5,0)</f>
        <v>17:00 hrs</v>
      </c>
    </row>
    <row r="54" spans="1:16" ht="15.75" customHeight="1" x14ac:dyDescent="0.25">
      <c r="A54" s="1" t="str">
        <f t="shared" si="0"/>
        <v>600424</v>
      </c>
      <c r="B54" s="1">
        <v>55</v>
      </c>
      <c r="C54" s="1">
        <v>12</v>
      </c>
      <c r="D54" s="1">
        <v>6004</v>
      </c>
      <c r="E54" s="1" t="s">
        <v>42</v>
      </c>
      <c r="F54" s="1" t="s">
        <v>36</v>
      </c>
      <c r="G54" s="1" t="s">
        <v>98</v>
      </c>
      <c r="H54" s="1" t="s">
        <v>99</v>
      </c>
      <c r="I54" s="1" t="s">
        <v>220</v>
      </c>
      <c r="J54" s="1" t="s">
        <v>220</v>
      </c>
      <c r="K54" s="1">
        <v>12</v>
      </c>
      <c r="L54" s="1" t="s">
        <v>101</v>
      </c>
      <c r="M54" s="1" t="str">
        <f>VLOOKUP(D54,HORARIOS!B:H,7,0)</f>
        <v>Día 4</v>
      </c>
      <c r="N54" s="1">
        <f>VLOOKUP(D54,HORARIOS!B:I,8,0)</f>
        <v>24</v>
      </c>
      <c r="O54" s="9">
        <f>VLOOKUP(D54,HORARIOS!B:D,3,0)</f>
        <v>0.58333333333333337</v>
      </c>
      <c r="P54" s="9" t="str">
        <f>VLOOKUP(A54,HORARIOS!A:E,5,0)</f>
        <v>17:00 hrs</v>
      </c>
    </row>
    <row r="55" spans="1:16" ht="15.75" customHeight="1" x14ac:dyDescent="0.25">
      <c r="A55" s="1" t="str">
        <f t="shared" si="0"/>
        <v>600424</v>
      </c>
      <c r="B55" s="1">
        <v>57</v>
      </c>
      <c r="C55" s="1">
        <v>12</v>
      </c>
      <c r="D55" s="1">
        <v>6004</v>
      </c>
      <c r="E55" s="1" t="s">
        <v>42</v>
      </c>
      <c r="F55" s="1" t="s">
        <v>36</v>
      </c>
      <c r="G55" s="1" t="s">
        <v>98</v>
      </c>
      <c r="H55" s="1" t="s">
        <v>99</v>
      </c>
      <c r="I55" s="1" t="s">
        <v>221</v>
      </c>
      <c r="J55" s="1" t="s">
        <v>221</v>
      </c>
      <c r="K55" s="1">
        <v>12</v>
      </c>
      <c r="L55" s="1" t="s">
        <v>101</v>
      </c>
      <c r="M55" s="1" t="str">
        <f>VLOOKUP(D55,HORARIOS!B:H,7,0)</f>
        <v>Día 4</v>
      </c>
      <c r="N55" s="1">
        <f>VLOOKUP(D55,HORARIOS!B:I,8,0)</f>
        <v>24</v>
      </c>
      <c r="O55" s="9">
        <f>VLOOKUP(D55,HORARIOS!B:D,3,0)</f>
        <v>0.58333333333333337</v>
      </c>
      <c r="P55" s="9" t="str">
        <f>VLOOKUP(A55,HORARIOS!A:E,5,0)</f>
        <v>17:00 hrs</v>
      </c>
    </row>
    <row r="56" spans="1:16" ht="15.75" customHeight="1" x14ac:dyDescent="0.25">
      <c r="A56" s="1" t="str">
        <f t="shared" si="0"/>
        <v>600424</v>
      </c>
      <c r="B56" s="1">
        <v>58</v>
      </c>
      <c r="C56" s="1">
        <v>12</v>
      </c>
      <c r="D56" s="1">
        <v>6004</v>
      </c>
      <c r="E56" s="1" t="s">
        <v>42</v>
      </c>
      <c r="F56" s="1" t="s">
        <v>36</v>
      </c>
      <c r="G56" s="1" t="s">
        <v>114</v>
      </c>
      <c r="H56" s="1" t="s">
        <v>39</v>
      </c>
      <c r="I56" s="1" t="s">
        <v>52</v>
      </c>
      <c r="J56" s="1" t="s">
        <v>52</v>
      </c>
      <c r="K56" s="1">
        <v>2</v>
      </c>
      <c r="L56" s="1" t="s">
        <v>115</v>
      </c>
      <c r="M56" s="1" t="str">
        <f>VLOOKUP(D56,HORARIOS!B:H,7,0)</f>
        <v>Día 4</v>
      </c>
      <c r="N56" s="1">
        <f>VLOOKUP(D56,HORARIOS!B:I,8,0)</f>
        <v>24</v>
      </c>
      <c r="O56" s="9">
        <f>VLOOKUP(D56,HORARIOS!B:D,3,0)</f>
        <v>0.58333333333333337</v>
      </c>
      <c r="P56" s="9" t="str">
        <f>VLOOKUP(A56,HORARIOS!A:E,5,0)</f>
        <v>17:00 hrs</v>
      </c>
    </row>
    <row r="57" spans="1:16" ht="15.75" customHeight="1" x14ac:dyDescent="0.25">
      <c r="A57" s="1" t="str">
        <f t="shared" si="0"/>
        <v>600424</v>
      </c>
      <c r="B57" s="1">
        <v>59</v>
      </c>
      <c r="C57" s="1">
        <v>12</v>
      </c>
      <c r="D57" s="1">
        <v>6004</v>
      </c>
      <c r="E57" s="1" t="s">
        <v>42</v>
      </c>
      <c r="F57" s="1" t="s">
        <v>36</v>
      </c>
      <c r="G57" s="1" t="s">
        <v>134</v>
      </c>
      <c r="H57" s="1" t="s">
        <v>135</v>
      </c>
      <c r="I57" s="1" t="s">
        <v>222</v>
      </c>
      <c r="J57" s="1" t="s">
        <v>222</v>
      </c>
      <c r="K57" s="1">
        <v>12</v>
      </c>
      <c r="L57" s="1" t="s">
        <v>223</v>
      </c>
      <c r="M57" s="1" t="str">
        <f>VLOOKUP(D57,HORARIOS!B:H,7,0)</f>
        <v>Día 4</v>
      </c>
      <c r="N57" s="1">
        <f>VLOOKUP(D57,HORARIOS!B:I,8,0)</f>
        <v>24</v>
      </c>
      <c r="O57" s="9">
        <f>VLOOKUP(D57,HORARIOS!B:D,3,0)</f>
        <v>0.58333333333333337</v>
      </c>
      <c r="P57" s="9" t="str">
        <f>VLOOKUP(A57,HORARIOS!A:E,5,0)</f>
        <v>17:00 hrs</v>
      </c>
    </row>
    <row r="58" spans="1:16" ht="15.75" customHeight="1" x14ac:dyDescent="0.25">
      <c r="A58" s="1" t="str">
        <f t="shared" si="0"/>
        <v>600424</v>
      </c>
      <c r="B58" s="1">
        <v>60</v>
      </c>
      <c r="C58" s="1">
        <v>12</v>
      </c>
      <c r="D58" s="1">
        <v>6004</v>
      </c>
      <c r="E58" s="1" t="s">
        <v>42</v>
      </c>
      <c r="F58" s="1" t="s">
        <v>36</v>
      </c>
      <c r="G58" s="1" t="s">
        <v>145</v>
      </c>
      <c r="H58" s="1" t="s">
        <v>52</v>
      </c>
      <c r="I58" s="1" t="s">
        <v>224</v>
      </c>
      <c r="J58" s="1" t="s">
        <v>224</v>
      </c>
      <c r="K58" s="1">
        <v>12</v>
      </c>
      <c r="M58" s="1" t="str">
        <f>VLOOKUP(D58,HORARIOS!B:H,7,0)</f>
        <v>Día 4</v>
      </c>
      <c r="N58" s="1">
        <f>VLOOKUP(D58,HORARIOS!B:I,8,0)</f>
        <v>24</v>
      </c>
      <c r="O58" s="9">
        <f>VLOOKUP(D58,HORARIOS!B:D,3,0)</f>
        <v>0.58333333333333337</v>
      </c>
      <c r="P58" s="9" t="str">
        <f>VLOOKUP(A58,HORARIOS!A:E,5,0)</f>
        <v>17:00 hrs</v>
      </c>
    </row>
    <row r="59" spans="1:16" ht="15.75" customHeight="1" x14ac:dyDescent="0.25">
      <c r="A59" s="1" t="str">
        <f t="shared" si="0"/>
        <v>600424</v>
      </c>
      <c r="B59" s="1">
        <v>61</v>
      </c>
      <c r="C59" s="1">
        <v>12</v>
      </c>
      <c r="D59" s="1">
        <v>6004</v>
      </c>
      <c r="E59" s="1" t="s">
        <v>42</v>
      </c>
      <c r="F59" s="1" t="s">
        <v>36</v>
      </c>
      <c r="G59" s="1" t="s">
        <v>159</v>
      </c>
      <c r="H59" s="1" t="s">
        <v>160</v>
      </c>
      <c r="I59" s="1" t="s">
        <v>225</v>
      </c>
      <c r="J59" s="1" t="s">
        <v>225</v>
      </c>
      <c r="K59" s="1">
        <v>12</v>
      </c>
      <c r="M59" s="1" t="str">
        <f>VLOOKUP(D59,HORARIOS!B:H,7,0)</f>
        <v>Día 4</v>
      </c>
      <c r="N59" s="1">
        <f>VLOOKUP(D59,HORARIOS!B:I,8,0)</f>
        <v>24</v>
      </c>
      <c r="O59" s="9">
        <f>VLOOKUP(D59,HORARIOS!B:D,3,0)</f>
        <v>0.58333333333333337</v>
      </c>
      <c r="P59" s="9" t="str">
        <f>VLOOKUP(A59,HORARIOS!A:E,5,0)</f>
        <v>17:00 hrs</v>
      </c>
    </row>
    <row r="60" spans="1:16" ht="15.75" customHeight="1" x14ac:dyDescent="0.25">
      <c r="A60" s="1" t="str">
        <f t="shared" si="0"/>
        <v>60053</v>
      </c>
      <c r="B60" s="1">
        <v>62</v>
      </c>
      <c r="C60" s="1">
        <v>13</v>
      </c>
      <c r="D60" s="1">
        <v>6005</v>
      </c>
      <c r="E60" s="1" t="s">
        <v>43</v>
      </c>
      <c r="F60" s="1" t="s">
        <v>36</v>
      </c>
      <c r="G60" s="1" t="s">
        <v>37</v>
      </c>
      <c r="H60" s="1" t="s">
        <v>39</v>
      </c>
      <c r="I60" s="1" t="s">
        <v>226</v>
      </c>
      <c r="J60" s="1" t="s">
        <v>226</v>
      </c>
      <c r="K60" s="1">
        <v>12</v>
      </c>
      <c r="L60" s="1" t="s">
        <v>41</v>
      </c>
      <c r="M60" s="1" t="str">
        <f>VLOOKUP(D60,HORARIOS!B:H,7,0)</f>
        <v>Día 1</v>
      </c>
      <c r="N60" s="1">
        <f>VLOOKUP(D60,HORARIOS!B:I,8,0)</f>
        <v>3</v>
      </c>
      <c r="O60" s="9">
        <f>VLOOKUP(D60,HORARIOS!B:D,3,0)</f>
        <v>0.47916666666666669</v>
      </c>
      <c r="P60" s="9" t="str">
        <f>VLOOKUP(A60,HORARIOS!A:E,5,0)</f>
        <v>15:00 hrs</v>
      </c>
    </row>
    <row r="61" spans="1:16" ht="15.75" customHeight="1" x14ac:dyDescent="0.25">
      <c r="A61" s="1" t="str">
        <f t="shared" si="0"/>
        <v>60053</v>
      </c>
      <c r="B61" s="1">
        <v>63</v>
      </c>
      <c r="C61" s="1">
        <v>13</v>
      </c>
      <c r="D61" s="1">
        <v>6005</v>
      </c>
      <c r="E61" s="1" t="s">
        <v>43</v>
      </c>
      <c r="F61" s="1" t="s">
        <v>36</v>
      </c>
      <c r="G61" s="1" t="s">
        <v>51</v>
      </c>
      <c r="H61" s="1" t="s">
        <v>52</v>
      </c>
      <c r="I61" s="1" t="s">
        <v>227</v>
      </c>
      <c r="J61" s="1" t="s">
        <v>227</v>
      </c>
      <c r="K61" s="1">
        <v>12</v>
      </c>
      <c r="M61" s="1" t="str">
        <f>VLOOKUP(D61,HORARIOS!B:H,7,0)</f>
        <v>Día 1</v>
      </c>
      <c r="N61" s="1">
        <f>VLOOKUP(D61,HORARIOS!B:I,8,0)</f>
        <v>3</v>
      </c>
      <c r="O61" s="9">
        <f>VLOOKUP(D61,HORARIOS!B:D,3,0)</f>
        <v>0.47916666666666669</v>
      </c>
      <c r="P61" s="9" t="str">
        <f>VLOOKUP(A61,HORARIOS!A:E,5,0)</f>
        <v>15:00 hrs</v>
      </c>
    </row>
    <row r="62" spans="1:16" ht="15.75" customHeight="1" x14ac:dyDescent="0.25">
      <c r="A62" s="1" t="str">
        <f t="shared" si="0"/>
        <v>60053</v>
      </c>
      <c r="B62" s="1">
        <v>65</v>
      </c>
      <c r="C62" s="1">
        <v>13</v>
      </c>
      <c r="D62" s="1">
        <v>6005</v>
      </c>
      <c r="E62" s="1" t="s">
        <v>43</v>
      </c>
      <c r="F62" s="1" t="s">
        <v>36</v>
      </c>
      <c r="G62" s="1" t="s">
        <v>61</v>
      </c>
      <c r="H62" s="1" t="s">
        <v>62</v>
      </c>
      <c r="I62" s="1" t="s">
        <v>228</v>
      </c>
      <c r="J62" s="1" t="s">
        <v>229</v>
      </c>
      <c r="K62" s="1">
        <v>12</v>
      </c>
      <c r="L62" s="1" t="s">
        <v>64</v>
      </c>
      <c r="M62" s="1" t="str">
        <f>VLOOKUP(D62,HORARIOS!B:H,7,0)</f>
        <v>Día 1</v>
      </c>
      <c r="N62" s="1">
        <f>VLOOKUP(D62,HORARIOS!B:I,8,0)</f>
        <v>3</v>
      </c>
      <c r="O62" s="9">
        <f>VLOOKUP(D62,HORARIOS!B:D,3,0)</f>
        <v>0.47916666666666669</v>
      </c>
      <c r="P62" s="9" t="str">
        <f>VLOOKUP(A62,HORARIOS!A:E,5,0)</f>
        <v>15:00 hrs</v>
      </c>
    </row>
    <row r="63" spans="1:16" ht="15.75" customHeight="1" x14ac:dyDescent="0.25">
      <c r="A63" s="1" t="str">
        <f t="shared" si="0"/>
        <v>60053</v>
      </c>
      <c r="B63" s="1">
        <v>66</v>
      </c>
      <c r="C63" s="1">
        <v>13</v>
      </c>
      <c r="D63" s="1">
        <v>6005</v>
      </c>
      <c r="E63" s="1" t="s">
        <v>43</v>
      </c>
      <c r="F63" s="1" t="s">
        <v>36</v>
      </c>
      <c r="G63" s="1" t="s">
        <v>72</v>
      </c>
      <c r="H63" s="1" t="s">
        <v>73</v>
      </c>
      <c r="I63" s="1" t="s">
        <v>230</v>
      </c>
      <c r="J63" s="1" t="s">
        <v>230</v>
      </c>
      <c r="K63" s="1">
        <v>12</v>
      </c>
      <c r="M63" s="1" t="str">
        <f>VLOOKUP(D63,HORARIOS!B:H,7,0)</f>
        <v>Día 1</v>
      </c>
      <c r="N63" s="1">
        <f>VLOOKUP(D63,HORARIOS!B:I,8,0)</f>
        <v>3</v>
      </c>
      <c r="O63" s="9">
        <f>VLOOKUP(D63,HORARIOS!B:D,3,0)</f>
        <v>0.47916666666666669</v>
      </c>
      <c r="P63" s="9" t="str">
        <f>VLOOKUP(A63,HORARIOS!A:E,5,0)</f>
        <v>15:00 hrs</v>
      </c>
    </row>
    <row r="64" spans="1:16" ht="15.75" customHeight="1" x14ac:dyDescent="0.25">
      <c r="A64" s="1" t="str">
        <f t="shared" si="0"/>
        <v>60053</v>
      </c>
      <c r="B64" s="1">
        <v>67</v>
      </c>
      <c r="C64" s="1">
        <v>13</v>
      </c>
      <c r="D64" s="1">
        <v>6005</v>
      </c>
      <c r="E64" s="1" t="s">
        <v>43</v>
      </c>
      <c r="F64" s="1" t="s">
        <v>36</v>
      </c>
      <c r="G64" s="1" t="s">
        <v>88</v>
      </c>
      <c r="H64" s="1" t="s">
        <v>90</v>
      </c>
      <c r="I64" s="1" t="s">
        <v>231</v>
      </c>
      <c r="J64" s="1" t="s">
        <v>231</v>
      </c>
      <c r="K64" s="1">
        <v>12</v>
      </c>
      <c r="M64" s="1" t="str">
        <f>VLOOKUP(D64,HORARIOS!B:H,7,0)</f>
        <v>Día 1</v>
      </c>
      <c r="N64" s="1">
        <f>VLOOKUP(D64,HORARIOS!B:I,8,0)</f>
        <v>3</v>
      </c>
      <c r="O64" s="9">
        <f>VLOOKUP(D64,HORARIOS!B:D,3,0)</f>
        <v>0.47916666666666669</v>
      </c>
      <c r="P64" s="9" t="str">
        <f>VLOOKUP(A64,HORARIOS!A:E,5,0)</f>
        <v>15:00 hrs</v>
      </c>
    </row>
    <row r="65" spans="1:16" ht="15.75" customHeight="1" x14ac:dyDescent="0.25">
      <c r="A65" s="1" t="str">
        <f t="shared" si="0"/>
        <v>60053</v>
      </c>
      <c r="B65" s="1">
        <v>68</v>
      </c>
      <c r="C65" s="1">
        <v>13</v>
      </c>
      <c r="D65" s="1">
        <v>6005</v>
      </c>
      <c r="E65" s="1" t="s">
        <v>43</v>
      </c>
      <c r="F65" s="1" t="s">
        <v>36</v>
      </c>
      <c r="G65" s="1" t="s">
        <v>96</v>
      </c>
      <c r="H65" s="1" t="s">
        <v>62</v>
      </c>
      <c r="I65" s="1" t="s">
        <v>232</v>
      </c>
      <c r="J65" s="1" t="s">
        <v>233</v>
      </c>
      <c r="K65" s="1">
        <v>12</v>
      </c>
      <c r="M65" s="1" t="str">
        <f>VLOOKUP(D65,HORARIOS!B:H,7,0)</f>
        <v>Día 1</v>
      </c>
      <c r="N65" s="1">
        <f>VLOOKUP(D65,HORARIOS!B:I,8,0)</f>
        <v>3</v>
      </c>
      <c r="O65" s="9">
        <f>VLOOKUP(D65,HORARIOS!B:D,3,0)</f>
        <v>0.47916666666666669</v>
      </c>
      <c r="P65" s="9" t="str">
        <f>VLOOKUP(A65,HORARIOS!A:E,5,0)</f>
        <v>15:00 hrs</v>
      </c>
    </row>
    <row r="66" spans="1:16" ht="15.75" customHeight="1" x14ac:dyDescent="0.25">
      <c r="A66" s="1" t="str">
        <f t="shared" si="0"/>
        <v>60053</v>
      </c>
      <c r="B66" s="1">
        <v>69</v>
      </c>
      <c r="C66" s="1">
        <v>13</v>
      </c>
      <c r="D66" s="1">
        <v>6005</v>
      </c>
      <c r="E66" s="1" t="s">
        <v>43</v>
      </c>
      <c r="F66" s="1" t="s">
        <v>36</v>
      </c>
      <c r="G66" s="1" t="s">
        <v>98</v>
      </c>
      <c r="H66" s="1" t="s">
        <v>99</v>
      </c>
      <c r="I66" s="1" t="s">
        <v>234</v>
      </c>
      <c r="J66" s="1" t="s">
        <v>234</v>
      </c>
      <c r="K66" s="1">
        <v>12</v>
      </c>
      <c r="L66" s="1" t="s">
        <v>101</v>
      </c>
      <c r="M66" s="1" t="str">
        <f>VLOOKUP(D66,HORARIOS!B:H,7,0)</f>
        <v>Día 1</v>
      </c>
      <c r="N66" s="1">
        <f>VLOOKUP(D66,HORARIOS!B:I,8,0)</f>
        <v>3</v>
      </c>
      <c r="O66" s="9">
        <f>VLOOKUP(D66,HORARIOS!B:D,3,0)</f>
        <v>0.47916666666666669</v>
      </c>
      <c r="P66" s="9" t="str">
        <f>VLOOKUP(A66,HORARIOS!A:E,5,0)</f>
        <v>15:00 hrs</v>
      </c>
    </row>
    <row r="67" spans="1:16" ht="15.75" customHeight="1" x14ac:dyDescent="0.25">
      <c r="A67" s="1" t="str">
        <f t="shared" si="0"/>
        <v>60053</v>
      </c>
      <c r="B67" s="1">
        <v>70</v>
      </c>
      <c r="C67" s="1">
        <v>13</v>
      </c>
      <c r="D67" s="1">
        <v>6005</v>
      </c>
      <c r="E67" s="1" t="s">
        <v>43</v>
      </c>
      <c r="F67" s="1" t="s">
        <v>36</v>
      </c>
      <c r="G67" s="1" t="s">
        <v>98</v>
      </c>
      <c r="H67" s="1" t="s">
        <v>99</v>
      </c>
      <c r="I67" s="1" t="s">
        <v>235</v>
      </c>
      <c r="J67" s="1" t="s">
        <v>235</v>
      </c>
      <c r="K67" s="1">
        <v>12</v>
      </c>
      <c r="L67" s="1" t="s">
        <v>101</v>
      </c>
      <c r="M67" s="1" t="str">
        <f>VLOOKUP(D67,HORARIOS!B:H,7,0)</f>
        <v>Día 1</v>
      </c>
      <c r="N67" s="1">
        <f>VLOOKUP(D67,HORARIOS!B:I,8,0)</f>
        <v>3</v>
      </c>
      <c r="O67" s="9">
        <f>VLOOKUP(D67,HORARIOS!B:D,3,0)</f>
        <v>0.47916666666666669</v>
      </c>
      <c r="P67" s="9" t="str">
        <f>VLOOKUP(A67,HORARIOS!A:E,5,0)</f>
        <v>15:00 hrs</v>
      </c>
    </row>
    <row r="68" spans="1:16" ht="15.75" customHeight="1" x14ac:dyDescent="0.25">
      <c r="A68" s="1" t="str">
        <f t="shared" si="0"/>
        <v>60053</v>
      </c>
      <c r="B68" s="1">
        <v>71</v>
      </c>
      <c r="C68" s="1">
        <v>13</v>
      </c>
      <c r="D68" s="1">
        <v>6005</v>
      </c>
      <c r="E68" s="1" t="s">
        <v>43</v>
      </c>
      <c r="F68" s="1" t="s">
        <v>36</v>
      </c>
      <c r="G68" s="1" t="s">
        <v>98</v>
      </c>
      <c r="H68" s="1" t="s">
        <v>99</v>
      </c>
      <c r="I68" s="1" t="s">
        <v>236</v>
      </c>
      <c r="J68" s="1" t="s">
        <v>236</v>
      </c>
      <c r="K68" s="1">
        <v>12</v>
      </c>
      <c r="L68" s="1" t="s">
        <v>101</v>
      </c>
      <c r="M68" s="1" t="str">
        <f>VLOOKUP(D68,HORARIOS!B:H,7,0)</f>
        <v>Día 1</v>
      </c>
      <c r="N68" s="1">
        <f>VLOOKUP(D68,HORARIOS!B:I,8,0)</f>
        <v>3</v>
      </c>
      <c r="O68" s="9">
        <f>VLOOKUP(D68,HORARIOS!B:D,3,0)</f>
        <v>0.47916666666666669</v>
      </c>
      <c r="P68" s="9" t="str">
        <f>VLOOKUP(A68,HORARIOS!A:E,5,0)</f>
        <v>15:00 hrs</v>
      </c>
    </row>
    <row r="69" spans="1:16" ht="15.75" customHeight="1" x14ac:dyDescent="0.25">
      <c r="A69" s="1" t="str">
        <f t="shared" si="0"/>
        <v>60053</v>
      </c>
      <c r="B69" s="1">
        <v>72</v>
      </c>
      <c r="C69" s="1">
        <v>13</v>
      </c>
      <c r="D69" s="1">
        <v>6005</v>
      </c>
      <c r="E69" s="1" t="s">
        <v>43</v>
      </c>
      <c r="F69" s="1" t="s">
        <v>36</v>
      </c>
      <c r="G69" s="1" t="s">
        <v>114</v>
      </c>
      <c r="H69" s="1" t="s">
        <v>39</v>
      </c>
      <c r="I69" s="1" t="s">
        <v>52</v>
      </c>
      <c r="J69" s="1" t="s">
        <v>52</v>
      </c>
      <c r="K69" s="1">
        <v>2</v>
      </c>
      <c r="L69" s="1" t="s">
        <v>115</v>
      </c>
      <c r="M69" s="1" t="str">
        <f>VLOOKUP(D69,HORARIOS!B:H,7,0)</f>
        <v>Día 1</v>
      </c>
      <c r="N69" s="1">
        <f>VLOOKUP(D69,HORARIOS!B:I,8,0)</f>
        <v>3</v>
      </c>
      <c r="O69" s="9">
        <f>VLOOKUP(D69,HORARIOS!B:D,3,0)</f>
        <v>0.47916666666666669</v>
      </c>
      <c r="P69" s="9" t="str">
        <f>VLOOKUP(A69,HORARIOS!A:E,5,0)</f>
        <v>15:00 hrs</v>
      </c>
    </row>
    <row r="70" spans="1:16" ht="15.75" customHeight="1" x14ac:dyDescent="0.25">
      <c r="A70" s="1" t="str">
        <f t="shared" ref="A70:A133" si="1">D70&amp;N70</f>
        <v>60053</v>
      </c>
      <c r="B70" s="1">
        <v>74</v>
      </c>
      <c r="C70" s="1">
        <v>13</v>
      </c>
      <c r="D70" s="1">
        <v>6005</v>
      </c>
      <c r="E70" s="1" t="s">
        <v>43</v>
      </c>
      <c r="F70" s="1" t="s">
        <v>36</v>
      </c>
      <c r="G70" s="1" t="s">
        <v>134</v>
      </c>
      <c r="H70" s="1" t="s">
        <v>135</v>
      </c>
      <c r="I70" s="1" t="s">
        <v>237</v>
      </c>
      <c r="J70" s="1" t="s">
        <v>237</v>
      </c>
      <c r="K70" s="1">
        <v>12</v>
      </c>
      <c r="L70" s="1" t="s">
        <v>138</v>
      </c>
      <c r="M70" s="1" t="str">
        <f>VLOOKUP(D70,HORARIOS!B:H,7,0)</f>
        <v>Día 1</v>
      </c>
      <c r="N70" s="1">
        <f>VLOOKUP(D70,HORARIOS!B:I,8,0)</f>
        <v>3</v>
      </c>
      <c r="O70" s="9">
        <f>VLOOKUP(D70,HORARIOS!B:D,3,0)</f>
        <v>0.47916666666666669</v>
      </c>
      <c r="P70" s="9" t="str">
        <f>VLOOKUP(A70,HORARIOS!A:E,5,0)</f>
        <v>15:00 hrs</v>
      </c>
    </row>
    <row r="71" spans="1:16" ht="15.75" customHeight="1" x14ac:dyDescent="0.25">
      <c r="A71" s="1" t="str">
        <f t="shared" si="1"/>
        <v>60053</v>
      </c>
      <c r="B71" s="1">
        <v>75</v>
      </c>
      <c r="C71" s="1">
        <v>13</v>
      </c>
      <c r="D71" s="1">
        <v>6005</v>
      </c>
      <c r="E71" s="1" t="s">
        <v>43</v>
      </c>
      <c r="F71" s="1" t="s">
        <v>36</v>
      </c>
      <c r="G71" s="1" t="s">
        <v>145</v>
      </c>
      <c r="H71" s="1" t="s">
        <v>52</v>
      </c>
      <c r="I71" s="1" t="s">
        <v>238</v>
      </c>
      <c r="J71" s="1" t="s">
        <v>238</v>
      </c>
      <c r="K71" s="1">
        <v>12</v>
      </c>
      <c r="M71" s="1" t="str">
        <f>VLOOKUP(D71,HORARIOS!B:H,7,0)</f>
        <v>Día 1</v>
      </c>
      <c r="N71" s="1">
        <f>VLOOKUP(D71,HORARIOS!B:I,8,0)</f>
        <v>3</v>
      </c>
      <c r="O71" s="9">
        <f>VLOOKUP(D71,HORARIOS!B:D,3,0)</f>
        <v>0.47916666666666669</v>
      </c>
      <c r="P71" s="9" t="str">
        <f>VLOOKUP(A71,HORARIOS!A:E,5,0)</f>
        <v>15:00 hrs</v>
      </c>
    </row>
    <row r="72" spans="1:16" ht="15.75" customHeight="1" x14ac:dyDescent="0.25">
      <c r="A72" s="1" t="str">
        <f t="shared" si="1"/>
        <v>60053</v>
      </c>
      <c r="B72" s="1">
        <v>76</v>
      </c>
      <c r="C72" s="1">
        <v>13</v>
      </c>
      <c r="D72" s="1">
        <v>6005</v>
      </c>
      <c r="E72" s="1" t="s">
        <v>43</v>
      </c>
      <c r="F72" s="1" t="s">
        <v>36</v>
      </c>
      <c r="G72" s="1" t="s">
        <v>159</v>
      </c>
      <c r="H72" s="1" t="s">
        <v>160</v>
      </c>
      <c r="I72" s="1" t="s">
        <v>239</v>
      </c>
      <c r="J72" s="1" t="s">
        <v>239</v>
      </c>
      <c r="K72" s="1">
        <v>12</v>
      </c>
      <c r="M72" s="1" t="str">
        <f>VLOOKUP(D72,HORARIOS!B:H,7,0)</f>
        <v>Día 1</v>
      </c>
      <c r="N72" s="1">
        <f>VLOOKUP(D72,HORARIOS!B:I,8,0)</f>
        <v>3</v>
      </c>
      <c r="O72" s="9">
        <f>VLOOKUP(D72,HORARIOS!B:D,3,0)</f>
        <v>0.47916666666666669</v>
      </c>
      <c r="P72" s="9" t="str">
        <f>VLOOKUP(A72,HORARIOS!A:E,5,0)</f>
        <v>15:00 hrs</v>
      </c>
    </row>
    <row r="73" spans="1:16" ht="15.75" customHeight="1" x14ac:dyDescent="0.25">
      <c r="A73" s="1" t="str">
        <f t="shared" si="1"/>
        <v>60067</v>
      </c>
      <c r="B73" s="1">
        <v>77</v>
      </c>
      <c r="C73" s="1">
        <v>13</v>
      </c>
      <c r="D73" s="1">
        <v>6006</v>
      </c>
      <c r="E73" s="1" t="s">
        <v>44</v>
      </c>
      <c r="F73" s="1" t="s">
        <v>36</v>
      </c>
      <c r="G73" s="1" t="s">
        <v>37</v>
      </c>
      <c r="H73" s="1" t="s">
        <v>39</v>
      </c>
      <c r="I73" s="1" t="s">
        <v>240</v>
      </c>
      <c r="J73" s="1" t="s">
        <v>240</v>
      </c>
      <c r="K73" s="1">
        <v>12</v>
      </c>
      <c r="L73" s="1" t="s">
        <v>41</v>
      </c>
      <c r="M73" s="1" t="str">
        <f>VLOOKUP(D73,HORARIOS!B:H,7,0)</f>
        <v>Día 2</v>
      </c>
      <c r="N73" s="1">
        <f>VLOOKUP(D73,HORARIOS!B:I,8,0)</f>
        <v>7</v>
      </c>
      <c r="O73" s="9">
        <f>VLOOKUP(D73,HORARIOS!B:D,3,0)</f>
        <v>0.33333333333333331</v>
      </c>
      <c r="P73" s="9" t="str">
        <f>VLOOKUP(A73,HORARIOS!A:E,5,0)</f>
        <v>12:00 hrs</v>
      </c>
    </row>
    <row r="74" spans="1:16" ht="15.75" customHeight="1" x14ac:dyDescent="0.25">
      <c r="A74" s="1" t="str">
        <f t="shared" si="1"/>
        <v>60067</v>
      </c>
      <c r="B74" s="1">
        <v>78</v>
      </c>
      <c r="C74" s="1">
        <v>13</v>
      </c>
      <c r="D74" s="1">
        <v>6006</v>
      </c>
      <c r="E74" s="1" t="s">
        <v>44</v>
      </c>
      <c r="F74" s="1" t="s">
        <v>36</v>
      </c>
      <c r="G74" s="1" t="s">
        <v>51</v>
      </c>
      <c r="H74" s="1" t="s">
        <v>52</v>
      </c>
      <c r="I74" s="1" t="s">
        <v>241</v>
      </c>
      <c r="J74" s="1" t="s">
        <v>241</v>
      </c>
      <c r="K74" s="1">
        <v>12</v>
      </c>
      <c r="M74" s="1" t="str">
        <f>VLOOKUP(D74,HORARIOS!B:H,7,0)</f>
        <v>Día 2</v>
      </c>
      <c r="N74" s="1">
        <f>VLOOKUP(D74,HORARIOS!B:I,8,0)</f>
        <v>7</v>
      </c>
      <c r="O74" s="9">
        <f>VLOOKUP(D74,HORARIOS!B:D,3,0)</f>
        <v>0.33333333333333331</v>
      </c>
      <c r="P74" s="9" t="str">
        <f>VLOOKUP(A74,HORARIOS!A:E,5,0)</f>
        <v>12:00 hrs</v>
      </c>
    </row>
    <row r="75" spans="1:16" ht="15.75" customHeight="1" x14ac:dyDescent="0.25">
      <c r="A75" s="1" t="str">
        <f t="shared" si="1"/>
        <v>60067</v>
      </c>
      <c r="B75" s="1">
        <v>79</v>
      </c>
      <c r="C75" s="1">
        <v>13</v>
      </c>
      <c r="D75" s="1">
        <v>6006</v>
      </c>
      <c r="E75" s="1" t="s">
        <v>44</v>
      </c>
      <c r="F75" s="1" t="s">
        <v>36</v>
      </c>
      <c r="G75" s="1" t="s">
        <v>61</v>
      </c>
      <c r="H75" s="1" t="s">
        <v>62</v>
      </c>
      <c r="I75" s="1" t="s">
        <v>242</v>
      </c>
      <c r="J75" s="1" t="s">
        <v>243</v>
      </c>
      <c r="K75" s="1">
        <v>12</v>
      </c>
      <c r="L75" s="1" t="s">
        <v>64</v>
      </c>
      <c r="M75" s="1" t="str">
        <f>VLOOKUP(D75,HORARIOS!B:H,7,0)</f>
        <v>Día 2</v>
      </c>
      <c r="N75" s="1">
        <f>VLOOKUP(D75,HORARIOS!B:I,8,0)</f>
        <v>7</v>
      </c>
      <c r="O75" s="9">
        <f>VLOOKUP(D75,HORARIOS!B:D,3,0)</f>
        <v>0.33333333333333331</v>
      </c>
      <c r="P75" s="9" t="str">
        <f>VLOOKUP(A75,HORARIOS!A:E,5,0)</f>
        <v>12:00 hrs</v>
      </c>
    </row>
    <row r="76" spans="1:16" ht="15.75" customHeight="1" x14ac:dyDescent="0.25">
      <c r="A76" s="1" t="str">
        <f t="shared" si="1"/>
        <v>60067</v>
      </c>
      <c r="B76" s="1">
        <v>80</v>
      </c>
      <c r="C76" s="1">
        <v>13</v>
      </c>
      <c r="D76" s="1">
        <v>6006</v>
      </c>
      <c r="E76" s="1" t="s">
        <v>44</v>
      </c>
      <c r="F76" s="1" t="s">
        <v>36</v>
      </c>
      <c r="G76" s="1" t="s">
        <v>72</v>
      </c>
      <c r="H76" s="1" t="s">
        <v>73</v>
      </c>
      <c r="I76" s="1" t="s">
        <v>244</v>
      </c>
      <c r="J76" s="1" t="s">
        <v>245</v>
      </c>
      <c r="K76" s="1">
        <v>12</v>
      </c>
      <c r="M76" s="1" t="str">
        <f>VLOOKUP(D76,HORARIOS!B:H,7,0)</f>
        <v>Día 2</v>
      </c>
      <c r="N76" s="1">
        <f>VLOOKUP(D76,HORARIOS!B:I,8,0)</f>
        <v>7</v>
      </c>
      <c r="O76" s="9">
        <f>VLOOKUP(D76,HORARIOS!B:D,3,0)</f>
        <v>0.33333333333333331</v>
      </c>
      <c r="P76" s="9" t="str">
        <f>VLOOKUP(A76,HORARIOS!A:E,5,0)</f>
        <v>12:00 hrs</v>
      </c>
    </row>
    <row r="77" spans="1:16" ht="15.75" customHeight="1" x14ac:dyDescent="0.25">
      <c r="A77" s="1" t="str">
        <f t="shared" si="1"/>
        <v>60067</v>
      </c>
      <c r="B77" s="1">
        <v>82</v>
      </c>
      <c r="C77" s="1">
        <v>13</v>
      </c>
      <c r="D77" s="1">
        <v>6006</v>
      </c>
      <c r="E77" s="1" t="s">
        <v>44</v>
      </c>
      <c r="F77" s="1" t="s">
        <v>36</v>
      </c>
      <c r="G77" s="1" t="s">
        <v>88</v>
      </c>
      <c r="H77" s="1" t="s">
        <v>90</v>
      </c>
      <c r="I77" s="1" t="s">
        <v>246</v>
      </c>
      <c r="J77" s="1" t="s">
        <v>247</v>
      </c>
      <c r="K77" s="1">
        <v>12</v>
      </c>
      <c r="M77" s="1" t="str">
        <f>VLOOKUP(D77,HORARIOS!B:H,7,0)</f>
        <v>Día 2</v>
      </c>
      <c r="N77" s="1">
        <f>VLOOKUP(D77,HORARIOS!B:I,8,0)</f>
        <v>7</v>
      </c>
      <c r="O77" s="9">
        <f>VLOOKUP(D77,HORARIOS!B:D,3,0)</f>
        <v>0.33333333333333331</v>
      </c>
      <c r="P77" s="9" t="str">
        <f>VLOOKUP(A77,HORARIOS!A:E,5,0)</f>
        <v>12:00 hrs</v>
      </c>
    </row>
    <row r="78" spans="1:16" ht="15.75" customHeight="1" x14ac:dyDescent="0.25">
      <c r="A78" s="1" t="str">
        <f t="shared" si="1"/>
        <v>60067</v>
      </c>
      <c r="B78" s="1">
        <v>83</v>
      </c>
      <c r="C78" s="1">
        <v>13</v>
      </c>
      <c r="D78" s="1">
        <v>6006</v>
      </c>
      <c r="E78" s="1" t="s">
        <v>44</v>
      </c>
      <c r="F78" s="1" t="s">
        <v>36</v>
      </c>
      <c r="G78" s="1" t="s">
        <v>96</v>
      </c>
      <c r="H78" s="1" t="s">
        <v>62</v>
      </c>
      <c r="I78" s="1" t="s">
        <v>248</v>
      </c>
      <c r="J78" s="1" t="s">
        <v>249</v>
      </c>
      <c r="K78" s="1">
        <v>12</v>
      </c>
      <c r="M78" s="1" t="str">
        <f>VLOOKUP(D78,HORARIOS!B:H,7,0)</f>
        <v>Día 2</v>
      </c>
      <c r="N78" s="1">
        <f>VLOOKUP(D78,HORARIOS!B:I,8,0)</f>
        <v>7</v>
      </c>
      <c r="O78" s="9">
        <f>VLOOKUP(D78,HORARIOS!B:D,3,0)</f>
        <v>0.33333333333333331</v>
      </c>
      <c r="P78" s="9" t="str">
        <f>VLOOKUP(A78,HORARIOS!A:E,5,0)</f>
        <v>12:00 hrs</v>
      </c>
    </row>
    <row r="79" spans="1:16" ht="15.75" customHeight="1" x14ac:dyDescent="0.25">
      <c r="A79" s="1" t="str">
        <f t="shared" si="1"/>
        <v>60067</v>
      </c>
      <c r="B79" s="1">
        <v>84</v>
      </c>
      <c r="C79" s="1">
        <v>13</v>
      </c>
      <c r="D79" s="1">
        <v>6006</v>
      </c>
      <c r="E79" s="1" t="s">
        <v>44</v>
      </c>
      <c r="F79" s="1" t="s">
        <v>36</v>
      </c>
      <c r="G79" s="1" t="s">
        <v>98</v>
      </c>
      <c r="H79" s="1" t="s">
        <v>99</v>
      </c>
      <c r="I79" s="1" t="s">
        <v>250</v>
      </c>
      <c r="J79" s="1" t="s">
        <v>250</v>
      </c>
      <c r="K79" s="1">
        <v>12</v>
      </c>
      <c r="L79" s="1" t="s">
        <v>101</v>
      </c>
      <c r="M79" s="1" t="str">
        <f>VLOOKUP(D79,HORARIOS!B:H,7,0)</f>
        <v>Día 2</v>
      </c>
      <c r="N79" s="1">
        <f>VLOOKUP(D79,HORARIOS!B:I,8,0)</f>
        <v>7</v>
      </c>
      <c r="O79" s="9">
        <f>VLOOKUP(D79,HORARIOS!B:D,3,0)</f>
        <v>0.33333333333333331</v>
      </c>
      <c r="P79" s="9" t="str">
        <f>VLOOKUP(A79,HORARIOS!A:E,5,0)</f>
        <v>12:00 hrs</v>
      </c>
    </row>
    <row r="80" spans="1:16" ht="15.75" customHeight="1" x14ac:dyDescent="0.25">
      <c r="A80" s="1" t="str">
        <f t="shared" si="1"/>
        <v>60067</v>
      </c>
      <c r="B80" s="1">
        <v>85</v>
      </c>
      <c r="C80" s="1">
        <v>13</v>
      </c>
      <c r="D80" s="1">
        <v>6006</v>
      </c>
      <c r="E80" s="1" t="s">
        <v>44</v>
      </c>
      <c r="F80" s="1" t="s">
        <v>36</v>
      </c>
      <c r="G80" s="1" t="s">
        <v>98</v>
      </c>
      <c r="H80" s="1" t="s">
        <v>99</v>
      </c>
      <c r="I80" s="1" t="s">
        <v>251</v>
      </c>
      <c r="J80" s="1" t="s">
        <v>251</v>
      </c>
      <c r="K80" s="1">
        <v>12</v>
      </c>
      <c r="L80" s="1" t="s">
        <v>101</v>
      </c>
      <c r="M80" s="1" t="str">
        <f>VLOOKUP(D80,HORARIOS!B:H,7,0)</f>
        <v>Día 2</v>
      </c>
      <c r="N80" s="1">
        <f>VLOOKUP(D80,HORARIOS!B:I,8,0)</f>
        <v>7</v>
      </c>
      <c r="O80" s="9">
        <f>VLOOKUP(D80,HORARIOS!B:D,3,0)</f>
        <v>0.33333333333333331</v>
      </c>
      <c r="P80" s="9" t="str">
        <f>VLOOKUP(A80,HORARIOS!A:E,5,0)</f>
        <v>12:00 hrs</v>
      </c>
    </row>
    <row r="81" spans="1:16" ht="15.75" customHeight="1" x14ac:dyDescent="0.25">
      <c r="A81" s="1" t="str">
        <f t="shared" si="1"/>
        <v>60067</v>
      </c>
      <c r="B81" s="1">
        <v>86</v>
      </c>
      <c r="C81" s="1">
        <v>13</v>
      </c>
      <c r="D81" s="1">
        <v>6006</v>
      </c>
      <c r="E81" s="1" t="s">
        <v>44</v>
      </c>
      <c r="F81" s="1" t="s">
        <v>36</v>
      </c>
      <c r="G81" s="1" t="s">
        <v>98</v>
      </c>
      <c r="H81" s="1" t="s">
        <v>99</v>
      </c>
      <c r="I81" s="1" t="s">
        <v>252</v>
      </c>
      <c r="J81" s="1" t="s">
        <v>252</v>
      </c>
      <c r="K81" s="1">
        <v>12</v>
      </c>
      <c r="L81" s="1" t="s">
        <v>101</v>
      </c>
      <c r="M81" s="1" t="str">
        <f>VLOOKUP(D81,HORARIOS!B:H,7,0)</f>
        <v>Día 2</v>
      </c>
      <c r="N81" s="1">
        <f>VLOOKUP(D81,HORARIOS!B:I,8,0)</f>
        <v>7</v>
      </c>
      <c r="O81" s="9">
        <f>VLOOKUP(D81,HORARIOS!B:D,3,0)</f>
        <v>0.33333333333333331</v>
      </c>
      <c r="P81" s="9" t="str">
        <f>VLOOKUP(A81,HORARIOS!A:E,5,0)</f>
        <v>12:00 hrs</v>
      </c>
    </row>
    <row r="82" spans="1:16" ht="15.75" customHeight="1" x14ac:dyDescent="0.25">
      <c r="A82" s="1" t="str">
        <f t="shared" si="1"/>
        <v>60067</v>
      </c>
      <c r="B82" s="1">
        <v>87</v>
      </c>
      <c r="C82" s="1">
        <v>13</v>
      </c>
      <c r="D82" s="1">
        <v>6006</v>
      </c>
      <c r="E82" s="1" t="s">
        <v>44</v>
      </c>
      <c r="F82" s="1" t="s">
        <v>36</v>
      </c>
      <c r="G82" s="1" t="s">
        <v>114</v>
      </c>
      <c r="H82" s="1" t="s">
        <v>39</v>
      </c>
      <c r="I82" s="1" t="s">
        <v>52</v>
      </c>
      <c r="J82" s="1" t="s">
        <v>52</v>
      </c>
      <c r="K82" s="1">
        <v>2</v>
      </c>
      <c r="L82" s="1" t="s">
        <v>115</v>
      </c>
      <c r="M82" s="1" t="str">
        <f>VLOOKUP(D82,HORARIOS!B:H,7,0)</f>
        <v>Día 2</v>
      </c>
      <c r="N82" s="1">
        <f>VLOOKUP(D82,HORARIOS!B:I,8,0)</f>
        <v>7</v>
      </c>
      <c r="O82" s="9">
        <f>VLOOKUP(D82,HORARIOS!B:D,3,0)</f>
        <v>0.33333333333333331</v>
      </c>
      <c r="P82" s="9" t="str">
        <f>VLOOKUP(A82,HORARIOS!A:E,5,0)</f>
        <v>12:00 hrs</v>
      </c>
    </row>
    <row r="83" spans="1:16" ht="15.75" customHeight="1" x14ac:dyDescent="0.25">
      <c r="A83" s="1" t="str">
        <f t="shared" si="1"/>
        <v>60067</v>
      </c>
      <c r="B83" s="1">
        <v>88</v>
      </c>
      <c r="C83" s="1">
        <v>13</v>
      </c>
      <c r="D83" s="1">
        <v>6006</v>
      </c>
      <c r="E83" s="1" t="s">
        <v>44</v>
      </c>
      <c r="F83" s="1" t="s">
        <v>36</v>
      </c>
      <c r="G83" s="1" t="s">
        <v>134</v>
      </c>
      <c r="H83" s="1" t="s">
        <v>135</v>
      </c>
      <c r="I83" s="1" t="s">
        <v>253</v>
      </c>
      <c r="J83" s="1" t="s">
        <v>253</v>
      </c>
      <c r="K83" s="1">
        <v>12</v>
      </c>
      <c r="L83" s="1" t="s">
        <v>138</v>
      </c>
      <c r="M83" s="1" t="str">
        <f>VLOOKUP(D83,HORARIOS!B:H,7,0)</f>
        <v>Día 2</v>
      </c>
      <c r="N83" s="1">
        <f>VLOOKUP(D83,HORARIOS!B:I,8,0)</f>
        <v>7</v>
      </c>
      <c r="O83" s="9">
        <f>VLOOKUP(D83,HORARIOS!B:D,3,0)</f>
        <v>0.33333333333333331</v>
      </c>
      <c r="P83" s="9" t="str">
        <f>VLOOKUP(A83,HORARIOS!A:E,5,0)</f>
        <v>12:00 hrs</v>
      </c>
    </row>
    <row r="84" spans="1:16" ht="15.75" customHeight="1" x14ac:dyDescent="0.25">
      <c r="A84" s="1" t="str">
        <f t="shared" si="1"/>
        <v>60067</v>
      </c>
      <c r="B84" s="1">
        <v>89</v>
      </c>
      <c r="C84" s="1">
        <v>13</v>
      </c>
      <c r="D84" s="1">
        <v>6006</v>
      </c>
      <c r="E84" s="1" t="s">
        <v>44</v>
      </c>
      <c r="F84" s="1" t="s">
        <v>36</v>
      </c>
      <c r="G84" s="1" t="s">
        <v>145</v>
      </c>
      <c r="H84" s="1" t="s">
        <v>52</v>
      </c>
      <c r="I84" s="1" t="s">
        <v>254</v>
      </c>
      <c r="J84" s="1" t="s">
        <v>254</v>
      </c>
      <c r="K84" s="1">
        <v>12</v>
      </c>
      <c r="M84" s="1" t="str">
        <f>VLOOKUP(D84,HORARIOS!B:H,7,0)</f>
        <v>Día 2</v>
      </c>
      <c r="N84" s="1">
        <f>VLOOKUP(D84,HORARIOS!B:I,8,0)</f>
        <v>7</v>
      </c>
      <c r="O84" s="9">
        <f>VLOOKUP(D84,HORARIOS!B:D,3,0)</f>
        <v>0.33333333333333331</v>
      </c>
      <c r="P84" s="9" t="str">
        <f>VLOOKUP(A84,HORARIOS!A:E,5,0)</f>
        <v>12:00 hrs</v>
      </c>
    </row>
    <row r="85" spans="1:16" ht="15.75" customHeight="1" x14ac:dyDescent="0.25">
      <c r="A85" s="1" t="str">
        <f t="shared" si="1"/>
        <v>60067</v>
      </c>
      <c r="B85" s="1">
        <v>91</v>
      </c>
      <c r="C85" s="1">
        <v>13</v>
      </c>
      <c r="D85" s="1">
        <v>6006</v>
      </c>
      <c r="E85" s="1" t="s">
        <v>44</v>
      </c>
      <c r="F85" s="1" t="s">
        <v>36</v>
      </c>
      <c r="G85" s="1" t="s">
        <v>159</v>
      </c>
      <c r="H85" s="1" t="s">
        <v>160</v>
      </c>
      <c r="I85" s="1" t="s">
        <v>255</v>
      </c>
      <c r="J85" s="1" t="s">
        <v>255</v>
      </c>
      <c r="K85" s="1">
        <v>12</v>
      </c>
      <c r="M85" s="1" t="str">
        <f>VLOOKUP(D85,HORARIOS!B:H,7,0)</f>
        <v>Día 2</v>
      </c>
      <c r="N85" s="1">
        <f>VLOOKUP(D85,HORARIOS!B:I,8,0)</f>
        <v>7</v>
      </c>
      <c r="O85" s="9">
        <f>VLOOKUP(D85,HORARIOS!B:D,3,0)</f>
        <v>0.33333333333333331</v>
      </c>
      <c r="P85" s="9" t="str">
        <f>VLOOKUP(A85,HORARIOS!A:E,5,0)</f>
        <v>12:00 hrs</v>
      </c>
    </row>
    <row r="86" spans="1:16" ht="15.75" customHeight="1" x14ac:dyDescent="0.25">
      <c r="A86" s="1" t="str">
        <f t="shared" si="1"/>
        <v>600731</v>
      </c>
      <c r="B86" s="1">
        <v>92</v>
      </c>
      <c r="C86" s="1">
        <v>15</v>
      </c>
      <c r="D86" s="1">
        <v>6007</v>
      </c>
      <c r="E86" s="1" t="s">
        <v>45</v>
      </c>
      <c r="F86" s="1" t="s">
        <v>36</v>
      </c>
      <c r="G86" s="1" t="s">
        <v>37</v>
      </c>
      <c r="H86" s="1" t="s">
        <v>39</v>
      </c>
      <c r="I86" s="1" t="s">
        <v>256</v>
      </c>
      <c r="J86" s="1" t="s">
        <v>256</v>
      </c>
      <c r="K86" s="1">
        <v>12</v>
      </c>
      <c r="L86" s="1" t="s">
        <v>41</v>
      </c>
      <c r="M86" s="1" t="str">
        <f>VLOOKUP(D86,HORARIOS!B:H,7,0)</f>
        <v>Dia 5</v>
      </c>
      <c r="N86" s="1">
        <f>VLOOKUP(D86,HORARIOS!B:I,8,0)</f>
        <v>31</v>
      </c>
      <c r="O86" s="9">
        <f>VLOOKUP(D86,HORARIOS!B:D,3,0)</f>
        <v>0.625</v>
      </c>
      <c r="P86" s="9" t="str">
        <f>VLOOKUP(A86,HORARIOS!A:E,5,0)</f>
        <v>19:30 hrs</v>
      </c>
    </row>
    <row r="87" spans="1:16" ht="15.75" customHeight="1" x14ac:dyDescent="0.25">
      <c r="A87" s="1" t="str">
        <f t="shared" si="1"/>
        <v>600731</v>
      </c>
      <c r="B87" s="1">
        <v>93</v>
      </c>
      <c r="C87" s="1">
        <v>15</v>
      </c>
      <c r="D87" s="1">
        <v>6007</v>
      </c>
      <c r="E87" s="1" t="s">
        <v>45</v>
      </c>
      <c r="F87" s="1" t="s">
        <v>36</v>
      </c>
      <c r="G87" s="1" t="s">
        <v>51</v>
      </c>
      <c r="H87" s="1" t="s">
        <v>52</v>
      </c>
      <c r="I87" s="1" t="s">
        <v>257</v>
      </c>
      <c r="J87" s="1" t="s">
        <v>257</v>
      </c>
      <c r="K87" s="1">
        <v>12</v>
      </c>
      <c r="M87" s="1" t="str">
        <f>VLOOKUP(D87,HORARIOS!B:H,7,0)</f>
        <v>Dia 5</v>
      </c>
      <c r="N87" s="1">
        <f>VLOOKUP(D87,HORARIOS!B:I,8,0)</f>
        <v>31</v>
      </c>
      <c r="O87" s="9">
        <f>VLOOKUP(D87,HORARIOS!B:D,3,0)</f>
        <v>0.625</v>
      </c>
      <c r="P87" s="9" t="str">
        <f>VLOOKUP(A87,HORARIOS!A:E,5,0)</f>
        <v>19:30 hrs</v>
      </c>
    </row>
    <row r="88" spans="1:16" ht="15.75" customHeight="1" x14ac:dyDescent="0.25">
      <c r="A88" s="1" t="str">
        <f t="shared" si="1"/>
        <v>600731</v>
      </c>
      <c r="B88" s="1">
        <v>94</v>
      </c>
      <c r="C88" s="1">
        <v>15</v>
      </c>
      <c r="D88" s="1">
        <v>6007</v>
      </c>
      <c r="E88" s="1" t="s">
        <v>45</v>
      </c>
      <c r="F88" s="1" t="s">
        <v>36</v>
      </c>
      <c r="G88" s="1" t="s">
        <v>61</v>
      </c>
      <c r="H88" s="1" t="s">
        <v>62</v>
      </c>
      <c r="I88" s="1" t="s">
        <v>258</v>
      </c>
      <c r="J88" s="1" t="s">
        <v>259</v>
      </c>
      <c r="K88" s="1">
        <v>12</v>
      </c>
      <c r="L88" s="1" t="s">
        <v>64</v>
      </c>
      <c r="M88" s="1" t="str">
        <f>VLOOKUP(D88,HORARIOS!B:H,7,0)</f>
        <v>Dia 5</v>
      </c>
      <c r="N88" s="1">
        <f>VLOOKUP(D88,HORARIOS!B:I,8,0)</f>
        <v>31</v>
      </c>
      <c r="O88" s="9">
        <f>VLOOKUP(D88,HORARIOS!B:D,3,0)</f>
        <v>0.625</v>
      </c>
      <c r="P88" s="9" t="str">
        <f>VLOOKUP(A88,HORARIOS!A:E,5,0)</f>
        <v>19:30 hrs</v>
      </c>
    </row>
    <row r="89" spans="1:16" ht="15.75" customHeight="1" x14ac:dyDescent="0.25">
      <c r="A89" s="1" t="str">
        <f t="shared" si="1"/>
        <v>600731</v>
      </c>
      <c r="B89" s="1">
        <v>95</v>
      </c>
      <c r="C89" s="1">
        <v>15</v>
      </c>
      <c r="D89" s="1">
        <v>6007</v>
      </c>
      <c r="E89" s="1" t="s">
        <v>45</v>
      </c>
      <c r="F89" s="1" t="s">
        <v>36</v>
      </c>
      <c r="G89" s="1" t="s">
        <v>72</v>
      </c>
      <c r="H89" s="1" t="s">
        <v>73</v>
      </c>
      <c r="I89" s="1" t="s">
        <v>260</v>
      </c>
      <c r="J89" s="1" t="s">
        <v>260</v>
      </c>
      <c r="K89" s="1">
        <v>12</v>
      </c>
      <c r="M89" s="1" t="str">
        <f>VLOOKUP(D89,HORARIOS!B:H,7,0)</f>
        <v>Dia 5</v>
      </c>
      <c r="N89" s="1">
        <f>VLOOKUP(D89,HORARIOS!B:I,8,0)</f>
        <v>31</v>
      </c>
      <c r="O89" s="9">
        <f>VLOOKUP(D89,HORARIOS!B:D,3,0)</f>
        <v>0.625</v>
      </c>
      <c r="P89" s="9" t="str">
        <f>VLOOKUP(A89,HORARIOS!A:E,5,0)</f>
        <v>19:30 hrs</v>
      </c>
    </row>
    <row r="90" spans="1:16" ht="15.75" customHeight="1" x14ac:dyDescent="0.25">
      <c r="A90" s="1" t="str">
        <f t="shared" si="1"/>
        <v>600731</v>
      </c>
      <c r="B90" s="1">
        <v>96</v>
      </c>
      <c r="C90" s="1">
        <v>15</v>
      </c>
      <c r="D90" s="1">
        <v>6007</v>
      </c>
      <c r="E90" s="1" t="s">
        <v>45</v>
      </c>
      <c r="F90" s="1" t="s">
        <v>36</v>
      </c>
      <c r="G90" s="1" t="s">
        <v>88</v>
      </c>
      <c r="H90" s="1" t="s">
        <v>90</v>
      </c>
      <c r="I90" s="1" t="s">
        <v>261</v>
      </c>
      <c r="J90" s="1" t="s">
        <v>261</v>
      </c>
      <c r="K90" s="1">
        <v>12</v>
      </c>
      <c r="M90" s="1" t="str">
        <f>VLOOKUP(D90,HORARIOS!B:H,7,0)</f>
        <v>Dia 5</v>
      </c>
      <c r="N90" s="1">
        <f>VLOOKUP(D90,HORARIOS!B:I,8,0)</f>
        <v>31</v>
      </c>
      <c r="O90" s="9">
        <f>VLOOKUP(D90,HORARIOS!B:D,3,0)</f>
        <v>0.625</v>
      </c>
      <c r="P90" s="9" t="str">
        <f>VLOOKUP(A90,HORARIOS!A:E,5,0)</f>
        <v>19:30 hrs</v>
      </c>
    </row>
    <row r="91" spans="1:16" ht="15.75" customHeight="1" x14ac:dyDescent="0.25">
      <c r="A91" s="1" t="str">
        <f t="shared" si="1"/>
        <v>600731</v>
      </c>
      <c r="B91" s="1">
        <v>97</v>
      </c>
      <c r="C91" s="1">
        <v>15</v>
      </c>
      <c r="D91" s="1">
        <v>6007</v>
      </c>
      <c r="E91" s="1" t="s">
        <v>45</v>
      </c>
      <c r="F91" s="1" t="s">
        <v>36</v>
      </c>
      <c r="G91" s="1" t="s">
        <v>96</v>
      </c>
      <c r="H91" s="1" t="s">
        <v>62</v>
      </c>
      <c r="I91" s="1" t="s">
        <v>262</v>
      </c>
      <c r="J91" s="1" t="s">
        <v>263</v>
      </c>
      <c r="K91" s="1">
        <v>12</v>
      </c>
      <c r="M91" s="1" t="str">
        <f>VLOOKUP(D91,HORARIOS!B:H,7,0)</f>
        <v>Dia 5</v>
      </c>
      <c r="N91" s="1">
        <f>VLOOKUP(D91,HORARIOS!B:I,8,0)</f>
        <v>31</v>
      </c>
      <c r="O91" s="9">
        <f>VLOOKUP(D91,HORARIOS!B:D,3,0)</f>
        <v>0.625</v>
      </c>
      <c r="P91" s="9" t="str">
        <f>VLOOKUP(A91,HORARIOS!A:E,5,0)</f>
        <v>19:30 hrs</v>
      </c>
    </row>
    <row r="92" spans="1:16" ht="15.75" customHeight="1" x14ac:dyDescent="0.25">
      <c r="A92" s="1" t="str">
        <f t="shared" si="1"/>
        <v>600731</v>
      </c>
      <c r="B92" s="1">
        <v>99</v>
      </c>
      <c r="C92" s="1">
        <v>15</v>
      </c>
      <c r="D92" s="1">
        <v>6007</v>
      </c>
      <c r="E92" s="1" t="s">
        <v>45</v>
      </c>
      <c r="F92" s="1" t="s">
        <v>36</v>
      </c>
      <c r="G92" s="1" t="s">
        <v>98</v>
      </c>
      <c r="H92" s="1" t="s">
        <v>99</v>
      </c>
      <c r="I92" s="1" t="s">
        <v>264</v>
      </c>
      <c r="J92" s="1" t="s">
        <v>264</v>
      </c>
      <c r="K92" s="1">
        <v>12</v>
      </c>
      <c r="L92" s="1" t="s">
        <v>101</v>
      </c>
      <c r="M92" s="1" t="str">
        <f>VLOOKUP(D92,HORARIOS!B:H,7,0)</f>
        <v>Dia 5</v>
      </c>
      <c r="N92" s="1">
        <f>VLOOKUP(D92,HORARIOS!B:I,8,0)</f>
        <v>31</v>
      </c>
      <c r="O92" s="9">
        <f>VLOOKUP(D92,HORARIOS!B:D,3,0)</f>
        <v>0.625</v>
      </c>
      <c r="P92" s="9" t="str">
        <f>VLOOKUP(A92,HORARIOS!A:E,5,0)</f>
        <v>19:30 hrs</v>
      </c>
    </row>
    <row r="93" spans="1:16" ht="15.75" customHeight="1" x14ac:dyDescent="0.25">
      <c r="A93" s="1" t="str">
        <f t="shared" si="1"/>
        <v>600731</v>
      </c>
      <c r="B93" s="1">
        <v>100</v>
      </c>
      <c r="C93" s="1">
        <v>15</v>
      </c>
      <c r="D93" s="1">
        <v>6007</v>
      </c>
      <c r="E93" s="1" t="s">
        <v>45</v>
      </c>
      <c r="F93" s="1" t="s">
        <v>36</v>
      </c>
      <c r="G93" s="1" t="s">
        <v>98</v>
      </c>
      <c r="H93" s="1" t="s">
        <v>99</v>
      </c>
      <c r="I93" s="1" t="s">
        <v>265</v>
      </c>
      <c r="J93" s="1" t="s">
        <v>265</v>
      </c>
      <c r="K93" s="1">
        <v>12</v>
      </c>
      <c r="L93" s="1" t="s">
        <v>101</v>
      </c>
      <c r="M93" s="1" t="str">
        <f>VLOOKUP(D93,HORARIOS!B:H,7,0)</f>
        <v>Dia 5</v>
      </c>
      <c r="N93" s="1">
        <f>VLOOKUP(D93,HORARIOS!B:I,8,0)</f>
        <v>31</v>
      </c>
      <c r="O93" s="9">
        <f>VLOOKUP(D93,HORARIOS!B:D,3,0)</f>
        <v>0.625</v>
      </c>
      <c r="P93" s="9" t="str">
        <f>VLOOKUP(A93,HORARIOS!A:E,5,0)</f>
        <v>19:30 hrs</v>
      </c>
    </row>
    <row r="94" spans="1:16" ht="15.75" customHeight="1" x14ac:dyDescent="0.25">
      <c r="A94" s="1" t="str">
        <f t="shared" si="1"/>
        <v>600731</v>
      </c>
      <c r="B94" s="1">
        <v>101</v>
      </c>
      <c r="C94" s="1">
        <v>15</v>
      </c>
      <c r="D94" s="1">
        <v>6007</v>
      </c>
      <c r="E94" s="1" t="s">
        <v>45</v>
      </c>
      <c r="F94" s="1" t="s">
        <v>36</v>
      </c>
      <c r="G94" s="1" t="s">
        <v>98</v>
      </c>
      <c r="H94" s="1" t="s">
        <v>99</v>
      </c>
      <c r="I94" s="1" t="s">
        <v>266</v>
      </c>
      <c r="J94" s="1" t="s">
        <v>266</v>
      </c>
      <c r="K94" s="1">
        <v>12</v>
      </c>
      <c r="L94" s="1" t="s">
        <v>101</v>
      </c>
      <c r="M94" s="1" t="str">
        <f>VLOOKUP(D94,HORARIOS!B:H,7,0)</f>
        <v>Dia 5</v>
      </c>
      <c r="N94" s="1">
        <f>VLOOKUP(D94,HORARIOS!B:I,8,0)</f>
        <v>31</v>
      </c>
      <c r="O94" s="9">
        <f>VLOOKUP(D94,HORARIOS!B:D,3,0)</f>
        <v>0.625</v>
      </c>
      <c r="P94" s="9" t="str">
        <f>VLOOKUP(A94,HORARIOS!A:E,5,0)</f>
        <v>19:30 hrs</v>
      </c>
    </row>
    <row r="95" spans="1:16" ht="15.75" customHeight="1" x14ac:dyDescent="0.25">
      <c r="A95" s="1" t="str">
        <f t="shared" si="1"/>
        <v>600731</v>
      </c>
      <c r="B95" s="1">
        <v>102</v>
      </c>
      <c r="C95" s="1">
        <v>15</v>
      </c>
      <c r="D95" s="1">
        <v>6007</v>
      </c>
      <c r="E95" s="1" t="s">
        <v>45</v>
      </c>
      <c r="F95" s="1" t="s">
        <v>36</v>
      </c>
      <c r="G95" s="1" t="s">
        <v>98</v>
      </c>
      <c r="H95" s="1" t="s">
        <v>99</v>
      </c>
      <c r="I95" s="1" t="s">
        <v>267</v>
      </c>
      <c r="J95" s="1" t="s">
        <v>267</v>
      </c>
      <c r="K95" s="1">
        <v>12</v>
      </c>
      <c r="L95" s="1" t="s">
        <v>101</v>
      </c>
      <c r="M95" s="1" t="str">
        <f>VLOOKUP(D95,HORARIOS!B:H,7,0)</f>
        <v>Dia 5</v>
      </c>
      <c r="N95" s="1">
        <f>VLOOKUP(D95,HORARIOS!B:I,8,0)</f>
        <v>31</v>
      </c>
      <c r="O95" s="9">
        <f>VLOOKUP(D95,HORARIOS!B:D,3,0)</f>
        <v>0.625</v>
      </c>
      <c r="P95" s="9" t="str">
        <f>VLOOKUP(A95,HORARIOS!A:E,5,0)</f>
        <v>19:30 hrs</v>
      </c>
    </row>
    <row r="96" spans="1:16" ht="15.75" customHeight="1" x14ac:dyDescent="0.25">
      <c r="A96" s="1" t="str">
        <f t="shared" si="1"/>
        <v>600731</v>
      </c>
      <c r="B96" s="1">
        <v>103</v>
      </c>
      <c r="C96" s="1">
        <v>15</v>
      </c>
      <c r="D96" s="1">
        <v>6007</v>
      </c>
      <c r="E96" s="1" t="s">
        <v>45</v>
      </c>
      <c r="F96" s="1" t="s">
        <v>36</v>
      </c>
      <c r="G96" s="1" t="s">
        <v>98</v>
      </c>
      <c r="H96" s="1" t="s">
        <v>99</v>
      </c>
      <c r="I96" s="1" t="s">
        <v>268</v>
      </c>
      <c r="J96" s="1" t="s">
        <v>268</v>
      </c>
      <c r="K96" s="1">
        <v>12</v>
      </c>
      <c r="L96" s="1" t="s">
        <v>101</v>
      </c>
      <c r="M96" s="1" t="str">
        <f>VLOOKUP(D96,HORARIOS!B:H,7,0)</f>
        <v>Dia 5</v>
      </c>
      <c r="N96" s="1">
        <f>VLOOKUP(D96,HORARIOS!B:I,8,0)</f>
        <v>31</v>
      </c>
      <c r="O96" s="9">
        <f>VLOOKUP(D96,HORARIOS!B:D,3,0)</f>
        <v>0.625</v>
      </c>
      <c r="P96" s="9" t="str">
        <f>VLOOKUP(A96,HORARIOS!A:E,5,0)</f>
        <v>19:30 hrs</v>
      </c>
    </row>
    <row r="97" spans="1:16" ht="15.75" customHeight="1" x14ac:dyDescent="0.25">
      <c r="A97" s="1" t="str">
        <f t="shared" si="1"/>
        <v>600731</v>
      </c>
      <c r="B97" s="1">
        <v>104</v>
      </c>
      <c r="C97" s="1">
        <v>15</v>
      </c>
      <c r="D97" s="1">
        <v>6007</v>
      </c>
      <c r="E97" s="1" t="s">
        <v>45</v>
      </c>
      <c r="F97" s="1" t="s">
        <v>36</v>
      </c>
      <c r="G97" s="1" t="s">
        <v>114</v>
      </c>
      <c r="H97" s="1" t="s">
        <v>39</v>
      </c>
      <c r="I97" s="1" t="s">
        <v>52</v>
      </c>
      <c r="J97" s="1" t="s">
        <v>52</v>
      </c>
      <c r="K97" s="1">
        <v>2</v>
      </c>
      <c r="L97" s="1" t="s">
        <v>115</v>
      </c>
      <c r="M97" s="1" t="str">
        <f>VLOOKUP(D97,HORARIOS!B:H,7,0)</f>
        <v>Dia 5</v>
      </c>
      <c r="N97" s="1">
        <f>VLOOKUP(D97,HORARIOS!B:I,8,0)</f>
        <v>31</v>
      </c>
      <c r="O97" s="9">
        <f>VLOOKUP(D97,HORARIOS!B:D,3,0)</f>
        <v>0.625</v>
      </c>
      <c r="P97" s="9" t="str">
        <f>VLOOKUP(A97,HORARIOS!A:E,5,0)</f>
        <v>19:30 hrs</v>
      </c>
    </row>
    <row r="98" spans="1:16" ht="15.75" customHeight="1" x14ac:dyDescent="0.25">
      <c r="A98" s="1" t="str">
        <f t="shared" si="1"/>
        <v>600731</v>
      </c>
      <c r="B98" s="1">
        <v>105</v>
      </c>
      <c r="C98" s="1">
        <v>15</v>
      </c>
      <c r="D98" s="1">
        <v>6007</v>
      </c>
      <c r="E98" s="1" t="s">
        <v>45</v>
      </c>
      <c r="F98" s="1" t="s">
        <v>36</v>
      </c>
      <c r="G98" s="1" t="s">
        <v>134</v>
      </c>
      <c r="H98" s="1" t="s">
        <v>135</v>
      </c>
      <c r="I98" s="1" t="s">
        <v>269</v>
      </c>
      <c r="J98" s="1" t="s">
        <v>269</v>
      </c>
      <c r="K98" s="1">
        <v>12</v>
      </c>
      <c r="L98" s="1" t="s">
        <v>138</v>
      </c>
      <c r="M98" s="1" t="str">
        <f>VLOOKUP(D98,HORARIOS!B:H,7,0)</f>
        <v>Dia 5</v>
      </c>
      <c r="N98" s="1">
        <f>VLOOKUP(D98,HORARIOS!B:I,8,0)</f>
        <v>31</v>
      </c>
      <c r="O98" s="9">
        <f>VLOOKUP(D98,HORARIOS!B:D,3,0)</f>
        <v>0.625</v>
      </c>
      <c r="P98" s="9" t="str">
        <f>VLOOKUP(A98,HORARIOS!A:E,5,0)</f>
        <v>19:30 hrs</v>
      </c>
    </row>
    <row r="99" spans="1:16" ht="15.75" customHeight="1" x14ac:dyDescent="0.25">
      <c r="A99" s="1" t="str">
        <f t="shared" si="1"/>
        <v>600731</v>
      </c>
      <c r="B99" s="1">
        <v>106</v>
      </c>
      <c r="C99" s="1">
        <v>15</v>
      </c>
      <c r="D99" s="1">
        <v>6007</v>
      </c>
      <c r="E99" s="1" t="s">
        <v>45</v>
      </c>
      <c r="F99" s="1" t="s">
        <v>36</v>
      </c>
      <c r="G99" s="1" t="s">
        <v>145</v>
      </c>
      <c r="H99" s="1" t="s">
        <v>52</v>
      </c>
      <c r="I99" s="1" t="s">
        <v>270</v>
      </c>
      <c r="J99" s="1" t="s">
        <v>270</v>
      </c>
      <c r="K99" s="1">
        <v>12</v>
      </c>
      <c r="M99" s="1" t="str">
        <f>VLOOKUP(D99,HORARIOS!B:H,7,0)</f>
        <v>Dia 5</v>
      </c>
      <c r="N99" s="1">
        <f>VLOOKUP(D99,HORARIOS!B:I,8,0)</f>
        <v>31</v>
      </c>
      <c r="O99" s="9">
        <f>VLOOKUP(D99,HORARIOS!B:D,3,0)</f>
        <v>0.625</v>
      </c>
      <c r="P99" s="9" t="str">
        <f>VLOOKUP(A99,HORARIOS!A:E,5,0)</f>
        <v>19:30 hrs</v>
      </c>
    </row>
    <row r="100" spans="1:16" ht="15.75" customHeight="1" x14ac:dyDescent="0.25">
      <c r="A100" s="1" t="str">
        <f t="shared" si="1"/>
        <v>600731</v>
      </c>
      <c r="B100" s="1">
        <v>108</v>
      </c>
      <c r="C100" s="1">
        <v>15</v>
      </c>
      <c r="D100" s="1">
        <v>6007</v>
      </c>
      <c r="E100" s="1" t="s">
        <v>45</v>
      </c>
      <c r="F100" s="1" t="s">
        <v>36</v>
      </c>
      <c r="G100" s="1" t="s">
        <v>159</v>
      </c>
      <c r="H100" s="1" t="s">
        <v>160</v>
      </c>
      <c r="I100" s="1" t="s">
        <v>271</v>
      </c>
      <c r="J100" s="1" t="s">
        <v>271</v>
      </c>
      <c r="K100" s="1">
        <v>12</v>
      </c>
      <c r="M100" s="1" t="str">
        <f>VLOOKUP(D100,HORARIOS!B:H,7,0)</f>
        <v>Dia 5</v>
      </c>
      <c r="N100" s="1">
        <f>VLOOKUP(D100,HORARIOS!B:I,8,0)</f>
        <v>31</v>
      </c>
      <c r="O100" s="9">
        <f>VLOOKUP(D100,HORARIOS!B:D,3,0)</f>
        <v>0.625</v>
      </c>
      <c r="P100" s="9" t="str">
        <f>VLOOKUP(A100,HORARIOS!A:E,5,0)</f>
        <v>19:30 hrs</v>
      </c>
    </row>
    <row r="101" spans="1:16" ht="15.75" customHeight="1" x14ac:dyDescent="0.25">
      <c r="A101" s="1" t="str">
        <f t="shared" si="1"/>
        <v>600817</v>
      </c>
      <c r="B101" s="1">
        <v>110</v>
      </c>
      <c r="C101" s="1">
        <v>16</v>
      </c>
      <c r="D101" s="1">
        <v>6008</v>
      </c>
      <c r="E101" s="1" t="s">
        <v>44</v>
      </c>
      <c r="F101" s="1" t="s">
        <v>36</v>
      </c>
      <c r="G101" s="1" t="s">
        <v>37</v>
      </c>
      <c r="H101" s="1" t="s">
        <v>39</v>
      </c>
      <c r="I101" s="1" t="s">
        <v>272</v>
      </c>
      <c r="J101" s="1" t="s">
        <v>272</v>
      </c>
      <c r="K101" s="1">
        <v>12</v>
      </c>
      <c r="L101" s="1" t="s">
        <v>41</v>
      </c>
      <c r="M101" s="1" t="str">
        <f>VLOOKUP(D101,HORARIOS!B:H,7,0)</f>
        <v>Día 3</v>
      </c>
      <c r="N101" s="1">
        <f>VLOOKUP(D101,HORARIOS!B:I,8,0)</f>
        <v>17</v>
      </c>
      <c r="O101" s="9">
        <f>VLOOKUP(D101,HORARIOS!B:D,3,0)</f>
        <v>0.45833333333333331</v>
      </c>
      <c r="P101" s="9" t="str">
        <f>VLOOKUP(A101,HORARIOS!A:E,5,0)</f>
        <v>15:00 hrs</v>
      </c>
    </row>
    <row r="102" spans="1:16" ht="15.75" customHeight="1" x14ac:dyDescent="0.25">
      <c r="A102" s="1" t="str">
        <f t="shared" si="1"/>
        <v>600817</v>
      </c>
      <c r="B102" s="1">
        <v>111</v>
      </c>
      <c r="C102" s="1">
        <v>16</v>
      </c>
      <c r="D102" s="1">
        <v>6008</v>
      </c>
      <c r="E102" s="1" t="s">
        <v>44</v>
      </c>
      <c r="F102" s="1" t="s">
        <v>36</v>
      </c>
      <c r="G102" s="1" t="s">
        <v>51</v>
      </c>
      <c r="H102" s="1" t="s">
        <v>52</v>
      </c>
      <c r="I102" s="1" t="s">
        <v>273</v>
      </c>
      <c r="J102" s="1" t="s">
        <v>273</v>
      </c>
      <c r="K102" s="1">
        <v>12</v>
      </c>
      <c r="M102" s="1" t="str">
        <f>VLOOKUP(D102,HORARIOS!B:H,7,0)</f>
        <v>Día 3</v>
      </c>
      <c r="N102" s="1">
        <f>VLOOKUP(D102,HORARIOS!B:I,8,0)</f>
        <v>17</v>
      </c>
      <c r="O102" s="9">
        <f>VLOOKUP(D102,HORARIOS!B:D,3,0)</f>
        <v>0.45833333333333331</v>
      </c>
      <c r="P102" s="9" t="str">
        <f>VLOOKUP(A102,HORARIOS!A:E,5,0)</f>
        <v>15:00 hrs</v>
      </c>
    </row>
    <row r="103" spans="1:16" ht="15.75" customHeight="1" x14ac:dyDescent="0.25">
      <c r="A103" s="1" t="str">
        <f t="shared" si="1"/>
        <v>600817</v>
      </c>
      <c r="B103" s="1">
        <v>112</v>
      </c>
      <c r="C103" s="1">
        <v>16</v>
      </c>
      <c r="D103" s="1">
        <v>6008</v>
      </c>
      <c r="E103" s="1" t="s">
        <v>44</v>
      </c>
      <c r="F103" s="1" t="s">
        <v>36</v>
      </c>
      <c r="G103" s="1" t="s">
        <v>61</v>
      </c>
      <c r="H103" s="1" t="s">
        <v>62</v>
      </c>
      <c r="I103" s="1" t="s">
        <v>274</v>
      </c>
      <c r="J103" s="1" t="s">
        <v>275</v>
      </c>
      <c r="K103" s="1">
        <v>12</v>
      </c>
      <c r="L103" s="1" t="s">
        <v>64</v>
      </c>
      <c r="M103" s="1" t="str">
        <f>VLOOKUP(D103,HORARIOS!B:H,7,0)</f>
        <v>Día 3</v>
      </c>
      <c r="N103" s="1">
        <f>VLOOKUP(D103,HORARIOS!B:I,8,0)</f>
        <v>17</v>
      </c>
      <c r="O103" s="9">
        <f>VLOOKUP(D103,HORARIOS!B:D,3,0)</f>
        <v>0.45833333333333331</v>
      </c>
      <c r="P103" s="9" t="str">
        <f>VLOOKUP(A103,HORARIOS!A:E,5,0)</f>
        <v>15:00 hrs</v>
      </c>
    </row>
    <row r="104" spans="1:16" ht="15.75" customHeight="1" x14ac:dyDescent="0.25">
      <c r="A104" s="1" t="str">
        <f t="shared" si="1"/>
        <v>600817</v>
      </c>
      <c r="B104" s="1">
        <v>113</v>
      </c>
      <c r="C104" s="1">
        <v>16</v>
      </c>
      <c r="D104" s="1">
        <v>6008</v>
      </c>
      <c r="E104" s="1" t="s">
        <v>44</v>
      </c>
      <c r="F104" s="1" t="s">
        <v>36</v>
      </c>
      <c r="G104" s="1" t="s">
        <v>72</v>
      </c>
      <c r="H104" s="1" t="s">
        <v>73</v>
      </c>
      <c r="I104" s="1" t="s">
        <v>276</v>
      </c>
      <c r="J104" s="1" t="s">
        <v>276</v>
      </c>
      <c r="K104" s="1">
        <v>12</v>
      </c>
      <c r="M104" s="1" t="str">
        <f>VLOOKUP(D104,HORARIOS!B:H,7,0)</f>
        <v>Día 3</v>
      </c>
      <c r="N104" s="1">
        <f>VLOOKUP(D104,HORARIOS!B:I,8,0)</f>
        <v>17</v>
      </c>
      <c r="O104" s="9">
        <f>VLOOKUP(D104,HORARIOS!B:D,3,0)</f>
        <v>0.45833333333333331</v>
      </c>
      <c r="P104" s="9" t="str">
        <f>VLOOKUP(A104,HORARIOS!A:E,5,0)</f>
        <v>15:00 hrs</v>
      </c>
    </row>
    <row r="105" spans="1:16" ht="15.75" customHeight="1" x14ac:dyDescent="0.25">
      <c r="A105" s="1" t="str">
        <f t="shared" si="1"/>
        <v>600817</v>
      </c>
      <c r="B105" s="1">
        <v>114</v>
      </c>
      <c r="C105" s="1">
        <v>16</v>
      </c>
      <c r="D105" s="1">
        <v>6008</v>
      </c>
      <c r="E105" s="1" t="s">
        <v>44</v>
      </c>
      <c r="F105" s="1" t="s">
        <v>36</v>
      </c>
      <c r="G105" s="1" t="s">
        <v>88</v>
      </c>
      <c r="H105" s="1" t="s">
        <v>90</v>
      </c>
      <c r="I105" s="1" t="s">
        <v>277</v>
      </c>
      <c r="J105" s="1" t="s">
        <v>277</v>
      </c>
      <c r="K105" s="1">
        <v>12</v>
      </c>
      <c r="M105" s="1" t="str">
        <f>VLOOKUP(D105,HORARIOS!B:H,7,0)</f>
        <v>Día 3</v>
      </c>
      <c r="N105" s="1">
        <f>VLOOKUP(D105,HORARIOS!B:I,8,0)</f>
        <v>17</v>
      </c>
      <c r="O105" s="9">
        <f>VLOOKUP(D105,HORARIOS!B:D,3,0)</f>
        <v>0.45833333333333331</v>
      </c>
      <c r="P105" s="9" t="str">
        <f>VLOOKUP(A105,HORARIOS!A:E,5,0)</f>
        <v>15:00 hrs</v>
      </c>
    </row>
    <row r="106" spans="1:16" ht="15.75" customHeight="1" x14ac:dyDescent="0.25">
      <c r="A106" s="1" t="str">
        <f t="shared" si="1"/>
        <v>600817</v>
      </c>
      <c r="B106" s="1">
        <v>116</v>
      </c>
      <c r="C106" s="1">
        <v>16</v>
      </c>
      <c r="D106" s="1">
        <v>6008</v>
      </c>
      <c r="E106" s="1" t="s">
        <v>44</v>
      </c>
      <c r="F106" s="1" t="s">
        <v>36</v>
      </c>
      <c r="G106" s="1" t="s">
        <v>96</v>
      </c>
      <c r="H106" s="1" t="s">
        <v>62</v>
      </c>
      <c r="I106" s="1" t="s">
        <v>278</v>
      </c>
      <c r="J106" s="1" t="s">
        <v>279</v>
      </c>
      <c r="K106" s="1">
        <v>12</v>
      </c>
      <c r="M106" s="1" t="str">
        <f>VLOOKUP(D106,HORARIOS!B:H,7,0)</f>
        <v>Día 3</v>
      </c>
      <c r="N106" s="1">
        <f>VLOOKUP(D106,HORARIOS!B:I,8,0)</f>
        <v>17</v>
      </c>
      <c r="O106" s="9">
        <f>VLOOKUP(D106,HORARIOS!B:D,3,0)</f>
        <v>0.45833333333333331</v>
      </c>
      <c r="P106" s="9" t="str">
        <f>VLOOKUP(A106,HORARIOS!A:E,5,0)</f>
        <v>15:00 hrs</v>
      </c>
    </row>
    <row r="107" spans="1:16" ht="15.75" customHeight="1" x14ac:dyDescent="0.25">
      <c r="A107" s="1" t="str">
        <f t="shared" si="1"/>
        <v>600817</v>
      </c>
      <c r="B107" s="1">
        <v>117</v>
      </c>
      <c r="C107" s="1">
        <v>16</v>
      </c>
      <c r="D107" s="1">
        <v>6008</v>
      </c>
      <c r="E107" s="1" t="s">
        <v>44</v>
      </c>
      <c r="F107" s="1" t="s">
        <v>36</v>
      </c>
      <c r="G107" s="1" t="s">
        <v>98</v>
      </c>
      <c r="H107" s="1" t="s">
        <v>99</v>
      </c>
      <c r="I107" s="1" t="s">
        <v>280</v>
      </c>
      <c r="J107" s="1" t="s">
        <v>280</v>
      </c>
      <c r="K107" s="1">
        <v>12</v>
      </c>
      <c r="L107" s="1" t="s">
        <v>101</v>
      </c>
      <c r="M107" s="1" t="str">
        <f>VLOOKUP(D107,HORARIOS!B:H,7,0)</f>
        <v>Día 3</v>
      </c>
      <c r="N107" s="1">
        <f>VLOOKUP(D107,HORARIOS!B:I,8,0)</f>
        <v>17</v>
      </c>
      <c r="O107" s="9">
        <f>VLOOKUP(D107,HORARIOS!B:D,3,0)</f>
        <v>0.45833333333333331</v>
      </c>
      <c r="P107" s="9" t="str">
        <f>VLOOKUP(A107,HORARIOS!A:E,5,0)</f>
        <v>15:00 hrs</v>
      </c>
    </row>
    <row r="108" spans="1:16" ht="15.75" customHeight="1" x14ac:dyDescent="0.25">
      <c r="A108" s="1" t="str">
        <f t="shared" si="1"/>
        <v>600817</v>
      </c>
      <c r="B108" s="1">
        <v>118</v>
      </c>
      <c r="C108" s="1">
        <v>16</v>
      </c>
      <c r="D108" s="1">
        <v>6008</v>
      </c>
      <c r="E108" s="1" t="s">
        <v>44</v>
      </c>
      <c r="F108" s="1" t="s">
        <v>36</v>
      </c>
      <c r="G108" s="1" t="s">
        <v>98</v>
      </c>
      <c r="H108" s="1" t="s">
        <v>99</v>
      </c>
      <c r="I108" s="1" t="s">
        <v>281</v>
      </c>
      <c r="J108" s="1" t="s">
        <v>281</v>
      </c>
      <c r="K108" s="1">
        <v>12</v>
      </c>
      <c r="L108" s="1" t="s">
        <v>101</v>
      </c>
      <c r="M108" s="1" t="str">
        <f>VLOOKUP(D108,HORARIOS!B:H,7,0)</f>
        <v>Día 3</v>
      </c>
      <c r="N108" s="1">
        <f>VLOOKUP(D108,HORARIOS!B:I,8,0)</f>
        <v>17</v>
      </c>
      <c r="O108" s="9">
        <f>VLOOKUP(D108,HORARIOS!B:D,3,0)</f>
        <v>0.45833333333333331</v>
      </c>
      <c r="P108" s="9" t="str">
        <f>VLOOKUP(A108,HORARIOS!A:E,5,0)</f>
        <v>15:00 hrs</v>
      </c>
    </row>
    <row r="109" spans="1:16" ht="15.75" customHeight="1" x14ac:dyDescent="0.25">
      <c r="A109" s="1" t="str">
        <f t="shared" si="1"/>
        <v>600817</v>
      </c>
      <c r="B109" s="1">
        <v>119</v>
      </c>
      <c r="C109" s="1">
        <v>16</v>
      </c>
      <c r="D109" s="1">
        <v>6008</v>
      </c>
      <c r="E109" s="1" t="s">
        <v>44</v>
      </c>
      <c r="F109" s="1" t="s">
        <v>36</v>
      </c>
      <c r="G109" s="1" t="s">
        <v>98</v>
      </c>
      <c r="H109" s="1" t="s">
        <v>99</v>
      </c>
      <c r="I109" s="1" t="s">
        <v>282</v>
      </c>
      <c r="J109" s="1" t="s">
        <v>282</v>
      </c>
      <c r="K109" s="1">
        <v>12</v>
      </c>
      <c r="L109" s="1" t="s">
        <v>101</v>
      </c>
      <c r="M109" s="1" t="str">
        <f>VLOOKUP(D109,HORARIOS!B:H,7,0)</f>
        <v>Día 3</v>
      </c>
      <c r="N109" s="1">
        <f>VLOOKUP(D109,HORARIOS!B:I,8,0)</f>
        <v>17</v>
      </c>
      <c r="O109" s="9">
        <f>VLOOKUP(D109,HORARIOS!B:D,3,0)</f>
        <v>0.45833333333333331</v>
      </c>
      <c r="P109" s="9" t="str">
        <f>VLOOKUP(A109,HORARIOS!A:E,5,0)</f>
        <v>15:00 hrs</v>
      </c>
    </row>
    <row r="110" spans="1:16" ht="15.75" customHeight="1" x14ac:dyDescent="0.25">
      <c r="A110" s="1" t="str">
        <f t="shared" si="1"/>
        <v>600817</v>
      </c>
      <c r="B110" s="1">
        <v>120</v>
      </c>
      <c r="C110" s="1">
        <v>16</v>
      </c>
      <c r="D110" s="1">
        <v>6008</v>
      </c>
      <c r="E110" s="1" t="s">
        <v>44</v>
      </c>
      <c r="F110" s="1" t="s">
        <v>36</v>
      </c>
      <c r="G110" s="1" t="s">
        <v>98</v>
      </c>
      <c r="H110" s="1" t="s">
        <v>99</v>
      </c>
      <c r="I110" s="1" t="s">
        <v>283</v>
      </c>
      <c r="J110" s="1" t="s">
        <v>283</v>
      </c>
      <c r="K110" s="1">
        <v>12</v>
      </c>
      <c r="L110" s="1" t="s">
        <v>101</v>
      </c>
      <c r="M110" s="1" t="str">
        <f>VLOOKUP(D110,HORARIOS!B:H,7,0)</f>
        <v>Día 3</v>
      </c>
      <c r="N110" s="1">
        <f>VLOOKUP(D110,HORARIOS!B:I,8,0)</f>
        <v>17</v>
      </c>
      <c r="O110" s="9">
        <f>VLOOKUP(D110,HORARIOS!B:D,3,0)</f>
        <v>0.45833333333333331</v>
      </c>
      <c r="P110" s="9" t="str">
        <f>VLOOKUP(A110,HORARIOS!A:E,5,0)</f>
        <v>15:00 hrs</v>
      </c>
    </row>
    <row r="111" spans="1:16" ht="15.75" customHeight="1" x14ac:dyDescent="0.25">
      <c r="A111" s="1" t="str">
        <f t="shared" si="1"/>
        <v>600817</v>
      </c>
      <c r="B111" s="1">
        <v>121</v>
      </c>
      <c r="C111" s="1">
        <v>16</v>
      </c>
      <c r="D111" s="1">
        <v>6008</v>
      </c>
      <c r="E111" s="1" t="s">
        <v>44</v>
      </c>
      <c r="F111" s="1" t="s">
        <v>36</v>
      </c>
      <c r="G111" s="1" t="s">
        <v>98</v>
      </c>
      <c r="H111" s="1" t="s">
        <v>99</v>
      </c>
      <c r="I111" s="1" t="s">
        <v>284</v>
      </c>
      <c r="J111" s="1" t="s">
        <v>284</v>
      </c>
      <c r="K111" s="1">
        <v>12</v>
      </c>
      <c r="L111" s="1" t="s">
        <v>101</v>
      </c>
      <c r="M111" s="1" t="str">
        <f>VLOOKUP(D111,HORARIOS!B:H,7,0)</f>
        <v>Día 3</v>
      </c>
      <c r="N111" s="1">
        <f>VLOOKUP(D111,HORARIOS!B:I,8,0)</f>
        <v>17</v>
      </c>
      <c r="O111" s="9">
        <f>VLOOKUP(D111,HORARIOS!B:D,3,0)</f>
        <v>0.45833333333333331</v>
      </c>
      <c r="P111" s="9" t="str">
        <f>VLOOKUP(A111,HORARIOS!A:E,5,0)</f>
        <v>15:00 hrs</v>
      </c>
    </row>
    <row r="112" spans="1:16" ht="15.75" customHeight="1" x14ac:dyDescent="0.25">
      <c r="A112" s="1" t="str">
        <f t="shared" si="1"/>
        <v>600817</v>
      </c>
      <c r="B112" s="1">
        <v>122</v>
      </c>
      <c r="C112" s="1">
        <v>16</v>
      </c>
      <c r="D112" s="1">
        <v>6008</v>
      </c>
      <c r="E112" s="1" t="s">
        <v>44</v>
      </c>
      <c r="F112" s="1" t="s">
        <v>36</v>
      </c>
      <c r="G112" s="1" t="s">
        <v>98</v>
      </c>
      <c r="H112" s="1" t="s">
        <v>99</v>
      </c>
      <c r="I112" s="1" t="s">
        <v>285</v>
      </c>
      <c r="J112" s="1" t="s">
        <v>285</v>
      </c>
      <c r="K112" s="1">
        <v>12</v>
      </c>
      <c r="L112" s="1" t="s">
        <v>101</v>
      </c>
      <c r="M112" s="1" t="str">
        <f>VLOOKUP(D112,HORARIOS!B:H,7,0)</f>
        <v>Día 3</v>
      </c>
      <c r="N112" s="1">
        <f>VLOOKUP(D112,HORARIOS!B:I,8,0)</f>
        <v>17</v>
      </c>
      <c r="O112" s="9">
        <f>VLOOKUP(D112,HORARIOS!B:D,3,0)</f>
        <v>0.45833333333333331</v>
      </c>
      <c r="P112" s="9" t="str">
        <f>VLOOKUP(A112,HORARIOS!A:E,5,0)</f>
        <v>15:00 hrs</v>
      </c>
    </row>
    <row r="113" spans="1:16" ht="15.75" customHeight="1" x14ac:dyDescent="0.25">
      <c r="A113" s="1" t="str">
        <f t="shared" si="1"/>
        <v>600817</v>
      </c>
      <c r="B113" s="1">
        <v>123</v>
      </c>
      <c r="C113" s="1">
        <v>16</v>
      </c>
      <c r="D113" s="1">
        <v>6008</v>
      </c>
      <c r="E113" s="1" t="s">
        <v>44</v>
      </c>
      <c r="F113" s="1" t="s">
        <v>36</v>
      </c>
      <c r="G113" s="1" t="s">
        <v>114</v>
      </c>
      <c r="H113" s="1" t="s">
        <v>39</v>
      </c>
      <c r="I113" s="1" t="s">
        <v>52</v>
      </c>
      <c r="J113" s="1" t="s">
        <v>52</v>
      </c>
      <c r="K113" s="1">
        <v>2</v>
      </c>
      <c r="L113" s="1" t="s">
        <v>115</v>
      </c>
      <c r="M113" s="1" t="str">
        <f>VLOOKUP(D113,HORARIOS!B:H,7,0)</f>
        <v>Día 3</v>
      </c>
      <c r="N113" s="1">
        <f>VLOOKUP(D113,HORARIOS!B:I,8,0)</f>
        <v>17</v>
      </c>
      <c r="O113" s="9">
        <f>VLOOKUP(D113,HORARIOS!B:D,3,0)</f>
        <v>0.45833333333333331</v>
      </c>
      <c r="P113" s="9" t="str">
        <f>VLOOKUP(A113,HORARIOS!A:E,5,0)</f>
        <v>15:00 hrs</v>
      </c>
    </row>
    <row r="114" spans="1:16" ht="15.75" customHeight="1" x14ac:dyDescent="0.25">
      <c r="A114" s="1" t="str">
        <f t="shared" si="1"/>
        <v>600817</v>
      </c>
      <c r="B114" s="1">
        <v>125</v>
      </c>
      <c r="C114" s="1">
        <v>16</v>
      </c>
      <c r="D114" s="1">
        <v>6008</v>
      </c>
      <c r="E114" s="1" t="s">
        <v>44</v>
      </c>
      <c r="F114" s="1" t="s">
        <v>36</v>
      </c>
      <c r="G114" s="1" t="s">
        <v>134</v>
      </c>
      <c r="H114" s="1" t="s">
        <v>135</v>
      </c>
      <c r="I114" s="1" t="s">
        <v>286</v>
      </c>
      <c r="J114" s="1" t="s">
        <v>286</v>
      </c>
      <c r="K114" s="1">
        <v>12</v>
      </c>
      <c r="L114" s="1" t="s">
        <v>138</v>
      </c>
      <c r="M114" s="1" t="str">
        <f>VLOOKUP(D114,HORARIOS!B:H,7,0)</f>
        <v>Día 3</v>
      </c>
      <c r="N114" s="1">
        <f>VLOOKUP(D114,HORARIOS!B:I,8,0)</f>
        <v>17</v>
      </c>
      <c r="O114" s="9">
        <f>VLOOKUP(D114,HORARIOS!B:D,3,0)</f>
        <v>0.45833333333333331</v>
      </c>
      <c r="P114" s="9" t="str">
        <f>VLOOKUP(A114,HORARIOS!A:E,5,0)</f>
        <v>15:00 hrs</v>
      </c>
    </row>
    <row r="115" spans="1:16" ht="15.75" customHeight="1" x14ac:dyDescent="0.25">
      <c r="A115" s="1" t="str">
        <f t="shared" si="1"/>
        <v>600817</v>
      </c>
      <c r="B115" s="1">
        <v>126</v>
      </c>
      <c r="C115" s="1">
        <v>16</v>
      </c>
      <c r="D115" s="1">
        <v>6008</v>
      </c>
      <c r="E115" s="1" t="s">
        <v>44</v>
      </c>
      <c r="F115" s="1" t="s">
        <v>36</v>
      </c>
      <c r="G115" s="1" t="s">
        <v>145</v>
      </c>
      <c r="H115" s="1" t="s">
        <v>52</v>
      </c>
      <c r="I115" s="1" t="s">
        <v>287</v>
      </c>
      <c r="J115" s="1" t="s">
        <v>287</v>
      </c>
      <c r="K115" s="1">
        <v>12</v>
      </c>
      <c r="M115" s="1" t="str">
        <f>VLOOKUP(D115,HORARIOS!B:H,7,0)</f>
        <v>Día 3</v>
      </c>
      <c r="N115" s="1">
        <f>VLOOKUP(D115,HORARIOS!B:I,8,0)</f>
        <v>17</v>
      </c>
      <c r="O115" s="9">
        <f>VLOOKUP(D115,HORARIOS!B:D,3,0)</f>
        <v>0.45833333333333331</v>
      </c>
      <c r="P115" s="9" t="str">
        <f>VLOOKUP(A115,HORARIOS!A:E,5,0)</f>
        <v>15:00 hrs</v>
      </c>
    </row>
    <row r="116" spans="1:16" ht="15.75" customHeight="1" x14ac:dyDescent="0.25">
      <c r="A116" s="1" t="str">
        <f t="shared" si="1"/>
        <v>600817</v>
      </c>
      <c r="B116" s="1">
        <v>127</v>
      </c>
      <c r="C116" s="1">
        <v>16</v>
      </c>
      <c r="D116" s="1">
        <v>6008</v>
      </c>
      <c r="E116" s="1" t="s">
        <v>44</v>
      </c>
      <c r="F116" s="1" t="s">
        <v>36</v>
      </c>
      <c r="G116" s="1" t="s">
        <v>159</v>
      </c>
      <c r="H116" s="1" t="s">
        <v>160</v>
      </c>
      <c r="I116" s="1" t="s">
        <v>288</v>
      </c>
      <c r="J116" s="1" t="s">
        <v>288</v>
      </c>
      <c r="K116" s="1">
        <v>12</v>
      </c>
      <c r="M116" s="1" t="str">
        <f>VLOOKUP(D116,HORARIOS!B:H,7,0)</f>
        <v>Día 3</v>
      </c>
      <c r="N116" s="1">
        <f>VLOOKUP(D116,HORARIOS!B:I,8,0)</f>
        <v>17</v>
      </c>
      <c r="O116" s="9">
        <f>VLOOKUP(D116,HORARIOS!B:D,3,0)</f>
        <v>0.45833333333333331</v>
      </c>
      <c r="P116" s="9" t="str">
        <f>VLOOKUP(A116,HORARIOS!A:E,5,0)</f>
        <v>15:00 hrs</v>
      </c>
    </row>
    <row r="117" spans="1:16" ht="15.75" customHeight="1" x14ac:dyDescent="0.25">
      <c r="A117" s="1" t="str">
        <f t="shared" si="1"/>
        <v>600930</v>
      </c>
      <c r="B117" s="1">
        <v>127</v>
      </c>
      <c r="C117" s="1">
        <v>14</v>
      </c>
      <c r="D117" s="1">
        <v>6009</v>
      </c>
      <c r="E117" s="1" t="s">
        <v>46</v>
      </c>
      <c r="F117" s="1" t="s">
        <v>36</v>
      </c>
      <c r="G117" s="1" t="s">
        <v>37</v>
      </c>
      <c r="H117" s="1" t="s">
        <v>39</v>
      </c>
      <c r="I117" s="1" t="s">
        <v>289</v>
      </c>
      <c r="J117" s="1" t="s">
        <v>289</v>
      </c>
      <c r="K117" s="1">
        <v>12</v>
      </c>
      <c r="L117" s="1" t="s">
        <v>41</v>
      </c>
      <c r="M117" s="1" t="str">
        <f>VLOOKUP(D117,HORARIOS!B:H,7,0)</f>
        <v>Dia 5</v>
      </c>
      <c r="N117" s="1">
        <f>VLOOKUP(D117,HORARIOS!B:I,8,0)</f>
        <v>30</v>
      </c>
      <c r="O117" s="9">
        <f>VLOOKUP(D117,HORARIOS!B:D,3,0)</f>
        <v>0.58333333333333337</v>
      </c>
      <c r="P117" s="9" t="str">
        <f>VLOOKUP(A117,HORARIOS!A:E,5,0)</f>
        <v>17:00 hrs</v>
      </c>
    </row>
    <row r="118" spans="1:16" ht="15.75" customHeight="1" x14ac:dyDescent="0.25">
      <c r="A118" s="1" t="str">
        <f t="shared" si="1"/>
        <v>600930</v>
      </c>
      <c r="B118" s="1">
        <v>129</v>
      </c>
      <c r="C118" s="1">
        <v>14</v>
      </c>
      <c r="D118" s="1">
        <v>6009</v>
      </c>
      <c r="E118" s="1" t="s">
        <v>46</v>
      </c>
      <c r="F118" s="1" t="s">
        <v>36</v>
      </c>
      <c r="G118" s="1" t="s">
        <v>51</v>
      </c>
      <c r="H118" s="1" t="s">
        <v>52</v>
      </c>
      <c r="I118" s="1" t="s">
        <v>290</v>
      </c>
      <c r="J118" s="1" t="s">
        <v>290</v>
      </c>
      <c r="K118" s="1">
        <v>12</v>
      </c>
      <c r="M118" s="1" t="str">
        <f>VLOOKUP(D118,HORARIOS!B:H,7,0)</f>
        <v>Dia 5</v>
      </c>
      <c r="N118" s="1">
        <f>VLOOKUP(D118,HORARIOS!B:I,8,0)</f>
        <v>30</v>
      </c>
      <c r="O118" s="9">
        <f>VLOOKUP(D118,HORARIOS!B:D,3,0)</f>
        <v>0.58333333333333337</v>
      </c>
      <c r="P118" s="9" t="str">
        <f>VLOOKUP(A118,HORARIOS!A:E,5,0)</f>
        <v>17:00 hrs</v>
      </c>
    </row>
    <row r="119" spans="1:16" ht="15.75" customHeight="1" x14ac:dyDescent="0.25">
      <c r="A119" s="1" t="str">
        <f t="shared" si="1"/>
        <v>600930</v>
      </c>
      <c r="B119" s="1">
        <v>130</v>
      </c>
      <c r="C119" s="1">
        <v>14</v>
      </c>
      <c r="D119" s="1">
        <v>6009</v>
      </c>
      <c r="E119" s="1" t="s">
        <v>46</v>
      </c>
      <c r="F119" s="1" t="s">
        <v>36</v>
      </c>
      <c r="G119" s="1" t="s">
        <v>61</v>
      </c>
      <c r="H119" s="1" t="s">
        <v>62</v>
      </c>
      <c r="I119" s="1" t="s">
        <v>291</v>
      </c>
      <c r="J119" s="1" t="s">
        <v>292</v>
      </c>
      <c r="K119" s="1">
        <v>12</v>
      </c>
      <c r="L119" s="1" t="s">
        <v>64</v>
      </c>
      <c r="M119" s="1" t="str">
        <f>VLOOKUP(D119,HORARIOS!B:H,7,0)</f>
        <v>Dia 5</v>
      </c>
      <c r="N119" s="1">
        <f>VLOOKUP(D119,HORARIOS!B:I,8,0)</f>
        <v>30</v>
      </c>
      <c r="O119" s="9">
        <f>VLOOKUP(D119,HORARIOS!B:D,3,0)</f>
        <v>0.58333333333333337</v>
      </c>
      <c r="P119" s="9" t="str">
        <f>VLOOKUP(A119,HORARIOS!A:E,5,0)</f>
        <v>17:00 hrs</v>
      </c>
    </row>
    <row r="120" spans="1:16" ht="15.75" customHeight="1" x14ac:dyDescent="0.25">
      <c r="A120" s="1" t="str">
        <f t="shared" si="1"/>
        <v>600930</v>
      </c>
      <c r="B120" s="1">
        <v>131</v>
      </c>
      <c r="C120" s="1">
        <v>14</v>
      </c>
      <c r="D120" s="1">
        <v>6009</v>
      </c>
      <c r="E120" s="1" t="s">
        <v>46</v>
      </c>
      <c r="F120" s="1" t="s">
        <v>36</v>
      </c>
      <c r="G120" s="1" t="s">
        <v>72</v>
      </c>
      <c r="H120" s="1" t="s">
        <v>73</v>
      </c>
      <c r="I120" s="1" t="s">
        <v>293</v>
      </c>
      <c r="J120" s="1" t="s">
        <v>293</v>
      </c>
      <c r="K120" s="1">
        <v>12</v>
      </c>
      <c r="M120" s="1" t="str">
        <f>VLOOKUP(D120,HORARIOS!B:H,7,0)</f>
        <v>Dia 5</v>
      </c>
      <c r="N120" s="1">
        <f>VLOOKUP(D120,HORARIOS!B:I,8,0)</f>
        <v>30</v>
      </c>
      <c r="O120" s="9">
        <f>VLOOKUP(D120,HORARIOS!B:D,3,0)</f>
        <v>0.58333333333333337</v>
      </c>
      <c r="P120" s="9" t="str">
        <f>VLOOKUP(A120,HORARIOS!A:E,5,0)</f>
        <v>17:00 hrs</v>
      </c>
    </row>
    <row r="121" spans="1:16" ht="15.75" customHeight="1" x14ac:dyDescent="0.25">
      <c r="A121" s="1" t="str">
        <f t="shared" si="1"/>
        <v>600930</v>
      </c>
      <c r="B121" s="1">
        <v>132</v>
      </c>
      <c r="C121" s="1">
        <v>14</v>
      </c>
      <c r="D121" s="1">
        <v>6009</v>
      </c>
      <c r="E121" s="1" t="s">
        <v>46</v>
      </c>
      <c r="F121" s="1" t="s">
        <v>36</v>
      </c>
      <c r="G121" s="1" t="s">
        <v>88</v>
      </c>
      <c r="H121" s="1" t="s">
        <v>90</v>
      </c>
      <c r="I121" s="1" t="s">
        <v>294</v>
      </c>
      <c r="J121" s="1" t="s">
        <v>294</v>
      </c>
      <c r="K121" s="1">
        <v>12</v>
      </c>
      <c r="M121" s="1" t="str">
        <f>VLOOKUP(D121,HORARIOS!B:H,7,0)</f>
        <v>Dia 5</v>
      </c>
      <c r="N121" s="1">
        <f>VLOOKUP(D121,HORARIOS!B:I,8,0)</f>
        <v>30</v>
      </c>
      <c r="O121" s="9">
        <f>VLOOKUP(D121,HORARIOS!B:D,3,0)</f>
        <v>0.58333333333333337</v>
      </c>
      <c r="P121" s="9" t="str">
        <f>VLOOKUP(A121,HORARIOS!A:E,5,0)</f>
        <v>17:00 hrs</v>
      </c>
    </row>
    <row r="122" spans="1:16" ht="15.75" customHeight="1" x14ac:dyDescent="0.25">
      <c r="A122" s="1" t="str">
        <f t="shared" si="1"/>
        <v>600930</v>
      </c>
      <c r="B122" s="1">
        <v>133</v>
      </c>
      <c r="C122" s="1">
        <v>14</v>
      </c>
      <c r="D122" s="1">
        <v>6009</v>
      </c>
      <c r="E122" s="1" t="s">
        <v>46</v>
      </c>
      <c r="F122" s="1" t="s">
        <v>36</v>
      </c>
      <c r="G122" s="1" t="s">
        <v>96</v>
      </c>
      <c r="H122" s="1" t="s">
        <v>62</v>
      </c>
      <c r="I122" s="1" t="s">
        <v>295</v>
      </c>
      <c r="J122" s="1" t="s">
        <v>296</v>
      </c>
      <c r="K122" s="1">
        <v>12</v>
      </c>
      <c r="M122" s="1" t="str">
        <f>VLOOKUP(D122,HORARIOS!B:H,7,0)</f>
        <v>Dia 5</v>
      </c>
      <c r="N122" s="1">
        <f>VLOOKUP(D122,HORARIOS!B:I,8,0)</f>
        <v>30</v>
      </c>
      <c r="O122" s="9">
        <f>VLOOKUP(D122,HORARIOS!B:D,3,0)</f>
        <v>0.58333333333333337</v>
      </c>
      <c r="P122" s="9" t="str">
        <f>VLOOKUP(A122,HORARIOS!A:E,5,0)</f>
        <v>17:00 hrs</v>
      </c>
    </row>
    <row r="123" spans="1:16" ht="15.75" customHeight="1" x14ac:dyDescent="0.25">
      <c r="A123" s="1" t="str">
        <f t="shared" si="1"/>
        <v>600930</v>
      </c>
      <c r="B123" s="1">
        <v>134</v>
      </c>
      <c r="C123" s="1">
        <v>14</v>
      </c>
      <c r="D123" s="1">
        <v>6009</v>
      </c>
      <c r="E123" s="1" t="s">
        <v>46</v>
      </c>
      <c r="F123" s="1" t="s">
        <v>36</v>
      </c>
      <c r="G123" s="1" t="s">
        <v>98</v>
      </c>
      <c r="H123" s="1" t="s">
        <v>99</v>
      </c>
      <c r="I123" s="1" t="s">
        <v>297</v>
      </c>
      <c r="J123" s="1" t="s">
        <v>297</v>
      </c>
      <c r="K123" s="1">
        <v>12</v>
      </c>
      <c r="L123" s="1" t="s">
        <v>101</v>
      </c>
      <c r="M123" s="1" t="str">
        <f>VLOOKUP(D123,HORARIOS!B:H,7,0)</f>
        <v>Dia 5</v>
      </c>
      <c r="N123" s="1">
        <f>VLOOKUP(D123,HORARIOS!B:I,8,0)</f>
        <v>30</v>
      </c>
      <c r="O123" s="9">
        <f>VLOOKUP(D123,HORARIOS!B:D,3,0)</f>
        <v>0.58333333333333337</v>
      </c>
      <c r="P123" s="9" t="str">
        <f>VLOOKUP(A123,HORARIOS!A:E,5,0)</f>
        <v>17:00 hrs</v>
      </c>
    </row>
    <row r="124" spans="1:16" ht="15.75" customHeight="1" x14ac:dyDescent="0.25">
      <c r="A124" s="1" t="str">
        <f t="shared" si="1"/>
        <v>600930</v>
      </c>
      <c r="B124" s="1">
        <v>135</v>
      </c>
      <c r="C124" s="1">
        <v>14</v>
      </c>
      <c r="D124" s="1">
        <v>6009</v>
      </c>
      <c r="E124" s="1" t="s">
        <v>46</v>
      </c>
      <c r="F124" s="1" t="s">
        <v>36</v>
      </c>
      <c r="G124" s="1" t="s">
        <v>98</v>
      </c>
      <c r="H124" s="1" t="s">
        <v>99</v>
      </c>
      <c r="I124" s="1" t="s">
        <v>298</v>
      </c>
      <c r="J124" s="1" t="s">
        <v>298</v>
      </c>
      <c r="K124" s="1">
        <v>12</v>
      </c>
      <c r="L124" s="1" t="s">
        <v>101</v>
      </c>
      <c r="M124" s="1" t="str">
        <f>VLOOKUP(D124,HORARIOS!B:H,7,0)</f>
        <v>Dia 5</v>
      </c>
      <c r="N124" s="1">
        <f>VLOOKUP(D124,HORARIOS!B:I,8,0)</f>
        <v>30</v>
      </c>
      <c r="O124" s="9">
        <f>VLOOKUP(D124,HORARIOS!B:D,3,0)</f>
        <v>0.58333333333333337</v>
      </c>
      <c r="P124" s="9" t="str">
        <f>VLOOKUP(A124,HORARIOS!A:E,5,0)</f>
        <v>17:00 hrs</v>
      </c>
    </row>
    <row r="125" spans="1:16" ht="15.75" customHeight="1" x14ac:dyDescent="0.25">
      <c r="A125" s="1" t="str">
        <f t="shared" si="1"/>
        <v>600930</v>
      </c>
      <c r="B125" s="1">
        <v>137</v>
      </c>
      <c r="C125" s="1">
        <v>14</v>
      </c>
      <c r="D125" s="1">
        <v>6009</v>
      </c>
      <c r="E125" s="1" t="s">
        <v>46</v>
      </c>
      <c r="F125" s="1" t="s">
        <v>36</v>
      </c>
      <c r="G125" s="1" t="s">
        <v>98</v>
      </c>
      <c r="H125" s="1" t="s">
        <v>99</v>
      </c>
      <c r="I125" s="1" t="s">
        <v>299</v>
      </c>
      <c r="J125" s="1" t="s">
        <v>299</v>
      </c>
      <c r="K125" s="1">
        <v>12</v>
      </c>
      <c r="L125" s="1" t="s">
        <v>101</v>
      </c>
      <c r="M125" s="1" t="str">
        <f>VLOOKUP(D125,HORARIOS!B:H,7,0)</f>
        <v>Dia 5</v>
      </c>
      <c r="N125" s="1">
        <f>VLOOKUP(D125,HORARIOS!B:I,8,0)</f>
        <v>30</v>
      </c>
      <c r="O125" s="9">
        <f>VLOOKUP(D125,HORARIOS!B:D,3,0)</f>
        <v>0.58333333333333337</v>
      </c>
      <c r="P125" s="9" t="str">
        <f>VLOOKUP(A125,HORARIOS!A:E,5,0)</f>
        <v>17:00 hrs</v>
      </c>
    </row>
    <row r="126" spans="1:16" ht="15.75" customHeight="1" x14ac:dyDescent="0.25">
      <c r="A126" s="1" t="str">
        <f t="shared" si="1"/>
        <v>600930</v>
      </c>
      <c r="B126" s="1">
        <v>138</v>
      </c>
      <c r="C126" s="1">
        <v>14</v>
      </c>
      <c r="D126" s="1">
        <v>6009</v>
      </c>
      <c r="E126" s="1" t="s">
        <v>46</v>
      </c>
      <c r="F126" s="1" t="s">
        <v>36</v>
      </c>
      <c r="G126" s="1" t="s">
        <v>98</v>
      </c>
      <c r="H126" s="1" t="s">
        <v>99</v>
      </c>
      <c r="I126" s="1" t="s">
        <v>300</v>
      </c>
      <c r="J126" s="1" t="s">
        <v>300</v>
      </c>
      <c r="K126" s="1">
        <v>12</v>
      </c>
      <c r="L126" s="1" t="s">
        <v>101</v>
      </c>
      <c r="M126" s="1" t="str">
        <f>VLOOKUP(D126,HORARIOS!B:H,7,0)</f>
        <v>Dia 5</v>
      </c>
      <c r="N126" s="1">
        <f>VLOOKUP(D126,HORARIOS!B:I,8,0)</f>
        <v>30</v>
      </c>
      <c r="O126" s="9">
        <f>VLOOKUP(D126,HORARIOS!B:D,3,0)</f>
        <v>0.58333333333333337</v>
      </c>
      <c r="P126" s="9" t="str">
        <f>VLOOKUP(A126,HORARIOS!A:E,5,0)</f>
        <v>17:00 hrs</v>
      </c>
    </row>
    <row r="127" spans="1:16" ht="15.75" customHeight="1" x14ac:dyDescent="0.25">
      <c r="A127" s="1" t="str">
        <f t="shared" si="1"/>
        <v>600930</v>
      </c>
      <c r="B127" s="1">
        <v>139</v>
      </c>
      <c r="C127" s="1">
        <v>14</v>
      </c>
      <c r="D127" s="1">
        <v>6009</v>
      </c>
      <c r="E127" s="1" t="s">
        <v>46</v>
      </c>
      <c r="F127" s="1" t="s">
        <v>36</v>
      </c>
      <c r="G127" s="1" t="s">
        <v>114</v>
      </c>
      <c r="H127" s="1" t="s">
        <v>39</v>
      </c>
      <c r="I127" s="1" t="s">
        <v>52</v>
      </c>
      <c r="J127" s="1" t="s">
        <v>52</v>
      </c>
      <c r="K127" s="1">
        <v>2</v>
      </c>
      <c r="L127" s="1" t="s">
        <v>115</v>
      </c>
      <c r="M127" s="1" t="str">
        <f>VLOOKUP(D127,HORARIOS!B:H,7,0)</f>
        <v>Dia 5</v>
      </c>
      <c r="N127" s="1">
        <f>VLOOKUP(D127,HORARIOS!B:I,8,0)</f>
        <v>30</v>
      </c>
      <c r="O127" s="9">
        <f>VLOOKUP(D127,HORARIOS!B:D,3,0)</f>
        <v>0.58333333333333337</v>
      </c>
      <c r="P127" s="9" t="str">
        <f>VLOOKUP(A127,HORARIOS!A:E,5,0)</f>
        <v>17:00 hrs</v>
      </c>
    </row>
    <row r="128" spans="1:16" ht="15.75" customHeight="1" x14ac:dyDescent="0.25">
      <c r="A128" s="1" t="str">
        <f t="shared" si="1"/>
        <v>600930</v>
      </c>
      <c r="B128" s="1">
        <v>140</v>
      </c>
      <c r="C128" s="1">
        <v>14</v>
      </c>
      <c r="D128" s="1">
        <v>6009</v>
      </c>
      <c r="E128" s="1" t="s">
        <v>46</v>
      </c>
      <c r="F128" s="1" t="s">
        <v>36</v>
      </c>
      <c r="G128" s="1" t="s">
        <v>134</v>
      </c>
      <c r="H128" s="1" t="s">
        <v>135</v>
      </c>
      <c r="I128" s="1" t="s">
        <v>301</v>
      </c>
      <c r="J128" s="1" t="s">
        <v>302</v>
      </c>
      <c r="K128" s="1">
        <v>12</v>
      </c>
      <c r="L128" s="1" t="s">
        <v>138</v>
      </c>
      <c r="M128" s="1" t="str">
        <f>VLOOKUP(D128,HORARIOS!B:H,7,0)</f>
        <v>Dia 5</v>
      </c>
      <c r="N128" s="1">
        <f>VLOOKUP(D128,HORARIOS!B:I,8,0)</f>
        <v>30</v>
      </c>
      <c r="O128" s="9">
        <f>VLOOKUP(D128,HORARIOS!B:D,3,0)</f>
        <v>0.58333333333333337</v>
      </c>
      <c r="P128" s="9" t="str">
        <f>VLOOKUP(A128,HORARIOS!A:E,5,0)</f>
        <v>17:00 hrs</v>
      </c>
    </row>
    <row r="129" spans="1:16" ht="15.75" customHeight="1" x14ac:dyDescent="0.25">
      <c r="A129" s="1" t="str">
        <f t="shared" si="1"/>
        <v>600930</v>
      </c>
      <c r="B129" s="1">
        <v>141</v>
      </c>
      <c r="C129" s="1">
        <v>14</v>
      </c>
      <c r="D129" s="1">
        <v>6009</v>
      </c>
      <c r="E129" s="1" t="s">
        <v>46</v>
      </c>
      <c r="F129" s="1" t="s">
        <v>36</v>
      </c>
      <c r="G129" s="1" t="s">
        <v>145</v>
      </c>
      <c r="H129" s="1" t="s">
        <v>52</v>
      </c>
      <c r="I129" s="1" t="s">
        <v>303</v>
      </c>
      <c r="J129" s="1" t="s">
        <v>303</v>
      </c>
      <c r="K129" s="1">
        <v>12</v>
      </c>
      <c r="M129" s="1" t="str">
        <f>VLOOKUP(D129,HORARIOS!B:H,7,0)</f>
        <v>Dia 5</v>
      </c>
      <c r="N129" s="1">
        <f>VLOOKUP(D129,HORARIOS!B:I,8,0)</f>
        <v>30</v>
      </c>
      <c r="O129" s="9">
        <f>VLOOKUP(D129,HORARIOS!B:D,3,0)</f>
        <v>0.58333333333333337</v>
      </c>
      <c r="P129" s="9" t="str">
        <f>VLOOKUP(A129,HORARIOS!A:E,5,0)</f>
        <v>17:00 hrs</v>
      </c>
    </row>
    <row r="130" spans="1:16" ht="15.75" customHeight="1" x14ac:dyDescent="0.25">
      <c r="A130" s="1" t="str">
        <f t="shared" si="1"/>
        <v>600930</v>
      </c>
      <c r="B130" s="1">
        <v>142</v>
      </c>
      <c r="C130" s="1">
        <v>14</v>
      </c>
      <c r="D130" s="1">
        <v>6009</v>
      </c>
      <c r="E130" s="1" t="s">
        <v>46</v>
      </c>
      <c r="F130" s="1" t="s">
        <v>36</v>
      </c>
      <c r="G130" s="1" t="s">
        <v>159</v>
      </c>
      <c r="H130" s="1" t="s">
        <v>160</v>
      </c>
      <c r="I130" s="1" t="s">
        <v>304</v>
      </c>
      <c r="J130" s="1" t="s">
        <v>304</v>
      </c>
      <c r="K130" s="1">
        <v>12</v>
      </c>
      <c r="M130" s="1" t="str">
        <f>VLOOKUP(D130,HORARIOS!B:H,7,0)</f>
        <v>Dia 5</v>
      </c>
      <c r="N130" s="1">
        <f>VLOOKUP(D130,HORARIOS!B:I,8,0)</f>
        <v>30</v>
      </c>
      <c r="O130" s="9">
        <f>VLOOKUP(D130,HORARIOS!B:D,3,0)</f>
        <v>0.58333333333333337</v>
      </c>
      <c r="P130" s="9" t="str">
        <f>VLOOKUP(A130,HORARIOS!A:E,5,0)</f>
        <v>17:00 hrs</v>
      </c>
    </row>
    <row r="131" spans="1:16" ht="15.75" customHeight="1" x14ac:dyDescent="0.25">
      <c r="A131" s="1" t="str">
        <f t="shared" si="1"/>
        <v>601029</v>
      </c>
      <c r="B131" s="1">
        <v>143</v>
      </c>
      <c r="C131" s="1">
        <v>13</v>
      </c>
      <c r="D131" s="1">
        <v>6010</v>
      </c>
      <c r="E131" s="1" t="s">
        <v>47</v>
      </c>
      <c r="F131" s="1" t="s">
        <v>36</v>
      </c>
      <c r="G131" s="1" t="s">
        <v>37</v>
      </c>
      <c r="H131" s="1" t="s">
        <v>39</v>
      </c>
      <c r="I131" t="s">
        <v>1016</v>
      </c>
      <c r="J131" t="s">
        <v>1016</v>
      </c>
      <c r="K131" s="1">
        <v>12</v>
      </c>
      <c r="L131" s="1" t="s">
        <v>305</v>
      </c>
      <c r="M131" s="1" t="str">
        <f>VLOOKUP(D131,HORARIOS!B:H,7,0)</f>
        <v>Dia 5</v>
      </c>
      <c r="N131" s="1">
        <f>VLOOKUP(D131,HORARIOS!B:I,8,0)</f>
        <v>29</v>
      </c>
      <c r="O131" s="9">
        <f>VLOOKUP(D131,HORARIOS!B:D,3,0)</f>
        <v>0.54166666666666663</v>
      </c>
      <c r="P131" s="9" t="str">
        <f>VLOOKUP(A131,HORARIOS!A:E,5,0)</f>
        <v>16:30 hrs</v>
      </c>
    </row>
    <row r="132" spans="1:16" ht="15.75" customHeight="1" x14ac:dyDescent="0.25">
      <c r="A132" s="1" t="str">
        <f t="shared" si="1"/>
        <v>601029</v>
      </c>
      <c r="B132" s="1">
        <v>145</v>
      </c>
      <c r="C132" s="1">
        <v>13</v>
      </c>
      <c r="D132" s="1">
        <v>6010</v>
      </c>
      <c r="E132" s="1" t="s">
        <v>47</v>
      </c>
      <c r="F132" s="1" t="s">
        <v>36</v>
      </c>
      <c r="G132" s="1" t="s">
        <v>51</v>
      </c>
      <c r="H132" s="1" t="s">
        <v>52</v>
      </c>
      <c r="I132" s="1" t="s">
        <v>306</v>
      </c>
      <c r="J132" s="1" t="s">
        <v>307</v>
      </c>
      <c r="K132" s="1">
        <v>12</v>
      </c>
      <c r="M132" s="1" t="str">
        <f>VLOOKUP(D132,HORARIOS!B:H,7,0)</f>
        <v>Dia 5</v>
      </c>
      <c r="N132" s="1">
        <f>VLOOKUP(D132,HORARIOS!B:I,8,0)</f>
        <v>29</v>
      </c>
      <c r="O132" s="9">
        <f>VLOOKUP(D132,HORARIOS!B:D,3,0)</f>
        <v>0.54166666666666663</v>
      </c>
      <c r="P132" s="9" t="str">
        <f>VLOOKUP(A132,HORARIOS!A:E,5,0)</f>
        <v>16:30 hrs</v>
      </c>
    </row>
    <row r="133" spans="1:16" ht="15.75" customHeight="1" x14ac:dyDescent="0.25">
      <c r="A133" s="1" t="str">
        <f t="shared" si="1"/>
        <v>601029</v>
      </c>
      <c r="B133" s="1">
        <v>146</v>
      </c>
      <c r="C133" s="1">
        <v>13</v>
      </c>
      <c r="D133" s="1">
        <v>6010</v>
      </c>
      <c r="E133" s="1" t="s">
        <v>47</v>
      </c>
      <c r="F133" s="1" t="s">
        <v>36</v>
      </c>
      <c r="G133" s="1" t="s">
        <v>61</v>
      </c>
      <c r="H133" s="1" t="s">
        <v>62</v>
      </c>
      <c r="I133" s="1" t="s">
        <v>308</v>
      </c>
      <c r="J133" s="1" t="s">
        <v>308</v>
      </c>
      <c r="K133" s="1">
        <v>12</v>
      </c>
      <c r="L133" s="1" t="s">
        <v>64</v>
      </c>
      <c r="M133" s="1" t="str">
        <f>VLOOKUP(D133,HORARIOS!B:H,7,0)</f>
        <v>Dia 5</v>
      </c>
      <c r="N133" s="1">
        <f>VLOOKUP(D133,HORARIOS!B:I,8,0)</f>
        <v>29</v>
      </c>
      <c r="O133" s="9">
        <f>VLOOKUP(D133,HORARIOS!B:D,3,0)</f>
        <v>0.54166666666666663</v>
      </c>
      <c r="P133" s="9" t="str">
        <f>VLOOKUP(A133,HORARIOS!A:E,5,0)</f>
        <v>16:30 hrs</v>
      </c>
    </row>
    <row r="134" spans="1:16" ht="15.75" customHeight="1" x14ac:dyDescent="0.25">
      <c r="A134" s="1" t="str">
        <f t="shared" ref="A134:A197" si="2">D134&amp;N134</f>
        <v>601029</v>
      </c>
      <c r="B134" s="1">
        <v>147</v>
      </c>
      <c r="C134" s="1">
        <v>13</v>
      </c>
      <c r="D134" s="1">
        <v>6010</v>
      </c>
      <c r="E134" s="1" t="s">
        <v>47</v>
      </c>
      <c r="F134" s="1" t="s">
        <v>36</v>
      </c>
      <c r="G134" s="1" t="s">
        <v>72</v>
      </c>
      <c r="H134" s="1" t="s">
        <v>73</v>
      </c>
      <c r="I134" s="1" t="s">
        <v>309</v>
      </c>
      <c r="J134" s="1" t="s">
        <v>309</v>
      </c>
      <c r="K134" s="1">
        <v>12</v>
      </c>
      <c r="M134" s="1" t="str">
        <f>VLOOKUP(D134,HORARIOS!B:H,7,0)</f>
        <v>Dia 5</v>
      </c>
      <c r="N134" s="1">
        <f>VLOOKUP(D134,HORARIOS!B:I,8,0)</f>
        <v>29</v>
      </c>
      <c r="O134" s="9">
        <f>VLOOKUP(D134,HORARIOS!B:D,3,0)</f>
        <v>0.54166666666666663</v>
      </c>
      <c r="P134" s="9" t="str">
        <f>VLOOKUP(A134,HORARIOS!A:E,5,0)</f>
        <v>16:30 hrs</v>
      </c>
    </row>
    <row r="135" spans="1:16" ht="15.75" customHeight="1" x14ac:dyDescent="0.25">
      <c r="A135" s="1" t="str">
        <f t="shared" si="2"/>
        <v>601029</v>
      </c>
      <c r="B135" s="1">
        <v>148</v>
      </c>
      <c r="C135" s="1">
        <v>13</v>
      </c>
      <c r="D135" s="1">
        <v>6010</v>
      </c>
      <c r="E135" s="1" t="s">
        <v>47</v>
      </c>
      <c r="F135" s="1" t="s">
        <v>36</v>
      </c>
      <c r="G135" s="1" t="s">
        <v>88</v>
      </c>
      <c r="H135" s="1" t="s">
        <v>90</v>
      </c>
      <c r="I135" s="1" t="s">
        <v>310</v>
      </c>
      <c r="J135" s="1" t="s">
        <v>310</v>
      </c>
      <c r="K135" s="1">
        <v>12</v>
      </c>
      <c r="M135" s="1" t="str">
        <f>VLOOKUP(D135,HORARIOS!B:H,7,0)</f>
        <v>Dia 5</v>
      </c>
      <c r="N135" s="1">
        <f>VLOOKUP(D135,HORARIOS!B:I,8,0)</f>
        <v>29</v>
      </c>
      <c r="O135" s="9">
        <f>VLOOKUP(D135,HORARIOS!B:D,3,0)</f>
        <v>0.54166666666666663</v>
      </c>
      <c r="P135" s="9" t="str">
        <f>VLOOKUP(A135,HORARIOS!A:E,5,0)</f>
        <v>16:30 hrs</v>
      </c>
    </row>
    <row r="136" spans="1:16" ht="15.75" customHeight="1" x14ac:dyDescent="0.25">
      <c r="A136" s="1" t="str">
        <f t="shared" si="2"/>
        <v>601029</v>
      </c>
      <c r="B136" s="1">
        <v>149</v>
      </c>
      <c r="C136" s="1">
        <v>13</v>
      </c>
      <c r="D136" s="1">
        <v>6010</v>
      </c>
      <c r="E136" s="1" t="s">
        <v>47</v>
      </c>
      <c r="F136" s="1" t="s">
        <v>36</v>
      </c>
      <c r="G136" s="1" t="s">
        <v>96</v>
      </c>
      <c r="H136" s="1" t="s">
        <v>62</v>
      </c>
      <c r="I136" s="1" t="s">
        <v>311</v>
      </c>
      <c r="J136" s="1" t="s">
        <v>312</v>
      </c>
      <c r="K136" s="1">
        <v>12</v>
      </c>
      <c r="M136" s="1" t="str">
        <f>VLOOKUP(D136,HORARIOS!B:H,7,0)</f>
        <v>Dia 5</v>
      </c>
      <c r="N136" s="1">
        <f>VLOOKUP(D136,HORARIOS!B:I,8,0)</f>
        <v>29</v>
      </c>
      <c r="O136" s="9">
        <f>VLOOKUP(D136,HORARIOS!B:D,3,0)</f>
        <v>0.54166666666666663</v>
      </c>
      <c r="P136" s="9" t="str">
        <f>VLOOKUP(A136,HORARIOS!A:E,5,0)</f>
        <v>16:30 hrs</v>
      </c>
    </row>
    <row r="137" spans="1:16" ht="15.75" customHeight="1" x14ac:dyDescent="0.25">
      <c r="A137" s="1" t="str">
        <f t="shared" si="2"/>
        <v>601029</v>
      </c>
      <c r="B137" s="1">
        <v>150</v>
      </c>
      <c r="C137" s="1">
        <v>13</v>
      </c>
      <c r="D137" s="1">
        <v>6010</v>
      </c>
      <c r="E137" s="1" t="s">
        <v>47</v>
      </c>
      <c r="F137" s="1" t="s">
        <v>36</v>
      </c>
      <c r="G137" s="1" t="s">
        <v>98</v>
      </c>
      <c r="H137" s="1" t="s">
        <v>99</v>
      </c>
      <c r="I137" s="1" t="s">
        <v>313</v>
      </c>
      <c r="J137" s="1" t="s">
        <v>313</v>
      </c>
      <c r="K137" s="1">
        <v>12</v>
      </c>
      <c r="L137" s="1" t="s">
        <v>101</v>
      </c>
      <c r="M137" s="1" t="str">
        <f>VLOOKUP(D137,HORARIOS!B:H,7,0)</f>
        <v>Dia 5</v>
      </c>
      <c r="N137" s="1">
        <f>VLOOKUP(D137,HORARIOS!B:I,8,0)</f>
        <v>29</v>
      </c>
      <c r="O137" s="9">
        <f>VLOOKUP(D137,HORARIOS!B:D,3,0)</f>
        <v>0.54166666666666663</v>
      </c>
      <c r="P137" s="9" t="str">
        <f>VLOOKUP(A137,HORARIOS!A:E,5,0)</f>
        <v>16:30 hrs</v>
      </c>
    </row>
    <row r="138" spans="1:16" ht="15.75" customHeight="1" x14ac:dyDescent="0.25">
      <c r="A138" s="1" t="str">
        <f t="shared" si="2"/>
        <v>601029</v>
      </c>
      <c r="B138" s="1">
        <v>151</v>
      </c>
      <c r="C138" s="1">
        <v>13</v>
      </c>
      <c r="D138" s="1">
        <v>6010</v>
      </c>
      <c r="E138" s="1" t="s">
        <v>47</v>
      </c>
      <c r="F138" s="1" t="s">
        <v>36</v>
      </c>
      <c r="G138" s="1" t="s">
        <v>98</v>
      </c>
      <c r="H138" s="1" t="s">
        <v>99</v>
      </c>
      <c r="I138" s="1" t="s">
        <v>314</v>
      </c>
      <c r="J138" s="1" t="s">
        <v>314</v>
      </c>
      <c r="K138" s="1">
        <v>12</v>
      </c>
      <c r="L138" s="1" t="s">
        <v>101</v>
      </c>
      <c r="M138" s="1" t="str">
        <f>VLOOKUP(D138,HORARIOS!B:H,7,0)</f>
        <v>Dia 5</v>
      </c>
      <c r="N138" s="1">
        <f>VLOOKUP(D138,HORARIOS!B:I,8,0)</f>
        <v>29</v>
      </c>
      <c r="O138" s="9">
        <f>VLOOKUP(D138,HORARIOS!B:D,3,0)</f>
        <v>0.54166666666666663</v>
      </c>
      <c r="P138" s="9" t="str">
        <f>VLOOKUP(A138,HORARIOS!A:E,5,0)</f>
        <v>16:30 hrs</v>
      </c>
    </row>
    <row r="139" spans="1:16" ht="15.75" customHeight="1" x14ac:dyDescent="0.25">
      <c r="A139" s="1" t="str">
        <f t="shared" si="2"/>
        <v>601029</v>
      </c>
      <c r="B139" s="1">
        <v>153</v>
      </c>
      <c r="C139" s="1">
        <v>13</v>
      </c>
      <c r="D139" s="1">
        <v>6010</v>
      </c>
      <c r="E139" s="1" t="s">
        <v>47</v>
      </c>
      <c r="F139" s="1" t="s">
        <v>36</v>
      </c>
      <c r="G139" s="1" t="s">
        <v>98</v>
      </c>
      <c r="H139" s="1" t="s">
        <v>99</v>
      </c>
      <c r="I139" s="1" t="s">
        <v>315</v>
      </c>
      <c r="J139" s="1" t="s">
        <v>315</v>
      </c>
      <c r="K139" s="1">
        <v>12</v>
      </c>
      <c r="L139" s="1" t="s">
        <v>101</v>
      </c>
      <c r="M139" s="1" t="str">
        <f>VLOOKUP(D139,HORARIOS!B:H,7,0)</f>
        <v>Dia 5</v>
      </c>
      <c r="N139" s="1">
        <f>VLOOKUP(D139,HORARIOS!B:I,8,0)</f>
        <v>29</v>
      </c>
      <c r="O139" s="9">
        <f>VLOOKUP(D139,HORARIOS!B:D,3,0)</f>
        <v>0.54166666666666663</v>
      </c>
      <c r="P139" s="9" t="str">
        <f>VLOOKUP(A139,HORARIOS!A:E,5,0)</f>
        <v>16:30 hrs</v>
      </c>
    </row>
    <row r="140" spans="1:16" ht="15.75" customHeight="1" x14ac:dyDescent="0.25">
      <c r="A140" s="1" t="str">
        <f t="shared" si="2"/>
        <v>601029</v>
      </c>
      <c r="B140" s="1">
        <v>154</v>
      </c>
      <c r="C140" s="1">
        <v>13</v>
      </c>
      <c r="D140" s="1">
        <v>6010</v>
      </c>
      <c r="E140" s="1" t="s">
        <v>47</v>
      </c>
      <c r="F140" s="1" t="s">
        <v>36</v>
      </c>
      <c r="G140" s="1" t="s">
        <v>114</v>
      </c>
      <c r="H140" s="1" t="s">
        <v>39</v>
      </c>
      <c r="I140" s="1" t="s">
        <v>52</v>
      </c>
      <c r="J140" s="1" t="s">
        <v>52</v>
      </c>
      <c r="K140" s="1">
        <v>2</v>
      </c>
      <c r="L140" s="1" t="s">
        <v>115</v>
      </c>
      <c r="M140" s="1" t="str">
        <f>VLOOKUP(D140,HORARIOS!B:H,7,0)</f>
        <v>Dia 5</v>
      </c>
      <c r="N140" s="1">
        <f>VLOOKUP(D140,HORARIOS!B:I,8,0)</f>
        <v>29</v>
      </c>
      <c r="O140" s="9">
        <f>VLOOKUP(D140,HORARIOS!B:D,3,0)</f>
        <v>0.54166666666666663</v>
      </c>
      <c r="P140" s="9" t="str">
        <f>VLOOKUP(A140,HORARIOS!A:E,5,0)</f>
        <v>16:30 hrs</v>
      </c>
    </row>
    <row r="141" spans="1:16" ht="15.75" customHeight="1" x14ac:dyDescent="0.25">
      <c r="A141" s="1" t="str">
        <f t="shared" si="2"/>
        <v>601029</v>
      </c>
      <c r="B141" s="1">
        <v>155</v>
      </c>
      <c r="C141" s="1">
        <v>13</v>
      </c>
      <c r="D141" s="1">
        <v>6010</v>
      </c>
      <c r="E141" s="1" t="s">
        <v>47</v>
      </c>
      <c r="F141" s="1" t="s">
        <v>36</v>
      </c>
      <c r="G141" s="1" t="s">
        <v>134</v>
      </c>
      <c r="H141" s="1" t="s">
        <v>135</v>
      </c>
      <c r="I141" s="1" t="s">
        <v>316</v>
      </c>
      <c r="J141" s="1" t="s">
        <v>317</v>
      </c>
      <c r="K141" s="1">
        <v>12</v>
      </c>
      <c r="L141" s="1" t="s">
        <v>138</v>
      </c>
      <c r="M141" s="1" t="str">
        <f>VLOOKUP(D141,HORARIOS!B:H,7,0)</f>
        <v>Dia 5</v>
      </c>
      <c r="N141" s="1">
        <f>VLOOKUP(D141,HORARIOS!B:I,8,0)</f>
        <v>29</v>
      </c>
      <c r="O141" s="9">
        <f>VLOOKUP(D141,HORARIOS!B:D,3,0)</f>
        <v>0.54166666666666663</v>
      </c>
      <c r="P141" s="9" t="str">
        <f>VLOOKUP(A141,HORARIOS!A:E,5,0)</f>
        <v>16:30 hrs</v>
      </c>
    </row>
    <row r="142" spans="1:16" ht="15.75" customHeight="1" x14ac:dyDescent="0.25">
      <c r="A142" s="1" t="str">
        <f t="shared" si="2"/>
        <v>601029</v>
      </c>
      <c r="B142" s="1">
        <v>156</v>
      </c>
      <c r="C142" s="1">
        <v>13</v>
      </c>
      <c r="D142" s="1">
        <v>6010</v>
      </c>
      <c r="E142" s="1" t="s">
        <v>47</v>
      </c>
      <c r="F142" s="1" t="s">
        <v>36</v>
      </c>
      <c r="G142" s="1" t="s">
        <v>145</v>
      </c>
      <c r="H142" s="1" t="s">
        <v>52</v>
      </c>
      <c r="I142" s="1" t="s">
        <v>318</v>
      </c>
      <c r="J142" s="1" t="s">
        <v>318</v>
      </c>
      <c r="K142" s="1">
        <v>12</v>
      </c>
      <c r="M142" s="1" t="str">
        <f>VLOOKUP(D142,HORARIOS!B:H,7,0)</f>
        <v>Dia 5</v>
      </c>
      <c r="N142" s="1">
        <f>VLOOKUP(D142,HORARIOS!B:I,8,0)</f>
        <v>29</v>
      </c>
      <c r="O142" s="9">
        <f>VLOOKUP(D142,HORARIOS!B:D,3,0)</f>
        <v>0.54166666666666663</v>
      </c>
      <c r="P142" s="9" t="str">
        <f>VLOOKUP(A142,HORARIOS!A:E,5,0)</f>
        <v>16:30 hrs</v>
      </c>
    </row>
    <row r="143" spans="1:16" ht="15.75" customHeight="1" x14ac:dyDescent="0.25">
      <c r="A143" s="1" t="str">
        <f t="shared" si="2"/>
        <v>601029</v>
      </c>
      <c r="B143" s="1">
        <v>157</v>
      </c>
      <c r="C143" s="1">
        <v>13</v>
      </c>
      <c r="D143" s="1">
        <v>6010</v>
      </c>
      <c r="E143" s="1" t="s">
        <v>47</v>
      </c>
      <c r="F143" s="1" t="s">
        <v>36</v>
      </c>
      <c r="G143" s="1" t="s">
        <v>159</v>
      </c>
      <c r="H143" s="1" t="s">
        <v>319</v>
      </c>
      <c r="I143" s="1" t="s">
        <v>320</v>
      </c>
      <c r="J143" s="1" t="s">
        <v>320</v>
      </c>
      <c r="K143" s="1">
        <v>12</v>
      </c>
      <c r="M143" s="1" t="str">
        <f>VLOOKUP(D143,HORARIOS!B:H,7,0)</f>
        <v>Dia 5</v>
      </c>
      <c r="N143" s="1">
        <f>VLOOKUP(D143,HORARIOS!B:I,8,0)</f>
        <v>29</v>
      </c>
      <c r="O143" s="9">
        <f>VLOOKUP(D143,HORARIOS!B:D,3,0)</f>
        <v>0.54166666666666663</v>
      </c>
      <c r="P143" s="9" t="str">
        <f>VLOOKUP(A143,HORARIOS!A:E,5,0)</f>
        <v>16:30 hrs</v>
      </c>
    </row>
    <row r="144" spans="1:16" ht="15.75" customHeight="1" x14ac:dyDescent="0.25">
      <c r="A144" s="1" t="str">
        <f t="shared" si="2"/>
        <v>601134</v>
      </c>
      <c r="B144" s="1">
        <v>158</v>
      </c>
      <c r="C144" s="1">
        <v>13</v>
      </c>
      <c r="D144" s="1">
        <v>6011</v>
      </c>
      <c r="E144" s="1" t="s">
        <v>48</v>
      </c>
      <c r="F144" s="1" t="s">
        <v>36</v>
      </c>
      <c r="G144" s="1" t="s">
        <v>37</v>
      </c>
      <c r="H144" s="1" t="s">
        <v>39</v>
      </c>
      <c r="I144" s="1" t="s">
        <v>321</v>
      </c>
      <c r="J144" s="1" t="s">
        <v>321</v>
      </c>
      <c r="K144" s="1">
        <v>12</v>
      </c>
      <c r="L144" s="1" t="s">
        <v>41</v>
      </c>
      <c r="M144" s="1" t="str">
        <f>VLOOKUP(D144,HORARIOS!B:H,7,0)</f>
        <v>Día 6</v>
      </c>
      <c r="N144" s="1">
        <f>VLOOKUP(D144,HORARIOS!B:I,8,0)</f>
        <v>34</v>
      </c>
      <c r="O144" s="9">
        <f>VLOOKUP(D144,HORARIOS!B:D,3,0)</f>
        <v>0.45833333333333331</v>
      </c>
      <c r="P144" s="9" t="str">
        <f>VLOOKUP(A144,HORARIOS!A:E,5,0)</f>
        <v>17:00 hrs</v>
      </c>
    </row>
    <row r="145" spans="1:16" ht="15.75" customHeight="1" x14ac:dyDescent="0.25">
      <c r="A145" s="1" t="str">
        <f t="shared" si="2"/>
        <v>601134</v>
      </c>
      <c r="B145" s="1">
        <v>159</v>
      </c>
      <c r="C145" s="1">
        <v>13</v>
      </c>
      <c r="D145" s="1">
        <v>6011</v>
      </c>
      <c r="E145" s="1" t="s">
        <v>48</v>
      </c>
      <c r="F145" s="1" t="s">
        <v>36</v>
      </c>
      <c r="G145" s="1" t="s">
        <v>51</v>
      </c>
      <c r="H145" s="1" t="s">
        <v>52</v>
      </c>
      <c r="I145" s="1" t="s">
        <v>322</v>
      </c>
      <c r="J145" s="1" t="s">
        <v>322</v>
      </c>
      <c r="K145" s="1">
        <v>12</v>
      </c>
      <c r="M145" s="1" t="str">
        <f>VLOOKUP(D145,HORARIOS!B:H,7,0)</f>
        <v>Día 6</v>
      </c>
      <c r="N145" s="1">
        <f>VLOOKUP(D145,HORARIOS!B:I,8,0)</f>
        <v>34</v>
      </c>
      <c r="O145" s="9">
        <f>VLOOKUP(D145,HORARIOS!B:D,3,0)</f>
        <v>0.45833333333333331</v>
      </c>
      <c r="P145" s="9" t="str">
        <f>VLOOKUP(A145,HORARIOS!A:E,5,0)</f>
        <v>17:00 hrs</v>
      </c>
    </row>
    <row r="146" spans="1:16" ht="15.75" customHeight="1" x14ac:dyDescent="0.25">
      <c r="A146" s="1" t="str">
        <f t="shared" si="2"/>
        <v>601134</v>
      </c>
      <c r="B146" s="1">
        <v>161</v>
      </c>
      <c r="C146" s="1">
        <v>13</v>
      </c>
      <c r="D146" s="1">
        <v>6011</v>
      </c>
      <c r="E146" s="1" t="s">
        <v>48</v>
      </c>
      <c r="F146" s="1" t="s">
        <v>36</v>
      </c>
      <c r="G146" s="1" t="s">
        <v>61</v>
      </c>
      <c r="H146" s="1" t="s">
        <v>62</v>
      </c>
      <c r="I146" s="1" t="s">
        <v>323</v>
      </c>
      <c r="J146" s="1" t="s">
        <v>324</v>
      </c>
      <c r="K146" s="1">
        <v>12</v>
      </c>
      <c r="L146" s="1" t="s">
        <v>64</v>
      </c>
      <c r="M146" s="1" t="str">
        <f>VLOOKUP(D146,HORARIOS!B:H,7,0)</f>
        <v>Día 6</v>
      </c>
      <c r="N146" s="1">
        <f>VLOOKUP(D146,HORARIOS!B:I,8,0)</f>
        <v>34</v>
      </c>
      <c r="O146" s="9">
        <f>VLOOKUP(D146,HORARIOS!B:D,3,0)</f>
        <v>0.45833333333333331</v>
      </c>
      <c r="P146" s="9" t="str">
        <f>VLOOKUP(A146,HORARIOS!A:E,5,0)</f>
        <v>17:00 hrs</v>
      </c>
    </row>
    <row r="147" spans="1:16" ht="15.75" customHeight="1" x14ac:dyDescent="0.25">
      <c r="A147" s="1" t="str">
        <f t="shared" si="2"/>
        <v>601134</v>
      </c>
      <c r="B147" s="1">
        <v>162</v>
      </c>
      <c r="C147" s="1">
        <v>13</v>
      </c>
      <c r="D147" s="1">
        <v>6011</v>
      </c>
      <c r="E147" s="1" t="s">
        <v>48</v>
      </c>
      <c r="F147" s="1" t="s">
        <v>36</v>
      </c>
      <c r="G147" s="1" t="s">
        <v>72</v>
      </c>
      <c r="H147" s="1" t="s">
        <v>73</v>
      </c>
      <c r="I147" s="1" t="s">
        <v>325</v>
      </c>
      <c r="J147" s="1" t="s">
        <v>325</v>
      </c>
      <c r="K147" s="1">
        <v>12</v>
      </c>
      <c r="M147" s="1" t="str">
        <f>VLOOKUP(D147,HORARIOS!B:H,7,0)</f>
        <v>Día 6</v>
      </c>
      <c r="N147" s="1">
        <f>VLOOKUP(D147,HORARIOS!B:I,8,0)</f>
        <v>34</v>
      </c>
      <c r="O147" s="9">
        <f>VLOOKUP(D147,HORARIOS!B:D,3,0)</f>
        <v>0.45833333333333331</v>
      </c>
      <c r="P147" s="9" t="str">
        <f>VLOOKUP(A147,HORARIOS!A:E,5,0)</f>
        <v>17:00 hrs</v>
      </c>
    </row>
    <row r="148" spans="1:16" ht="15.75" customHeight="1" x14ac:dyDescent="0.25">
      <c r="A148" s="1" t="str">
        <f t="shared" si="2"/>
        <v>601134</v>
      </c>
      <c r="B148" s="1">
        <v>163</v>
      </c>
      <c r="C148" s="1">
        <v>13</v>
      </c>
      <c r="D148" s="1">
        <v>6011</v>
      </c>
      <c r="E148" s="1" t="s">
        <v>48</v>
      </c>
      <c r="F148" s="1" t="s">
        <v>36</v>
      </c>
      <c r="G148" s="1" t="s">
        <v>88</v>
      </c>
      <c r="H148" s="1" t="s">
        <v>90</v>
      </c>
      <c r="I148" s="1" t="s">
        <v>326</v>
      </c>
      <c r="J148" s="1" t="s">
        <v>326</v>
      </c>
      <c r="K148" s="1">
        <v>12</v>
      </c>
      <c r="M148" s="1" t="str">
        <f>VLOOKUP(D148,HORARIOS!B:H,7,0)</f>
        <v>Día 6</v>
      </c>
      <c r="N148" s="1">
        <f>VLOOKUP(D148,HORARIOS!B:I,8,0)</f>
        <v>34</v>
      </c>
      <c r="O148" s="9">
        <f>VLOOKUP(D148,HORARIOS!B:D,3,0)</f>
        <v>0.45833333333333331</v>
      </c>
      <c r="P148" s="9" t="str">
        <f>VLOOKUP(A148,HORARIOS!A:E,5,0)</f>
        <v>17:00 hrs</v>
      </c>
    </row>
    <row r="149" spans="1:16" ht="15.75" customHeight="1" x14ac:dyDescent="0.25">
      <c r="A149" s="1" t="str">
        <f t="shared" si="2"/>
        <v>601134</v>
      </c>
      <c r="B149" s="1">
        <v>164</v>
      </c>
      <c r="C149" s="1">
        <v>13</v>
      </c>
      <c r="D149" s="1">
        <v>6011</v>
      </c>
      <c r="E149" s="1" t="s">
        <v>48</v>
      </c>
      <c r="F149" s="1" t="s">
        <v>36</v>
      </c>
      <c r="G149" s="1" t="s">
        <v>96</v>
      </c>
      <c r="H149" s="1" t="s">
        <v>62</v>
      </c>
      <c r="I149" s="1" t="s">
        <v>327</v>
      </c>
      <c r="J149" s="1" t="s">
        <v>328</v>
      </c>
      <c r="K149" s="1">
        <v>12</v>
      </c>
      <c r="M149" s="1" t="str">
        <f>VLOOKUP(D149,HORARIOS!B:H,7,0)</f>
        <v>Día 6</v>
      </c>
      <c r="N149" s="1">
        <f>VLOOKUP(D149,HORARIOS!B:I,8,0)</f>
        <v>34</v>
      </c>
      <c r="O149" s="9">
        <f>VLOOKUP(D149,HORARIOS!B:D,3,0)</f>
        <v>0.45833333333333331</v>
      </c>
      <c r="P149" s="9" t="str">
        <f>VLOOKUP(A149,HORARIOS!A:E,5,0)</f>
        <v>17:00 hrs</v>
      </c>
    </row>
    <row r="150" spans="1:16" ht="15.75" customHeight="1" x14ac:dyDescent="0.25">
      <c r="A150" s="1" t="str">
        <f t="shared" si="2"/>
        <v>601134</v>
      </c>
      <c r="B150" s="1">
        <v>165</v>
      </c>
      <c r="C150" s="1">
        <v>13</v>
      </c>
      <c r="D150" s="1">
        <v>6011</v>
      </c>
      <c r="E150" s="1" t="s">
        <v>48</v>
      </c>
      <c r="F150" s="1" t="s">
        <v>36</v>
      </c>
      <c r="G150" s="1" t="s">
        <v>98</v>
      </c>
      <c r="H150" s="1" t="s">
        <v>99</v>
      </c>
      <c r="I150" s="1" t="s">
        <v>329</v>
      </c>
      <c r="J150" s="1" t="s">
        <v>329</v>
      </c>
      <c r="K150" s="1">
        <v>12</v>
      </c>
      <c r="L150" s="1" t="s">
        <v>101</v>
      </c>
      <c r="M150" s="1" t="str">
        <f>VLOOKUP(D150,HORARIOS!B:H,7,0)</f>
        <v>Día 6</v>
      </c>
      <c r="N150" s="1">
        <f>VLOOKUP(D150,HORARIOS!B:I,8,0)</f>
        <v>34</v>
      </c>
      <c r="O150" s="9">
        <f>VLOOKUP(D150,HORARIOS!B:D,3,0)</f>
        <v>0.45833333333333331</v>
      </c>
      <c r="P150" s="9" t="str">
        <f>VLOOKUP(A150,HORARIOS!A:E,5,0)</f>
        <v>17:00 hrs</v>
      </c>
    </row>
    <row r="151" spans="1:16" ht="15.75" customHeight="1" x14ac:dyDescent="0.25">
      <c r="A151" s="1" t="str">
        <f t="shared" si="2"/>
        <v>601134</v>
      </c>
      <c r="B151" s="1">
        <v>166</v>
      </c>
      <c r="C151" s="1">
        <v>13</v>
      </c>
      <c r="D151" s="1">
        <v>6011</v>
      </c>
      <c r="E151" s="1" t="s">
        <v>48</v>
      </c>
      <c r="F151" s="1" t="s">
        <v>36</v>
      </c>
      <c r="G151" s="1" t="s">
        <v>98</v>
      </c>
      <c r="H151" s="1" t="s">
        <v>99</v>
      </c>
      <c r="I151" s="1" t="s">
        <v>330</v>
      </c>
      <c r="J151" s="1" t="s">
        <v>330</v>
      </c>
      <c r="K151" s="1">
        <v>12</v>
      </c>
      <c r="L151" s="1" t="s">
        <v>101</v>
      </c>
      <c r="M151" s="1" t="str">
        <f>VLOOKUP(D151,HORARIOS!B:H,7,0)</f>
        <v>Día 6</v>
      </c>
      <c r="N151" s="1">
        <f>VLOOKUP(D151,HORARIOS!B:I,8,0)</f>
        <v>34</v>
      </c>
      <c r="O151" s="9">
        <f>VLOOKUP(D151,HORARIOS!B:D,3,0)</f>
        <v>0.45833333333333331</v>
      </c>
      <c r="P151" s="9" t="str">
        <f>VLOOKUP(A151,HORARIOS!A:E,5,0)</f>
        <v>17:00 hrs</v>
      </c>
    </row>
    <row r="152" spans="1:16" ht="15.75" customHeight="1" x14ac:dyDescent="0.25">
      <c r="A152" s="1" t="str">
        <f t="shared" si="2"/>
        <v>601134</v>
      </c>
      <c r="B152" s="1">
        <v>167</v>
      </c>
      <c r="C152" s="1">
        <v>13</v>
      </c>
      <c r="D152" s="1">
        <v>6011</v>
      </c>
      <c r="E152" s="1" t="s">
        <v>48</v>
      </c>
      <c r="F152" s="1" t="s">
        <v>36</v>
      </c>
      <c r="G152" s="1" t="s">
        <v>98</v>
      </c>
      <c r="H152" s="1" t="s">
        <v>99</v>
      </c>
      <c r="I152" s="1" t="s">
        <v>331</v>
      </c>
      <c r="J152" s="1" t="s">
        <v>331</v>
      </c>
      <c r="K152" s="1">
        <v>12</v>
      </c>
      <c r="L152" s="1" t="s">
        <v>101</v>
      </c>
      <c r="M152" s="1" t="str">
        <f>VLOOKUP(D152,HORARIOS!B:H,7,0)</f>
        <v>Día 6</v>
      </c>
      <c r="N152" s="1">
        <f>VLOOKUP(D152,HORARIOS!B:I,8,0)</f>
        <v>34</v>
      </c>
      <c r="O152" s="9">
        <f>VLOOKUP(D152,HORARIOS!B:D,3,0)</f>
        <v>0.45833333333333331</v>
      </c>
      <c r="P152" s="9" t="str">
        <f>VLOOKUP(A152,HORARIOS!A:E,5,0)</f>
        <v>17:00 hrs</v>
      </c>
    </row>
    <row r="153" spans="1:16" ht="15.75" customHeight="1" x14ac:dyDescent="0.25">
      <c r="A153" s="1" t="str">
        <f t="shared" si="2"/>
        <v>601134</v>
      </c>
      <c r="B153" s="1">
        <v>169</v>
      </c>
      <c r="C153" s="1">
        <v>13</v>
      </c>
      <c r="D153" s="1">
        <v>6011</v>
      </c>
      <c r="E153" s="1" t="s">
        <v>48</v>
      </c>
      <c r="F153" s="1" t="s">
        <v>36</v>
      </c>
      <c r="G153" s="1" t="s">
        <v>114</v>
      </c>
      <c r="H153" s="1" t="s">
        <v>39</v>
      </c>
      <c r="I153" s="1" t="s">
        <v>52</v>
      </c>
      <c r="J153" s="1" t="s">
        <v>52</v>
      </c>
      <c r="K153" s="1">
        <v>2</v>
      </c>
      <c r="L153" s="1" t="s">
        <v>115</v>
      </c>
      <c r="M153" s="1" t="str">
        <f>VLOOKUP(D153,HORARIOS!B:H,7,0)</f>
        <v>Día 6</v>
      </c>
      <c r="N153" s="1">
        <f>VLOOKUP(D153,HORARIOS!B:I,8,0)</f>
        <v>34</v>
      </c>
      <c r="O153" s="9">
        <f>VLOOKUP(D153,HORARIOS!B:D,3,0)</f>
        <v>0.45833333333333331</v>
      </c>
      <c r="P153" s="9" t="str">
        <f>VLOOKUP(A153,HORARIOS!A:E,5,0)</f>
        <v>17:00 hrs</v>
      </c>
    </row>
    <row r="154" spans="1:16" ht="15.75" customHeight="1" x14ac:dyDescent="0.25">
      <c r="A154" s="1" t="str">
        <f t="shared" si="2"/>
        <v>601134</v>
      </c>
      <c r="B154" s="1">
        <v>170</v>
      </c>
      <c r="C154" s="1">
        <v>13</v>
      </c>
      <c r="D154" s="1">
        <v>6011</v>
      </c>
      <c r="E154" s="1" t="s">
        <v>48</v>
      </c>
      <c r="F154" s="1" t="s">
        <v>36</v>
      </c>
      <c r="G154" s="1" t="s">
        <v>134</v>
      </c>
      <c r="H154" s="1" t="s">
        <v>135</v>
      </c>
      <c r="I154" s="1" t="s">
        <v>332</v>
      </c>
      <c r="J154" s="1" t="s">
        <v>333</v>
      </c>
      <c r="K154" s="1">
        <v>12</v>
      </c>
      <c r="L154" s="1" t="s">
        <v>138</v>
      </c>
      <c r="M154" s="1" t="str">
        <f>VLOOKUP(D154,HORARIOS!B:H,7,0)</f>
        <v>Día 6</v>
      </c>
      <c r="N154" s="1">
        <f>VLOOKUP(D154,HORARIOS!B:I,8,0)</f>
        <v>34</v>
      </c>
      <c r="O154" s="9">
        <f>VLOOKUP(D154,HORARIOS!B:D,3,0)</f>
        <v>0.45833333333333331</v>
      </c>
      <c r="P154" s="9" t="str">
        <f>VLOOKUP(A154,HORARIOS!A:E,5,0)</f>
        <v>17:00 hrs</v>
      </c>
    </row>
    <row r="155" spans="1:16" ht="15.75" customHeight="1" x14ac:dyDescent="0.25">
      <c r="A155" s="1" t="str">
        <f t="shared" si="2"/>
        <v>601134</v>
      </c>
      <c r="B155" s="1">
        <v>171</v>
      </c>
      <c r="C155" s="1">
        <v>13</v>
      </c>
      <c r="D155" s="1">
        <v>6011</v>
      </c>
      <c r="E155" s="1" t="s">
        <v>48</v>
      </c>
      <c r="F155" s="1" t="s">
        <v>36</v>
      </c>
      <c r="G155" s="1" t="s">
        <v>145</v>
      </c>
      <c r="H155" s="1" t="s">
        <v>52</v>
      </c>
      <c r="I155" s="1" t="s">
        <v>334</v>
      </c>
      <c r="J155" s="1" t="s">
        <v>335</v>
      </c>
      <c r="K155" s="1">
        <v>12</v>
      </c>
      <c r="M155" s="1" t="str">
        <f>VLOOKUP(D155,HORARIOS!B:H,7,0)</f>
        <v>Día 6</v>
      </c>
      <c r="N155" s="1">
        <f>VLOOKUP(D155,HORARIOS!B:I,8,0)</f>
        <v>34</v>
      </c>
      <c r="O155" s="9">
        <f>VLOOKUP(D155,HORARIOS!B:D,3,0)</f>
        <v>0.45833333333333331</v>
      </c>
      <c r="P155" s="9" t="str">
        <f>VLOOKUP(A155,HORARIOS!A:E,5,0)</f>
        <v>17:00 hrs</v>
      </c>
    </row>
    <row r="156" spans="1:16" ht="15.75" customHeight="1" x14ac:dyDescent="0.25">
      <c r="A156" s="1" t="str">
        <f t="shared" si="2"/>
        <v>601134</v>
      </c>
      <c r="B156" s="1">
        <v>172</v>
      </c>
      <c r="C156" s="1">
        <v>13</v>
      </c>
      <c r="D156" s="1">
        <v>6011</v>
      </c>
      <c r="E156" s="1" t="s">
        <v>48</v>
      </c>
      <c r="F156" s="1" t="s">
        <v>36</v>
      </c>
      <c r="G156" s="1" t="s">
        <v>159</v>
      </c>
      <c r="H156" s="1" t="s">
        <v>160</v>
      </c>
      <c r="I156" s="1" t="s">
        <v>336</v>
      </c>
      <c r="J156" s="1" t="s">
        <v>337</v>
      </c>
      <c r="K156" s="1">
        <v>12</v>
      </c>
      <c r="M156" s="1" t="str">
        <f>VLOOKUP(D156,HORARIOS!B:H,7,0)</f>
        <v>Día 6</v>
      </c>
      <c r="N156" s="1">
        <f>VLOOKUP(D156,HORARIOS!B:I,8,0)</f>
        <v>34</v>
      </c>
      <c r="O156" s="9">
        <f>VLOOKUP(D156,HORARIOS!B:D,3,0)</f>
        <v>0.45833333333333331</v>
      </c>
      <c r="P156" s="9" t="str">
        <f>VLOOKUP(A156,HORARIOS!A:E,5,0)</f>
        <v>17:00 hrs</v>
      </c>
    </row>
    <row r="157" spans="1:16" ht="15.75" customHeight="1" x14ac:dyDescent="0.25">
      <c r="A157" s="1" t="str">
        <f t="shared" si="2"/>
        <v>601211</v>
      </c>
      <c r="B157" s="1">
        <v>173</v>
      </c>
      <c r="C157" s="1">
        <v>13</v>
      </c>
      <c r="D157" s="1">
        <v>6012</v>
      </c>
      <c r="E157" s="1" t="s">
        <v>49</v>
      </c>
      <c r="F157" s="1" t="s">
        <v>36</v>
      </c>
      <c r="G157" s="1" t="s">
        <v>37</v>
      </c>
      <c r="H157" s="1" t="s">
        <v>39</v>
      </c>
      <c r="I157" s="1" t="s">
        <v>338</v>
      </c>
      <c r="J157" s="1" t="s">
        <v>339</v>
      </c>
      <c r="K157" s="1">
        <v>12</v>
      </c>
      <c r="L157" s="1" t="s">
        <v>41</v>
      </c>
      <c r="M157" s="1" t="str">
        <f>VLOOKUP(D157,HORARIOS!B:H,7,0)</f>
        <v>Día 2</v>
      </c>
      <c r="N157" s="1">
        <f>VLOOKUP(D157,HORARIOS!B:I,8,0)</f>
        <v>11</v>
      </c>
      <c r="O157" s="9">
        <f>VLOOKUP(D157,HORARIOS!B:D,3,0)</f>
        <v>0.52083333333333337</v>
      </c>
      <c r="P157" s="9" t="str">
        <f>VLOOKUP(A157,HORARIOS!A:E,5,0)</f>
        <v>17:00 hrs</v>
      </c>
    </row>
    <row r="158" spans="1:16" ht="15.75" customHeight="1" x14ac:dyDescent="0.25">
      <c r="A158" s="1" t="str">
        <f t="shared" si="2"/>
        <v>601211</v>
      </c>
      <c r="B158" s="1">
        <v>174</v>
      </c>
      <c r="C158" s="1">
        <v>13</v>
      </c>
      <c r="D158" s="1">
        <v>6012</v>
      </c>
      <c r="E158" s="1" t="s">
        <v>49</v>
      </c>
      <c r="F158" s="1" t="s">
        <v>36</v>
      </c>
      <c r="G158" s="1" t="s">
        <v>51</v>
      </c>
      <c r="H158" s="1" t="s">
        <v>52</v>
      </c>
      <c r="I158" s="1" t="s">
        <v>340</v>
      </c>
      <c r="J158" s="1" t="s">
        <v>341</v>
      </c>
      <c r="K158" s="1">
        <v>12</v>
      </c>
      <c r="M158" s="1" t="str">
        <f>VLOOKUP(D158,HORARIOS!B:H,7,0)</f>
        <v>Día 2</v>
      </c>
      <c r="N158" s="1">
        <f>VLOOKUP(D158,HORARIOS!B:I,8,0)</f>
        <v>11</v>
      </c>
      <c r="O158" s="9">
        <f>VLOOKUP(D158,HORARIOS!B:D,3,0)</f>
        <v>0.52083333333333337</v>
      </c>
      <c r="P158" s="9" t="str">
        <f>VLOOKUP(A158,HORARIOS!A:E,5,0)</f>
        <v>17:00 hrs</v>
      </c>
    </row>
    <row r="159" spans="1:16" ht="15.75" customHeight="1" x14ac:dyDescent="0.25">
      <c r="A159" s="1" t="str">
        <f t="shared" si="2"/>
        <v>601211</v>
      </c>
      <c r="B159" s="1">
        <v>175</v>
      </c>
      <c r="C159" s="1">
        <v>13</v>
      </c>
      <c r="D159" s="1">
        <v>6012</v>
      </c>
      <c r="E159" s="1" t="s">
        <v>49</v>
      </c>
      <c r="F159" s="1" t="s">
        <v>36</v>
      </c>
      <c r="G159" s="1" t="s">
        <v>61</v>
      </c>
      <c r="H159" s="1" t="s">
        <v>62</v>
      </c>
      <c r="I159" s="1" t="s">
        <v>342</v>
      </c>
      <c r="J159" s="1" t="s">
        <v>342</v>
      </c>
      <c r="K159" s="1">
        <v>12</v>
      </c>
      <c r="L159" s="1" t="s">
        <v>64</v>
      </c>
      <c r="M159" s="1" t="str">
        <f>VLOOKUP(D159,HORARIOS!B:H,7,0)</f>
        <v>Día 2</v>
      </c>
      <c r="N159" s="1">
        <f>VLOOKUP(D159,HORARIOS!B:I,8,0)</f>
        <v>11</v>
      </c>
      <c r="O159" s="9">
        <f>VLOOKUP(D159,HORARIOS!B:D,3,0)</f>
        <v>0.52083333333333337</v>
      </c>
      <c r="P159" s="9" t="str">
        <f>VLOOKUP(A159,HORARIOS!A:E,5,0)</f>
        <v>17:00 hrs</v>
      </c>
    </row>
    <row r="160" spans="1:16" ht="15.75" customHeight="1" x14ac:dyDescent="0.25">
      <c r="A160" s="1" t="str">
        <f t="shared" si="2"/>
        <v>601211</v>
      </c>
      <c r="B160" s="1">
        <v>177</v>
      </c>
      <c r="C160" s="1">
        <v>13</v>
      </c>
      <c r="D160" s="1">
        <v>6012</v>
      </c>
      <c r="E160" s="1" t="s">
        <v>49</v>
      </c>
      <c r="F160" s="1" t="s">
        <v>36</v>
      </c>
      <c r="G160" s="1" t="s">
        <v>72</v>
      </c>
      <c r="H160" s="1" t="s">
        <v>73</v>
      </c>
      <c r="I160" s="1" t="s">
        <v>343</v>
      </c>
      <c r="J160" s="1" t="s">
        <v>344</v>
      </c>
      <c r="K160" s="1">
        <v>12</v>
      </c>
      <c r="M160" s="1" t="str">
        <f>VLOOKUP(D160,HORARIOS!B:H,7,0)</f>
        <v>Día 2</v>
      </c>
      <c r="N160" s="1">
        <f>VLOOKUP(D160,HORARIOS!B:I,8,0)</f>
        <v>11</v>
      </c>
      <c r="O160" s="9">
        <f>VLOOKUP(D160,HORARIOS!B:D,3,0)</f>
        <v>0.52083333333333337</v>
      </c>
      <c r="P160" s="9" t="str">
        <f>VLOOKUP(A160,HORARIOS!A:E,5,0)</f>
        <v>17:00 hrs</v>
      </c>
    </row>
    <row r="161" spans="1:16" ht="15.75" customHeight="1" x14ac:dyDescent="0.25">
      <c r="A161" s="1" t="str">
        <f t="shared" si="2"/>
        <v>601211</v>
      </c>
      <c r="B161" s="1">
        <v>178</v>
      </c>
      <c r="C161" s="1">
        <v>13</v>
      </c>
      <c r="D161" s="1">
        <v>6012</v>
      </c>
      <c r="E161" s="1" t="s">
        <v>49</v>
      </c>
      <c r="F161" s="1" t="s">
        <v>36</v>
      </c>
      <c r="G161" s="1" t="s">
        <v>88</v>
      </c>
      <c r="H161" s="1" t="s">
        <v>90</v>
      </c>
      <c r="I161" s="1" t="s">
        <v>345</v>
      </c>
      <c r="J161" s="1" t="s">
        <v>346</v>
      </c>
      <c r="K161" s="1">
        <v>12</v>
      </c>
      <c r="M161" s="1" t="str">
        <f>VLOOKUP(D161,HORARIOS!B:H,7,0)</f>
        <v>Día 2</v>
      </c>
      <c r="N161" s="1">
        <f>VLOOKUP(D161,HORARIOS!B:I,8,0)</f>
        <v>11</v>
      </c>
      <c r="O161" s="9">
        <f>VLOOKUP(D161,HORARIOS!B:D,3,0)</f>
        <v>0.52083333333333337</v>
      </c>
      <c r="P161" s="9" t="str">
        <f>VLOOKUP(A161,HORARIOS!A:E,5,0)</f>
        <v>17:00 hrs</v>
      </c>
    </row>
    <row r="162" spans="1:16" ht="15.75" customHeight="1" x14ac:dyDescent="0.25">
      <c r="A162" s="1" t="str">
        <f t="shared" si="2"/>
        <v>601211</v>
      </c>
      <c r="B162" s="1">
        <v>179</v>
      </c>
      <c r="C162" s="1">
        <v>13</v>
      </c>
      <c r="D162" s="1">
        <v>6012</v>
      </c>
      <c r="E162" s="1" t="s">
        <v>49</v>
      </c>
      <c r="F162" s="1" t="s">
        <v>36</v>
      </c>
      <c r="G162" s="1" t="s">
        <v>96</v>
      </c>
      <c r="H162" s="1" t="s">
        <v>62</v>
      </c>
      <c r="I162" s="1" t="s">
        <v>347</v>
      </c>
      <c r="J162" s="1" t="s">
        <v>347</v>
      </c>
      <c r="K162" s="1">
        <v>12</v>
      </c>
      <c r="M162" s="1" t="str">
        <f>VLOOKUP(D162,HORARIOS!B:H,7,0)</f>
        <v>Día 2</v>
      </c>
      <c r="N162" s="1">
        <f>VLOOKUP(D162,HORARIOS!B:I,8,0)</f>
        <v>11</v>
      </c>
      <c r="O162" s="9">
        <f>VLOOKUP(D162,HORARIOS!B:D,3,0)</f>
        <v>0.52083333333333337</v>
      </c>
      <c r="P162" s="9" t="str">
        <f>VLOOKUP(A162,HORARIOS!A:E,5,0)</f>
        <v>17:00 hrs</v>
      </c>
    </row>
    <row r="163" spans="1:16" ht="15.75" customHeight="1" x14ac:dyDescent="0.25">
      <c r="A163" s="1" t="str">
        <f t="shared" si="2"/>
        <v>601211</v>
      </c>
      <c r="B163" s="1">
        <v>180</v>
      </c>
      <c r="C163" s="1">
        <v>13</v>
      </c>
      <c r="D163" s="1">
        <v>6012</v>
      </c>
      <c r="E163" s="1" t="s">
        <v>49</v>
      </c>
      <c r="F163" s="1" t="s">
        <v>36</v>
      </c>
      <c r="G163" s="1" t="s">
        <v>98</v>
      </c>
      <c r="H163" s="1" t="s">
        <v>99</v>
      </c>
      <c r="I163" s="1" t="s">
        <v>348</v>
      </c>
      <c r="J163" s="1" t="s">
        <v>349</v>
      </c>
      <c r="K163" s="1">
        <v>12</v>
      </c>
      <c r="L163" s="1" t="s">
        <v>101</v>
      </c>
      <c r="M163" s="1" t="str">
        <f>VLOOKUP(D163,HORARIOS!B:H,7,0)</f>
        <v>Día 2</v>
      </c>
      <c r="N163" s="1">
        <f>VLOOKUP(D163,HORARIOS!B:I,8,0)</f>
        <v>11</v>
      </c>
      <c r="O163" s="9">
        <f>VLOOKUP(D163,HORARIOS!B:D,3,0)</f>
        <v>0.52083333333333337</v>
      </c>
      <c r="P163" s="9" t="str">
        <f>VLOOKUP(A163,HORARIOS!A:E,5,0)</f>
        <v>17:00 hrs</v>
      </c>
    </row>
    <row r="164" spans="1:16" ht="15.75" customHeight="1" x14ac:dyDescent="0.25">
      <c r="A164" s="1" t="str">
        <f t="shared" si="2"/>
        <v>601211</v>
      </c>
      <c r="B164" s="1">
        <v>181</v>
      </c>
      <c r="C164" s="1">
        <v>13</v>
      </c>
      <c r="D164" s="1">
        <v>6012</v>
      </c>
      <c r="E164" s="1" t="s">
        <v>49</v>
      </c>
      <c r="F164" s="1" t="s">
        <v>36</v>
      </c>
      <c r="G164" s="1" t="s">
        <v>98</v>
      </c>
      <c r="H164" s="1" t="s">
        <v>99</v>
      </c>
      <c r="I164" s="1" t="s">
        <v>350</v>
      </c>
      <c r="J164" s="1" t="s">
        <v>351</v>
      </c>
      <c r="K164" s="1">
        <v>12</v>
      </c>
      <c r="L164" s="1" t="s">
        <v>101</v>
      </c>
      <c r="M164" s="1" t="str">
        <f>VLOOKUP(D164,HORARIOS!B:H,7,0)</f>
        <v>Día 2</v>
      </c>
      <c r="N164" s="1">
        <f>VLOOKUP(D164,HORARIOS!B:I,8,0)</f>
        <v>11</v>
      </c>
      <c r="O164" s="9">
        <f>VLOOKUP(D164,HORARIOS!B:D,3,0)</f>
        <v>0.52083333333333337</v>
      </c>
      <c r="P164" s="9" t="str">
        <f>VLOOKUP(A164,HORARIOS!A:E,5,0)</f>
        <v>17:00 hrs</v>
      </c>
    </row>
    <row r="165" spans="1:16" ht="15.75" customHeight="1" x14ac:dyDescent="0.25">
      <c r="A165" s="1" t="str">
        <f t="shared" si="2"/>
        <v>601211</v>
      </c>
      <c r="B165" s="1">
        <v>182</v>
      </c>
      <c r="C165" s="1">
        <v>13</v>
      </c>
      <c r="D165" s="1">
        <v>6012</v>
      </c>
      <c r="E165" s="1" t="s">
        <v>49</v>
      </c>
      <c r="F165" s="1" t="s">
        <v>36</v>
      </c>
      <c r="G165" s="1" t="s">
        <v>98</v>
      </c>
      <c r="H165" s="1" t="s">
        <v>352</v>
      </c>
      <c r="I165" s="1" t="s">
        <v>353</v>
      </c>
      <c r="J165" s="1" t="s">
        <v>354</v>
      </c>
      <c r="K165" s="1">
        <v>12</v>
      </c>
      <c r="L165" s="1" t="s">
        <v>101</v>
      </c>
      <c r="M165" s="1" t="str">
        <f>VLOOKUP(D165,HORARIOS!B:H,7,0)</f>
        <v>Día 2</v>
      </c>
      <c r="N165" s="1">
        <f>VLOOKUP(D165,HORARIOS!B:I,8,0)</f>
        <v>11</v>
      </c>
      <c r="O165" s="9">
        <f>VLOOKUP(D165,HORARIOS!B:D,3,0)</f>
        <v>0.52083333333333337</v>
      </c>
      <c r="P165" s="9" t="str">
        <f>VLOOKUP(A165,HORARIOS!A:E,5,0)</f>
        <v>17:00 hrs</v>
      </c>
    </row>
    <row r="166" spans="1:16" ht="15.75" customHeight="1" x14ac:dyDescent="0.25">
      <c r="A166" s="1" t="str">
        <f t="shared" si="2"/>
        <v>601211</v>
      </c>
      <c r="B166" s="1">
        <v>183</v>
      </c>
      <c r="C166" s="1">
        <v>13</v>
      </c>
      <c r="D166" s="1">
        <v>6012</v>
      </c>
      <c r="E166" s="1" t="s">
        <v>49</v>
      </c>
      <c r="F166" s="1" t="s">
        <v>36</v>
      </c>
      <c r="G166" s="1" t="s">
        <v>114</v>
      </c>
      <c r="H166" s="1" t="s">
        <v>39</v>
      </c>
      <c r="I166" s="1" t="s">
        <v>52</v>
      </c>
      <c r="J166" s="1" t="s">
        <v>52</v>
      </c>
      <c r="K166" s="1">
        <v>2</v>
      </c>
      <c r="L166" s="1" t="s">
        <v>115</v>
      </c>
      <c r="M166" s="1" t="str">
        <f>VLOOKUP(D166,HORARIOS!B:H,7,0)</f>
        <v>Día 2</v>
      </c>
      <c r="N166" s="1">
        <f>VLOOKUP(D166,HORARIOS!B:I,8,0)</f>
        <v>11</v>
      </c>
      <c r="O166" s="9">
        <f>VLOOKUP(D166,HORARIOS!B:D,3,0)</f>
        <v>0.52083333333333337</v>
      </c>
      <c r="P166" s="9" t="str">
        <f>VLOOKUP(A166,HORARIOS!A:E,5,0)</f>
        <v>17:00 hrs</v>
      </c>
    </row>
    <row r="167" spans="1:16" ht="15.75" customHeight="1" x14ac:dyDescent="0.25">
      <c r="A167" s="1" t="str">
        <f t="shared" si="2"/>
        <v>601211</v>
      </c>
      <c r="B167" s="1">
        <v>185</v>
      </c>
      <c r="C167" s="1">
        <v>13</v>
      </c>
      <c r="D167" s="1">
        <v>6012</v>
      </c>
      <c r="E167" s="1" t="s">
        <v>49</v>
      </c>
      <c r="F167" s="1" t="s">
        <v>36</v>
      </c>
      <c r="G167" s="1" t="s">
        <v>134</v>
      </c>
      <c r="H167" s="1" t="s">
        <v>135</v>
      </c>
      <c r="I167" s="1" t="s">
        <v>355</v>
      </c>
      <c r="J167" s="1" t="s">
        <v>356</v>
      </c>
      <c r="K167" s="1">
        <v>12</v>
      </c>
      <c r="L167" s="1" t="s">
        <v>138</v>
      </c>
      <c r="M167" s="1" t="str">
        <f>VLOOKUP(D167,HORARIOS!B:H,7,0)</f>
        <v>Día 2</v>
      </c>
      <c r="N167" s="1">
        <f>VLOOKUP(D167,HORARIOS!B:I,8,0)</f>
        <v>11</v>
      </c>
      <c r="O167" s="9">
        <f>VLOOKUP(D167,HORARIOS!B:D,3,0)</f>
        <v>0.52083333333333337</v>
      </c>
      <c r="P167" s="9" t="str">
        <f>VLOOKUP(A167,HORARIOS!A:E,5,0)</f>
        <v>17:00 hrs</v>
      </c>
    </row>
    <row r="168" spans="1:16" ht="15.75" customHeight="1" x14ac:dyDescent="0.25">
      <c r="A168" s="1" t="str">
        <f t="shared" si="2"/>
        <v>601211</v>
      </c>
      <c r="B168" s="1">
        <v>186</v>
      </c>
      <c r="C168" s="1">
        <v>13</v>
      </c>
      <c r="D168" s="1">
        <v>6012</v>
      </c>
      <c r="E168" s="1" t="s">
        <v>49</v>
      </c>
      <c r="F168" s="1" t="s">
        <v>36</v>
      </c>
      <c r="G168" s="1" t="s">
        <v>145</v>
      </c>
      <c r="H168" s="1" t="s">
        <v>52</v>
      </c>
      <c r="I168" s="1" t="s">
        <v>357</v>
      </c>
      <c r="J168" s="1" t="s">
        <v>358</v>
      </c>
      <c r="K168" s="1">
        <v>12</v>
      </c>
      <c r="M168" s="1" t="str">
        <f>VLOOKUP(D168,HORARIOS!B:H,7,0)</f>
        <v>Día 2</v>
      </c>
      <c r="N168" s="1">
        <f>VLOOKUP(D168,HORARIOS!B:I,8,0)</f>
        <v>11</v>
      </c>
      <c r="O168" s="9">
        <f>VLOOKUP(D168,HORARIOS!B:D,3,0)</f>
        <v>0.52083333333333337</v>
      </c>
      <c r="P168" s="9" t="str">
        <f>VLOOKUP(A168,HORARIOS!A:E,5,0)</f>
        <v>17:00 hrs</v>
      </c>
    </row>
    <row r="169" spans="1:16" ht="15.75" customHeight="1" x14ac:dyDescent="0.25">
      <c r="A169" s="1" t="str">
        <f t="shared" si="2"/>
        <v>601211</v>
      </c>
      <c r="B169" s="1">
        <v>187</v>
      </c>
      <c r="C169" s="1">
        <v>13</v>
      </c>
      <c r="D169" s="1">
        <v>6012</v>
      </c>
      <c r="E169" s="1" t="s">
        <v>49</v>
      </c>
      <c r="F169" s="1" t="s">
        <v>36</v>
      </c>
      <c r="G169" s="1" t="s">
        <v>159</v>
      </c>
      <c r="H169" s="1" t="s">
        <v>160</v>
      </c>
      <c r="I169" s="1" t="s">
        <v>359</v>
      </c>
      <c r="J169" s="1" t="s">
        <v>360</v>
      </c>
      <c r="K169" s="1">
        <v>12</v>
      </c>
      <c r="M169" s="1" t="str">
        <f>VLOOKUP(D169,HORARIOS!B:H,7,0)</f>
        <v>Día 2</v>
      </c>
      <c r="N169" s="1">
        <f>VLOOKUP(D169,HORARIOS!B:I,8,0)</f>
        <v>11</v>
      </c>
      <c r="O169" s="9">
        <f>VLOOKUP(D169,HORARIOS!B:D,3,0)</f>
        <v>0.52083333333333337</v>
      </c>
      <c r="P169" s="9" t="str">
        <f>VLOOKUP(A169,HORARIOS!A:E,5,0)</f>
        <v>17:00 hrs</v>
      </c>
    </row>
    <row r="170" spans="1:16" ht="15.75" customHeight="1" x14ac:dyDescent="0.25">
      <c r="A170" s="1" t="str">
        <f t="shared" si="2"/>
        <v>601323</v>
      </c>
      <c r="B170" s="1">
        <v>188</v>
      </c>
      <c r="C170" s="1">
        <v>13</v>
      </c>
      <c r="D170" s="1">
        <v>6013</v>
      </c>
      <c r="E170" s="1" t="s">
        <v>50</v>
      </c>
      <c r="F170" s="1" t="s">
        <v>36</v>
      </c>
      <c r="G170" s="1" t="s">
        <v>37</v>
      </c>
      <c r="H170" s="1" t="s">
        <v>39</v>
      </c>
      <c r="I170" s="1" t="s">
        <v>361</v>
      </c>
      <c r="J170" s="1" t="s">
        <v>362</v>
      </c>
      <c r="K170" s="1">
        <v>12</v>
      </c>
      <c r="L170" s="1" t="s">
        <v>41</v>
      </c>
      <c r="M170" s="1" t="str">
        <f>VLOOKUP(D170,HORARIOS!B:H,7,0)</f>
        <v>Día 4</v>
      </c>
      <c r="N170" s="1">
        <f>VLOOKUP(D170,HORARIOS!B:I,8,0)</f>
        <v>23</v>
      </c>
      <c r="O170" s="9">
        <f>VLOOKUP(D170,HORARIOS!B:D,3,0)</f>
        <v>0.54166666666666663</v>
      </c>
      <c r="P170" s="1" t="str">
        <f>VLOOKUP(A170,HORARIOS!A:E,5,0)</f>
        <v>18:30 hrs</v>
      </c>
    </row>
    <row r="171" spans="1:16" ht="15.75" customHeight="1" x14ac:dyDescent="0.25">
      <c r="A171" s="1" t="str">
        <f t="shared" si="2"/>
        <v>601323</v>
      </c>
      <c r="B171" s="1">
        <v>189</v>
      </c>
      <c r="C171" s="1">
        <v>13</v>
      </c>
      <c r="D171" s="1">
        <v>6013</v>
      </c>
      <c r="E171" s="1" t="s">
        <v>50</v>
      </c>
      <c r="F171" s="1" t="s">
        <v>36</v>
      </c>
      <c r="G171" s="1" t="s">
        <v>51</v>
      </c>
      <c r="H171" s="1" t="s">
        <v>52</v>
      </c>
      <c r="I171" s="1" t="s">
        <v>363</v>
      </c>
      <c r="J171" s="1" t="s">
        <v>364</v>
      </c>
      <c r="K171" s="1">
        <v>12</v>
      </c>
      <c r="M171" s="1" t="str">
        <f>VLOOKUP(D171,HORARIOS!B:H,7,0)</f>
        <v>Día 4</v>
      </c>
      <c r="N171" s="1">
        <f>VLOOKUP(D171,HORARIOS!B:I,8,0)</f>
        <v>23</v>
      </c>
      <c r="O171" s="9">
        <f>VLOOKUP(D171,HORARIOS!B:D,3,0)</f>
        <v>0.54166666666666663</v>
      </c>
      <c r="P171" s="1" t="str">
        <f>VLOOKUP(A171,HORARIOS!A:E,5,0)</f>
        <v>18:30 hrs</v>
      </c>
    </row>
    <row r="172" spans="1:16" ht="15.75" customHeight="1" x14ac:dyDescent="0.25">
      <c r="A172" s="1" t="str">
        <f t="shared" si="2"/>
        <v>601323</v>
      </c>
      <c r="B172" s="1">
        <v>190</v>
      </c>
      <c r="C172" s="1">
        <v>13</v>
      </c>
      <c r="D172" s="1">
        <v>6013</v>
      </c>
      <c r="E172" s="1" t="s">
        <v>50</v>
      </c>
      <c r="F172" s="1" t="s">
        <v>36</v>
      </c>
      <c r="G172" s="1" t="s">
        <v>61</v>
      </c>
      <c r="H172" s="1" t="s">
        <v>62</v>
      </c>
      <c r="I172" s="1" t="s">
        <v>365</v>
      </c>
      <c r="J172" s="1" t="s">
        <v>365</v>
      </c>
      <c r="K172" s="1">
        <v>12</v>
      </c>
      <c r="L172" s="1" t="s">
        <v>64</v>
      </c>
      <c r="M172" s="1" t="str">
        <f>VLOOKUP(D172,HORARIOS!B:H,7,0)</f>
        <v>Día 4</v>
      </c>
      <c r="N172" s="1">
        <f>VLOOKUP(D172,HORARIOS!B:I,8,0)</f>
        <v>23</v>
      </c>
      <c r="O172" s="9">
        <f>VLOOKUP(D172,HORARIOS!B:D,3,0)</f>
        <v>0.54166666666666663</v>
      </c>
      <c r="P172" s="1" t="str">
        <f>VLOOKUP(A172,HORARIOS!A:E,5,0)</f>
        <v>18:30 hrs</v>
      </c>
    </row>
    <row r="173" spans="1:16" ht="15.75" customHeight="1" x14ac:dyDescent="0.25">
      <c r="A173" s="1" t="str">
        <f t="shared" si="2"/>
        <v>601323</v>
      </c>
      <c r="B173" s="1">
        <v>191</v>
      </c>
      <c r="C173" s="1">
        <v>13</v>
      </c>
      <c r="D173" s="1">
        <v>6013</v>
      </c>
      <c r="E173" s="1" t="s">
        <v>50</v>
      </c>
      <c r="F173" s="1" t="s">
        <v>36</v>
      </c>
      <c r="G173" s="1" t="s">
        <v>72</v>
      </c>
      <c r="H173" s="1" t="s">
        <v>73</v>
      </c>
      <c r="I173" s="1" t="s">
        <v>366</v>
      </c>
      <c r="J173" s="1" t="s">
        <v>367</v>
      </c>
      <c r="K173" s="1">
        <v>12</v>
      </c>
      <c r="M173" s="1" t="str">
        <f>VLOOKUP(D173,HORARIOS!B:H,7,0)</f>
        <v>Día 4</v>
      </c>
      <c r="N173" s="1">
        <f>VLOOKUP(D173,HORARIOS!B:I,8,0)</f>
        <v>23</v>
      </c>
      <c r="O173" s="9">
        <f>VLOOKUP(D173,HORARIOS!B:D,3,0)</f>
        <v>0.54166666666666663</v>
      </c>
      <c r="P173" s="1" t="str">
        <f>VLOOKUP(A173,HORARIOS!A:E,5,0)</f>
        <v>18:30 hrs</v>
      </c>
    </row>
    <row r="174" spans="1:16" ht="15.75" customHeight="1" x14ac:dyDescent="0.25">
      <c r="A174" s="1" t="str">
        <f t="shared" si="2"/>
        <v>601323</v>
      </c>
      <c r="B174" s="1">
        <v>193</v>
      </c>
      <c r="C174" s="1">
        <v>13</v>
      </c>
      <c r="D174" s="1">
        <v>6013</v>
      </c>
      <c r="E174" s="1" t="s">
        <v>50</v>
      </c>
      <c r="F174" s="1" t="s">
        <v>36</v>
      </c>
      <c r="G174" s="1" t="s">
        <v>88</v>
      </c>
      <c r="H174" s="1" t="s">
        <v>90</v>
      </c>
      <c r="I174" s="1" t="s">
        <v>368</v>
      </c>
      <c r="J174" s="1" t="s">
        <v>369</v>
      </c>
      <c r="K174" s="1">
        <v>12</v>
      </c>
      <c r="M174" s="1" t="str">
        <f>VLOOKUP(D174,HORARIOS!B:H,7,0)</f>
        <v>Día 4</v>
      </c>
      <c r="N174" s="1">
        <f>VLOOKUP(D174,HORARIOS!B:I,8,0)</f>
        <v>23</v>
      </c>
      <c r="O174" s="9">
        <f>VLOOKUP(D174,HORARIOS!B:D,3,0)</f>
        <v>0.54166666666666663</v>
      </c>
      <c r="P174" s="1" t="str">
        <f>VLOOKUP(A174,HORARIOS!A:E,5,0)</f>
        <v>18:30 hrs</v>
      </c>
    </row>
    <row r="175" spans="1:16" ht="15.75" customHeight="1" x14ac:dyDescent="0.25">
      <c r="A175" s="1" t="str">
        <f t="shared" si="2"/>
        <v>601323</v>
      </c>
      <c r="B175" s="1">
        <v>194</v>
      </c>
      <c r="C175" s="1">
        <v>13</v>
      </c>
      <c r="D175" s="1">
        <v>6013</v>
      </c>
      <c r="E175" s="1" t="s">
        <v>50</v>
      </c>
      <c r="F175" s="1" t="s">
        <v>36</v>
      </c>
      <c r="G175" s="1" t="s">
        <v>96</v>
      </c>
      <c r="H175" s="1" t="s">
        <v>62</v>
      </c>
      <c r="I175" s="1" t="s">
        <v>370</v>
      </c>
      <c r="J175" s="1" t="s">
        <v>370</v>
      </c>
      <c r="K175" s="1">
        <v>12</v>
      </c>
      <c r="M175" s="1" t="str">
        <f>VLOOKUP(D175,HORARIOS!B:H,7,0)</f>
        <v>Día 4</v>
      </c>
      <c r="N175" s="1">
        <f>VLOOKUP(D175,HORARIOS!B:I,8,0)</f>
        <v>23</v>
      </c>
      <c r="O175" s="9">
        <f>VLOOKUP(D175,HORARIOS!B:D,3,0)</f>
        <v>0.54166666666666663</v>
      </c>
      <c r="P175" s="1" t="str">
        <f>VLOOKUP(A175,HORARIOS!A:E,5,0)</f>
        <v>18:30 hrs</v>
      </c>
    </row>
    <row r="176" spans="1:16" ht="15.75" customHeight="1" x14ac:dyDescent="0.25">
      <c r="A176" s="1" t="str">
        <f t="shared" si="2"/>
        <v>601323</v>
      </c>
      <c r="B176" s="1">
        <v>195</v>
      </c>
      <c r="C176" s="1">
        <v>13</v>
      </c>
      <c r="D176" s="1">
        <v>6013</v>
      </c>
      <c r="E176" s="1" t="s">
        <v>50</v>
      </c>
      <c r="F176" s="1" t="s">
        <v>36</v>
      </c>
      <c r="G176" s="1" t="s">
        <v>98</v>
      </c>
      <c r="H176" s="1" t="s">
        <v>352</v>
      </c>
      <c r="I176" s="1" t="s">
        <v>371</v>
      </c>
      <c r="J176" s="1" t="s">
        <v>372</v>
      </c>
      <c r="K176" s="1">
        <v>12</v>
      </c>
      <c r="L176" s="1" t="s">
        <v>101</v>
      </c>
      <c r="M176" s="1" t="str">
        <f>VLOOKUP(D176,HORARIOS!B:H,7,0)</f>
        <v>Día 4</v>
      </c>
      <c r="N176" s="1">
        <f>VLOOKUP(D176,HORARIOS!B:I,8,0)</f>
        <v>23</v>
      </c>
      <c r="O176" s="9">
        <f>VLOOKUP(D176,HORARIOS!B:D,3,0)</f>
        <v>0.54166666666666663</v>
      </c>
      <c r="P176" s="1" t="str">
        <f>VLOOKUP(A176,HORARIOS!A:E,5,0)</f>
        <v>18:30 hrs</v>
      </c>
    </row>
    <row r="177" spans="1:16" ht="15.75" customHeight="1" x14ac:dyDescent="0.25">
      <c r="A177" s="1" t="str">
        <f t="shared" si="2"/>
        <v>601323</v>
      </c>
      <c r="B177" s="1">
        <v>196</v>
      </c>
      <c r="C177" s="1">
        <v>13</v>
      </c>
      <c r="D177" s="1">
        <v>6013</v>
      </c>
      <c r="E177" s="1" t="s">
        <v>50</v>
      </c>
      <c r="F177" s="1" t="s">
        <v>36</v>
      </c>
      <c r="G177" s="1" t="s">
        <v>98</v>
      </c>
      <c r="H177" s="1" t="s">
        <v>352</v>
      </c>
      <c r="I177" s="1" t="s">
        <v>373</v>
      </c>
      <c r="J177" s="1" t="s">
        <v>374</v>
      </c>
      <c r="K177" s="1">
        <v>12</v>
      </c>
      <c r="L177" s="1" t="s">
        <v>101</v>
      </c>
      <c r="M177" s="1" t="str">
        <f>VLOOKUP(D177,HORARIOS!B:H,7,0)</f>
        <v>Día 4</v>
      </c>
      <c r="N177" s="1">
        <f>VLOOKUP(D177,HORARIOS!B:I,8,0)</f>
        <v>23</v>
      </c>
      <c r="O177" s="9">
        <f>VLOOKUP(D177,HORARIOS!B:D,3,0)</f>
        <v>0.54166666666666663</v>
      </c>
      <c r="P177" s="1" t="str">
        <f>VLOOKUP(A177,HORARIOS!A:E,5,0)</f>
        <v>18:30 hrs</v>
      </c>
    </row>
    <row r="178" spans="1:16" ht="15.75" customHeight="1" x14ac:dyDescent="0.25">
      <c r="A178" s="1" t="str">
        <f t="shared" si="2"/>
        <v>601323</v>
      </c>
      <c r="B178" s="1">
        <v>197</v>
      </c>
      <c r="C178" s="1">
        <v>13</v>
      </c>
      <c r="D178" s="1">
        <v>6013</v>
      </c>
      <c r="E178" s="1" t="s">
        <v>50</v>
      </c>
      <c r="F178" s="1" t="s">
        <v>36</v>
      </c>
      <c r="G178" s="1" t="s">
        <v>98</v>
      </c>
      <c r="H178" s="1" t="s">
        <v>352</v>
      </c>
      <c r="I178" s="1" t="s">
        <v>375</v>
      </c>
      <c r="J178" s="1" t="s">
        <v>376</v>
      </c>
      <c r="K178" s="1">
        <v>12</v>
      </c>
      <c r="L178" s="1" t="s">
        <v>101</v>
      </c>
      <c r="M178" s="1" t="str">
        <f>VLOOKUP(D178,HORARIOS!B:H,7,0)</f>
        <v>Día 4</v>
      </c>
      <c r="N178" s="1">
        <f>VLOOKUP(D178,HORARIOS!B:I,8,0)</f>
        <v>23</v>
      </c>
      <c r="O178" s="9">
        <f>VLOOKUP(D178,HORARIOS!B:D,3,0)</f>
        <v>0.54166666666666663</v>
      </c>
      <c r="P178" s="1" t="str">
        <f>VLOOKUP(A178,HORARIOS!A:E,5,0)</f>
        <v>18:30 hrs</v>
      </c>
    </row>
    <row r="179" spans="1:16" ht="15.75" customHeight="1" x14ac:dyDescent="0.25">
      <c r="A179" s="1" t="str">
        <f t="shared" si="2"/>
        <v>601323</v>
      </c>
      <c r="B179" s="1">
        <v>198</v>
      </c>
      <c r="C179" s="1">
        <v>13</v>
      </c>
      <c r="D179" s="1">
        <v>6013</v>
      </c>
      <c r="E179" s="1" t="s">
        <v>50</v>
      </c>
      <c r="F179" s="1" t="s">
        <v>36</v>
      </c>
      <c r="G179" s="1" t="s">
        <v>114</v>
      </c>
      <c r="H179" s="1" t="s">
        <v>39</v>
      </c>
      <c r="I179" s="1" t="s">
        <v>52</v>
      </c>
      <c r="J179" s="1" t="s">
        <v>52</v>
      </c>
      <c r="K179" s="1">
        <v>2</v>
      </c>
      <c r="L179" s="1" t="s">
        <v>115</v>
      </c>
      <c r="M179" s="1" t="str">
        <f>VLOOKUP(D179,HORARIOS!B:H,7,0)</f>
        <v>Día 4</v>
      </c>
      <c r="N179" s="1">
        <f>VLOOKUP(D179,HORARIOS!B:I,8,0)</f>
        <v>23</v>
      </c>
      <c r="O179" s="9">
        <f>VLOOKUP(D179,HORARIOS!B:D,3,0)</f>
        <v>0.54166666666666663</v>
      </c>
      <c r="P179" s="1" t="str">
        <f>VLOOKUP(A179,HORARIOS!A:E,5,0)</f>
        <v>18:30 hrs</v>
      </c>
    </row>
    <row r="180" spans="1:16" ht="15.75" customHeight="1" x14ac:dyDescent="0.25">
      <c r="A180" s="1" t="str">
        <f t="shared" si="2"/>
        <v>601323</v>
      </c>
      <c r="B180" s="1">
        <v>199</v>
      </c>
      <c r="C180" s="1">
        <v>13</v>
      </c>
      <c r="D180" s="1">
        <v>6013</v>
      </c>
      <c r="E180" s="1" t="s">
        <v>50</v>
      </c>
      <c r="F180" s="1" t="s">
        <v>36</v>
      </c>
      <c r="G180" s="1" t="s">
        <v>134</v>
      </c>
      <c r="H180" s="1" t="s">
        <v>135</v>
      </c>
      <c r="I180" s="1" t="s">
        <v>377</v>
      </c>
      <c r="J180" s="1" t="s">
        <v>378</v>
      </c>
      <c r="K180" s="1">
        <v>12</v>
      </c>
      <c r="L180" s="1" t="s">
        <v>138</v>
      </c>
      <c r="M180" s="1" t="str">
        <f>VLOOKUP(D180,HORARIOS!B:H,7,0)</f>
        <v>Día 4</v>
      </c>
      <c r="N180" s="1">
        <f>VLOOKUP(D180,HORARIOS!B:I,8,0)</f>
        <v>23</v>
      </c>
      <c r="O180" s="9">
        <f>VLOOKUP(D180,HORARIOS!B:D,3,0)</f>
        <v>0.54166666666666663</v>
      </c>
      <c r="P180" s="1" t="str">
        <f>VLOOKUP(A180,HORARIOS!A:E,5,0)</f>
        <v>18:30 hrs</v>
      </c>
    </row>
    <row r="181" spans="1:16" ht="15.75" customHeight="1" x14ac:dyDescent="0.25">
      <c r="A181" s="1" t="str">
        <f t="shared" si="2"/>
        <v>601323</v>
      </c>
      <c r="B181" s="1">
        <v>200</v>
      </c>
      <c r="C181" s="1">
        <v>13</v>
      </c>
      <c r="D181" s="1">
        <v>6013</v>
      </c>
      <c r="E181" s="1" t="s">
        <v>50</v>
      </c>
      <c r="F181" s="1" t="s">
        <v>36</v>
      </c>
      <c r="G181" s="1" t="s">
        <v>145</v>
      </c>
      <c r="H181" s="1" t="s">
        <v>52</v>
      </c>
      <c r="I181" s="1" t="s">
        <v>379</v>
      </c>
      <c r="J181" s="1" t="s">
        <v>379</v>
      </c>
      <c r="K181" s="1">
        <v>12</v>
      </c>
      <c r="M181" s="1" t="str">
        <f>VLOOKUP(D181,HORARIOS!B:H,7,0)</f>
        <v>Día 4</v>
      </c>
      <c r="N181" s="1">
        <f>VLOOKUP(D181,HORARIOS!B:I,8,0)</f>
        <v>23</v>
      </c>
      <c r="O181" s="9">
        <f>VLOOKUP(D181,HORARIOS!B:D,3,0)</f>
        <v>0.54166666666666663</v>
      </c>
      <c r="P181" s="1" t="str">
        <f>VLOOKUP(A181,HORARIOS!A:E,5,0)</f>
        <v>18:30 hrs</v>
      </c>
    </row>
    <row r="182" spans="1:16" ht="15.75" customHeight="1" x14ac:dyDescent="0.25">
      <c r="A182" s="1" t="str">
        <f t="shared" si="2"/>
        <v>601323</v>
      </c>
      <c r="B182" s="1">
        <v>202</v>
      </c>
      <c r="C182" s="1">
        <v>13</v>
      </c>
      <c r="D182" s="1">
        <v>6013</v>
      </c>
      <c r="E182" s="1" t="s">
        <v>50</v>
      </c>
      <c r="F182" s="1" t="s">
        <v>36</v>
      </c>
      <c r="G182" s="1" t="s">
        <v>159</v>
      </c>
      <c r="H182" s="1" t="s">
        <v>160</v>
      </c>
      <c r="I182" s="1" t="s">
        <v>380</v>
      </c>
      <c r="J182" s="1" t="s">
        <v>381</v>
      </c>
      <c r="K182" s="1">
        <v>12</v>
      </c>
      <c r="M182" s="1" t="str">
        <f>VLOOKUP(D182,HORARIOS!B:H,7,0)</f>
        <v>Día 4</v>
      </c>
      <c r="N182" s="1">
        <f>VLOOKUP(D182,HORARIOS!B:I,8,0)</f>
        <v>23</v>
      </c>
      <c r="O182" s="9">
        <f>VLOOKUP(D182,HORARIOS!B:D,3,0)</f>
        <v>0.54166666666666663</v>
      </c>
      <c r="P182" s="1" t="str">
        <f>VLOOKUP(A182,HORARIOS!A:E,5,0)</f>
        <v>18:30 hrs</v>
      </c>
    </row>
    <row r="183" spans="1:16" ht="15.75" customHeight="1" x14ac:dyDescent="0.25">
      <c r="A183" s="1" t="str">
        <f t="shared" si="2"/>
        <v>601423</v>
      </c>
      <c r="B183" s="1">
        <v>203</v>
      </c>
      <c r="C183" s="1">
        <v>11</v>
      </c>
      <c r="D183" s="1">
        <v>6014</v>
      </c>
      <c r="E183" s="1" t="s">
        <v>55</v>
      </c>
      <c r="F183" s="1" t="s">
        <v>36</v>
      </c>
      <c r="G183" s="1" t="s">
        <v>37</v>
      </c>
      <c r="H183" s="1" t="s">
        <v>39</v>
      </c>
      <c r="I183" s="1" t="s">
        <v>382</v>
      </c>
      <c r="J183" s="1" t="s">
        <v>383</v>
      </c>
      <c r="K183" s="1">
        <v>12</v>
      </c>
      <c r="L183" s="1" t="s">
        <v>41</v>
      </c>
      <c r="M183" s="1" t="str">
        <f>VLOOKUP(D183,HORARIOS!B:H,7,0)</f>
        <v>Día 4</v>
      </c>
      <c r="N183" s="1">
        <f>VLOOKUP(D183,HORARIOS!B:I,8,0)</f>
        <v>23</v>
      </c>
      <c r="O183" s="9">
        <f>VLOOKUP(D183,HORARIOS!B:D,3,0)</f>
        <v>0.5</v>
      </c>
      <c r="P183" s="9" t="str">
        <f>VLOOKUP(A183,HORARIOS!A:E,5,0)</f>
        <v>16:00 hrs</v>
      </c>
    </row>
    <row r="184" spans="1:16" ht="15.75" customHeight="1" x14ac:dyDescent="0.25">
      <c r="A184" s="1" t="str">
        <f t="shared" si="2"/>
        <v>601423</v>
      </c>
      <c r="B184" s="1">
        <v>204</v>
      </c>
      <c r="C184" s="1">
        <v>11</v>
      </c>
      <c r="D184" s="1">
        <v>6014</v>
      </c>
      <c r="E184" s="1" t="s">
        <v>55</v>
      </c>
      <c r="F184" s="1" t="s">
        <v>36</v>
      </c>
      <c r="G184" s="1" t="s">
        <v>51</v>
      </c>
      <c r="H184" s="1" t="s">
        <v>52</v>
      </c>
      <c r="I184" s="1" t="s">
        <v>384</v>
      </c>
      <c r="J184" s="1" t="s">
        <v>385</v>
      </c>
      <c r="K184" s="1">
        <v>12</v>
      </c>
      <c r="M184" s="1" t="str">
        <f>VLOOKUP(D184,HORARIOS!B:H,7,0)</f>
        <v>Día 4</v>
      </c>
      <c r="N184" s="1">
        <f>VLOOKUP(D184,HORARIOS!B:I,8,0)</f>
        <v>23</v>
      </c>
      <c r="O184" s="9">
        <f>VLOOKUP(D184,HORARIOS!B:D,3,0)</f>
        <v>0.5</v>
      </c>
      <c r="P184" s="9" t="str">
        <f>VLOOKUP(A184,HORARIOS!A:E,5,0)</f>
        <v>16:00 hrs</v>
      </c>
    </row>
    <row r="185" spans="1:16" ht="15.75" customHeight="1" x14ac:dyDescent="0.25">
      <c r="A185" s="1" t="str">
        <f t="shared" si="2"/>
        <v>601423</v>
      </c>
      <c r="B185" s="1">
        <v>205</v>
      </c>
      <c r="C185" s="1">
        <v>11</v>
      </c>
      <c r="D185" s="1">
        <v>6014</v>
      </c>
      <c r="E185" s="1" t="s">
        <v>55</v>
      </c>
      <c r="F185" s="1" t="s">
        <v>36</v>
      </c>
      <c r="G185" s="1" t="s">
        <v>61</v>
      </c>
      <c r="H185" s="1" t="s">
        <v>62</v>
      </c>
      <c r="I185" s="1" t="s">
        <v>386</v>
      </c>
      <c r="J185" s="1" t="s">
        <v>386</v>
      </c>
      <c r="K185" s="1">
        <v>12</v>
      </c>
      <c r="L185" s="1" t="s">
        <v>64</v>
      </c>
      <c r="M185" s="1" t="str">
        <f>VLOOKUP(D185,HORARIOS!B:H,7,0)</f>
        <v>Día 4</v>
      </c>
      <c r="N185" s="1">
        <f>VLOOKUP(D185,HORARIOS!B:I,8,0)</f>
        <v>23</v>
      </c>
      <c r="O185" s="9">
        <f>VLOOKUP(D185,HORARIOS!B:D,3,0)</f>
        <v>0.5</v>
      </c>
      <c r="P185" s="9" t="str">
        <f>VLOOKUP(A185,HORARIOS!A:E,5,0)</f>
        <v>16:00 hrs</v>
      </c>
    </row>
    <row r="186" spans="1:16" ht="15.75" customHeight="1" x14ac:dyDescent="0.25">
      <c r="A186" s="1" t="str">
        <f t="shared" si="2"/>
        <v>601423</v>
      </c>
      <c r="B186" s="1">
        <v>206</v>
      </c>
      <c r="C186" s="1">
        <v>11</v>
      </c>
      <c r="D186" s="1">
        <v>6014</v>
      </c>
      <c r="E186" s="1" t="s">
        <v>55</v>
      </c>
      <c r="F186" s="1" t="s">
        <v>36</v>
      </c>
      <c r="G186" s="1" t="s">
        <v>72</v>
      </c>
      <c r="H186" s="1" t="s">
        <v>73</v>
      </c>
      <c r="I186" s="1" t="s">
        <v>387</v>
      </c>
      <c r="J186" s="1" t="s">
        <v>388</v>
      </c>
      <c r="K186" s="1">
        <v>12</v>
      </c>
      <c r="M186" s="1" t="str">
        <f>VLOOKUP(D186,HORARIOS!B:H,7,0)</f>
        <v>Día 4</v>
      </c>
      <c r="N186" s="1">
        <f>VLOOKUP(D186,HORARIOS!B:I,8,0)</f>
        <v>23</v>
      </c>
      <c r="O186" s="9">
        <f>VLOOKUP(D186,HORARIOS!B:D,3,0)</f>
        <v>0.5</v>
      </c>
      <c r="P186" s="9" t="str">
        <f>VLOOKUP(A186,HORARIOS!A:E,5,0)</f>
        <v>16:00 hrs</v>
      </c>
    </row>
    <row r="187" spans="1:16" ht="15.75" customHeight="1" x14ac:dyDescent="0.25">
      <c r="A187" s="1" t="str">
        <f t="shared" si="2"/>
        <v>601423</v>
      </c>
      <c r="B187" s="1">
        <v>207</v>
      </c>
      <c r="C187" s="1">
        <v>11</v>
      </c>
      <c r="D187" s="1">
        <v>6014</v>
      </c>
      <c r="E187" s="1" t="s">
        <v>55</v>
      </c>
      <c r="F187" s="1" t="s">
        <v>36</v>
      </c>
      <c r="G187" s="1" t="s">
        <v>88</v>
      </c>
      <c r="H187" s="1" t="s">
        <v>90</v>
      </c>
      <c r="I187" s="1" t="s">
        <v>389</v>
      </c>
      <c r="J187" s="1" t="s">
        <v>390</v>
      </c>
      <c r="K187" s="1">
        <v>12</v>
      </c>
      <c r="M187" s="1" t="str">
        <f>VLOOKUP(D187,HORARIOS!B:H,7,0)</f>
        <v>Día 4</v>
      </c>
      <c r="N187" s="1">
        <f>VLOOKUP(D187,HORARIOS!B:I,8,0)</f>
        <v>23</v>
      </c>
      <c r="O187" s="9">
        <f>VLOOKUP(D187,HORARIOS!B:D,3,0)</f>
        <v>0.5</v>
      </c>
      <c r="P187" s="9" t="str">
        <f>VLOOKUP(A187,HORARIOS!A:E,5,0)</f>
        <v>16:00 hrs</v>
      </c>
    </row>
    <row r="188" spans="1:16" ht="15.75" customHeight="1" x14ac:dyDescent="0.25">
      <c r="A188" s="1" t="str">
        <f t="shared" si="2"/>
        <v>601423</v>
      </c>
      <c r="B188" s="1">
        <v>208</v>
      </c>
      <c r="C188" s="1">
        <v>11</v>
      </c>
      <c r="D188" s="1">
        <v>6014</v>
      </c>
      <c r="E188" s="1" t="s">
        <v>55</v>
      </c>
      <c r="F188" s="1" t="s">
        <v>36</v>
      </c>
      <c r="G188" s="1" t="s">
        <v>96</v>
      </c>
      <c r="H188" s="1" t="s">
        <v>62</v>
      </c>
      <c r="I188" s="1" t="s">
        <v>391</v>
      </c>
      <c r="J188" s="1" t="s">
        <v>391</v>
      </c>
      <c r="K188" s="1">
        <v>12</v>
      </c>
      <c r="M188" s="1" t="str">
        <f>VLOOKUP(D188,HORARIOS!B:H,7,0)</f>
        <v>Día 4</v>
      </c>
      <c r="N188" s="1">
        <f>VLOOKUP(D188,HORARIOS!B:I,8,0)</f>
        <v>23</v>
      </c>
      <c r="O188" s="9">
        <f>VLOOKUP(D188,HORARIOS!B:D,3,0)</f>
        <v>0.5</v>
      </c>
      <c r="P188" s="9" t="str">
        <f>VLOOKUP(A188,HORARIOS!A:E,5,0)</f>
        <v>16:00 hrs</v>
      </c>
    </row>
    <row r="189" spans="1:16" ht="15.75" customHeight="1" x14ac:dyDescent="0.25">
      <c r="A189" s="1" t="str">
        <f t="shared" si="2"/>
        <v>601423</v>
      </c>
      <c r="B189" s="1">
        <v>210</v>
      </c>
      <c r="C189" s="1">
        <v>11</v>
      </c>
      <c r="D189" s="1">
        <v>6014</v>
      </c>
      <c r="E189" s="1" t="s">
        <v>55</v>
      </c>
      <c r="F189" s="1" t="s">
        <v>36</v>
      </c>
      <c r="G189" s="1" t="s">
        <v>98</v>
      </c>
      <c r="H189" s="1" t="s">
        <v>352</v>
      </c>
      <c r="I189" s="1" t="s">
        <v>392</v>
      </c>
      <c r="J189" s="1" t="s">
        <v>393</v>
      </c>
      <c r="K189" s="1">
        <v>12</v>
      </c>
      <c r="L189" s="1" t="s">
        <v>101</v>
      </c>
      <c r="M189" s="1" t="str">
        <f>VLOOKUP(D189,HORARIOS!B:H,7,0)</f>
        <v>Día 4</v>
      </c>
      <c r="N189" s="1">
        <f>VLOOKUP(D189,HORARIOS!B:I,8,0)</f>
        <v>23</v>
      </c>
      <c r="O189" s="9">
        <f>VLOOKUP(D189,HORARIOS!B:D,3,0)</f>
        <v>0.5</v>
      </c>
      <c r="P189" s="9" t="str">
        <f>VLOOKUP(A189,HORARIOS!A:E,5,0)</f>
        <v>16:00 hrs</v>
      </c>
    </row>
    <row r="190" spans="1:16" ht="15.75" customHeight="1" x14ac:dyDescent="0.25">
      <c r="A190" s="1" t="str">
        <f t="shared" si="2"/>
        <v>601423</v>
      </c>
      <c r="B190" s="1">
        <v>211</v>
      </c>
      <c r="C190" s="1">
        <v>11</v>
      </c>
      <c r="D190" s="1">
        <v>6014</v>
      </c>
      <c r="E190" s="1" t="s">
        <v>55</v>
      </c>
      <c r="F190" s="1" t="s">
        <v>36</v>
      </c>
      <c r="G190" s="1" t="s">
        <v>114</v>
      </c>
      <c r="H190" s="1" t="s">
        <v>39</v>
      </c>
      <c r="I190" s="1" t="s">
        <v>52</v>
      </c>
      <c r="J190" s="1" t="s">
        <v>52</v>
      </c>
      <c r="K190" s="1">
        <v>2</v>
      </c>
      <c r="L190" s="1" t="s">
        <v>115</v>
      </c>
      <c r="M190" s="1" t="str">
        <f>VLOOKUP(D190,HORARIOS!B:H,7,0)</f>
        <v>Día 4</v>
      </c>
      <c r="N190" s="1">
        <f>VLOOKUP(D190,HORARIOS!B:I,8,0)</f>
        <v>23</v>
      </c>
      <c r="O190" s="9">
        <f>VLOOKUP(D190,HORARIOS!B:D,3,0)</f>
        <v>0.5</v>
      </c>
      <c r="P190" s="9" t="str">
        <f>VLOOKUP(A190,HORARIOS!A:E,5,0)</f>
        <v>16:00 hrs</v>
      </c>
    </row>
    <row r="191" spans="1:16" ht="15.75" customHeight="1" x14ac:dyDescent="0.25">
      <c r="A191" s="1" t="str">
        <f t="shared" si="2"/>
        <v>601423</v>
      </c>
      <c r="B191" s="1">
        <v>212</v>
      </c>
      <c r="C191" s="1">
        <v>11</v>
      </c>
      <c r="D191" s="1">
        <v>6014</v>
      </c>
      <c r="E191" s="1" t="s">
        <v>55</v>
      </c>
      <c r="F191" s="1" t="s">
        <v>36</v>
      </c>
      <c r="G191" s="1" t="s">
        <v>134</v>
      </c>
      <c r="H191" s="1" t="s">
        <v>135</v>
      </c>
      <c r="I191" s="1" t="s">
        <v>394</v>
      </c>
      <c r="J191" s="1" t="s">
        <v>395</v>
      </c>
      <c r="K191" s="1">
        <v>12</v>
      </c>
      <c r="L191" s="1" t="s">
        <v>138</v>
      </c>
      <c r="M191" s="1" t="str">
        <f>VLOOKUP(D191,HORARIOS!B:H,7,0)</f>
        <v>Día 4</v>
      </c>
      <c r="N191" s="1">
        <f>VLOOKUP(D191,HORARIOS!B:I,8,0)</f>
        <v>23</v>
      </c>
      <c r="O191" s="9">
        <f>VLOOKUP(D191,HORARIOS!B:D,3,0)</f>
        <v>0.5</v>
      </c>
      <c r="P191" s="9" t="str">
        <f>VLOOKUP(A191,HORARIOS!A:E,5,0)</f>
        <v>16:00 hrs</v>
      </c>
    </row>
    <row r="192" spans="1:16" ht="15.75" customHeight="1" x14ac:dyDescent="0.25">
      <c r="A192" s="1" t="str">
        <f t="shared" si="2"/>
        <v>601423</v>
      </c>
      <c r="B192" s="1">
        <v>213</v>
      </c>
      <c r="C192" s="1">
        <v>11</v>
      </c>
      <c r="D192" s="1">
        <v>6014</v>
      </c>
      <c r="E192" s="1" t="s">
        <v>55</v>
      </c>
      <c r="F192" s="1" t="s">
        <v>36</v>
      </c>
      <c r="G192" s="1" t="s">
        <v>145</v>
      </c>
      <c r="H192" s="1" t="s">
        <v>52</v>
      </c>
      <c r="I192" s="1" t="s">
        <v>396</v>
      </c>
      <c r="J192" s="1" t="s">
        <v>397</v>
      </c>
      <c r="K192" s="1">
        <v>12</v>
      </c>
      <c r="M192" s="1" t="str">
        <f>VLOOKUP(D192,HORARIOS!B:H,7,0)</f>
        <v>Día 4</v>
      </c>
      <c r="N192" s="1">
        <f>VLOOKUP(D192,HORARIOS!B:I,8,0)</f>
        <v>23</v>
      </c>
      <c r="O192" s="9">
        <f>VLOOKUP(D192,HORARIOS!B:D,3,0)</f>
        <v>0.5</v>
      </c>
      <c r="P192" s="9" t="str">
        <f>VLOOKUP(A192,HORARIOS!A:E,5,0)</f>
        <v>16:00 hrs</v>
      </c>
    </row>
    <row r="193" spans="1:16" ht="15.75" customHeight="1" x14ac:dyDescent="0.25">
      <c r="A193" s="1" t="str">
        <f t="shared" si="2"/>
        <v>601423</v>
      </c>
      <c r="B193" s="1">
        <v>214</v>
      </c>
      <c r="C193" s="1">
        <v>11</v>
      </c>
      <c r="D193" s="1">
        <v>6014</v>
      </c>
      <c r="E193" s="1" t="s">
        <v>55</v>
      </c>
      <c r="F193" s="1" t="s">
        <v>36</v>
      </c>
      <c r="G193" s="1" t="s">
        <v>159</v>
      </c>
      <c r="H193" s="1" t="s">
        <v>160</v>
      </c>
      <c r="I193" s="1" t="s">
        <v>398</v>
      </c>
      <c r="J193" s="1" t="s">
        <v>399</v>
      </c>
      <c r="K193" s="1">
        <v>12</v>
      </c>
      <c r="M193" s="1" t="str">
        <f>VLOOKUP(D193,HORARIOS!B:H,7,0)</f>
        <v>Día 4</v>
      </c>
      <c r="N193" s="1">
        <f>VLOOKUP(D193,HORARIOS!B:I,8,0)</f>
        <v>23</v>
      </c>
      <c r="O193" s="9">
        <f>VLOOKUP(D193,HORARIOS!B:D,3,0)</f>
        <v>0.5</v>
      </c>
      <c r="P193" s="9" t="str">
        <f>VLOOKUP(A193,HORARIOS!A:E,5,0)</f>
        <v>16:00 hrs</v>
      </c>
    </row>
    <row r="194" spans="1:16" ht="15.75" customHeight="1" x14ac:dyDescent="0.25">
      <c r="A194" s="1" t="str">
        <f t="shared" si="2"/>
        <v>601518</v>
      </c>
      <c r="B194" s="1">
        <v>215</v>
      </c>
      <c r="C194" s="1">
        <v>13</v>
      </c>
      <c r="D194" s="1">
        <v>6015</v>
      </c>
      <c r="E194" s="1" t="s">
        <v>56</v>
      </c>
      <c r="F194" s="1" t="s">
        <v>36</v>
      </c>
      <c r="G194" s="1" t="s">
        <v>37</v>
      </c>
      <c r="H194" s="1" t="s">
        <v>39</v>
      </c>
      <c r="I194" s="1" t="s">
        <v>400</v>
      </c>
      <c r="J194" s="1" t="s">
        <v>401</v>
      </c>
      <c r="K194" s="1">
        <v>13</v>
      </c>
      <c r="L194" s="1" t="s">
        <v>41</v>
      </c>
      <c r="M194" s="1" t="str">
        <f>VLOOKUP(D194,HORARIOS!B:H,7,0)</f>
        <v>Día 3</v>
      </c>
      <c r="N194" s="1">
        <f>VLOOKUP(D194,HORARIOS!B:I,8,0)</f>
        <v>18</v>
      </c>
      <c r="O194" s="9">
        <f>VLOOKUP(D194,HORARIOS!B:D,3,0)</f>
        <v>0.5</v>
      </c>
      <c r="P194" s="9" t="str">
        <f>VLOOKUP(A194,HORARIOS!A:E,5,0)</f>
        <v>14:30 hrs</v>
      </c>
    </row>
    <row r="195" spans="1:16" ht="15.75" customHeight="1" x14ac:dyDescent="0.25">
      <c r="A195" s="1" t="str">
        <f t="shared" si="2"/>
        <v>601518</v>
      </c>
      <c r="B195" s="1">
        <v>216</v>
      </c>
      <c r="C195" s="1">
        <v>13</v>
      </c>
      <c r="D195" s="1">
        <v>6015</v>
      </c>
      <c r="E195" s="1" t="s">
        <v>56</v>
      </c>
      <c r="F195" s="1" t="s">
        <v>36</v>
      </c>
      <c r="G195" s="1" t="s">
        <v>51</v>
      </c>
      <c r="H195" s="1" t="s">
        <v>52</v>
      </c>
      <c r="I195" s="1" t="s">
        <v>402</v>
      </c>
      <c r="J195" s="1" t="s">
        <v>403</v>
      </c>
      <c r="K195" s="1">
        <v>12</v>
      </c>
      <c r="M195" s="1" t="str">
        <f>VLOOKUP(D195,HORARIOS!B:H,7,0)</f>
        <v>Día 3</v>
      </c>
      <c r="N195" s="1">
        <f>VLOOKUP(D195,HORARIOS!B:I,8,0)</f>
        <v>18</v>
      </c>
      <c r="O195" s="9">
        <f>VLOOKUP(D195,HORARIOS!B:D,3,0)</f>
        <v>0.5</v>
      </c>
      <c r="P195" s="9" t="str">
        <f>VLOOKUP(A195,HORARIOS!A:E,5,0)</f>
        <v>14:30 hrs</v>
      </c>
    </row>
    <row r="196" spans="1:16" ht="15.75" customHeight="1" x14ac:dyDescent="0.25">
      <c r="A196" s="1" t="str">
        <f t="shared" si="2"/>
        <v>601518</v>
      </c>
      <c r="B196" s="1">
        <v>218</v>
      </c>
      <c r="C196" s="1">
        <v>13</v>
      </c>
      <c r="D196" s="1">
        <v>6015</v>
      </c>
      <c r="E196" s="1" t="s">
        <v>56</v>
      </c>
      <c r="F196" s="1" t="s">
        <v>36</v>
      </c>
      <c r="G196" s="1" t="s">
        <v>61</v>
      </c>
      <c r="H196" s="1" t="s">
        <v>62</v>
      </c>
      <c r="I196" s="1" t="s">
        <v>404</v>
      </c>
      <c r="J196" s="1" t="s">
        <v>404</v>
      </c>
      <c r="K196" s="1">
        <v>12</v>
      </c>
      <c r="L196" s="1" t="s">
        <v>64</v>
      </c>
      <c r="M196" s="1" t="str">
        <f>VLOOKUP(D196,HORARIOS!B:H,7,0)</f>
        <v>Día 3</v>
      </c>
      <c r="N196" s="1">
        <f>VLOOKUP(D196,HORARIOS!B:I,8,0)</f>
        <v>18</v>
      </c>
      <c r="O196" s="9">
        <f>VLOOKUP(D196,HORARIOS!B:D,3,0)</f>
        <v>0.5</v>
      </c>
      <c r="P196" s="9" t="str">
        <f>VLOOKUP(A196,HORARIOS!A:E,5,0)</f>
        <v>14:30 hrs</v>
      </c>
    </row>
    <row r="197" spans="1:16" ht="15.75" customHeight="1" x14ac:dyDescent="0.25">
      <c r="A197" s="1" t="str">
        <f t="shared" si="2"/>
        <v>601518</v>
      </c>
      <c r="B197" s="1">
        <v>219</v>
      </c>
      <c r="C197" s="1">
        <v>13</v>
      </c>
      <c r="D197" s="1">
        <v>6015</v>
      </c>
      <c r="E197" s="1" t="s">
        <v>56</v>
      </c>
      <c r="F197" s="1" t="s">
        <v>36</v>
      </c>
      <c r="G197" s="1" t="s">
        <v>72</v>
      </c>
      <c r="H197" s="1" t="s">
        <v>73</v>
      </c>
      <c r="I197" s="1" t="s">
        <v>405</v>
      </c>
      <c r="J197" s="1" t="s">
        <v>406</v>
      </c>
      <c r="K197" s="1">
        <v>12</v>
      </c>
      <c r="M197" s="1" t="str">
        <f>VLOOKUP(D197,HORARIOS!B:H,7,0)</f>
        <v>Día 3</v>
      </c>
      <c r="N197" s="1">
        <f>VLOOKUP(D197,HORARIOS!B:I,8,0)</f>
        <v>18</v>
      </c>
      <c r="O197" s="9">
        <f>VLOOKUP(D197,HORARIOS!B:D,3,0)</f>
        <v>0.5</v>
      </c>
      <c r="P197" s="9" t="str">
        <f>VLOOKUP(A197,HORARIOS!A:E,5,0)</f>
        <v>14:30 hrs</v>
      </c>
    </row>
    <row r="198" spans="1:16" ht="15.75" customHeight="1" x14ac:dyDescent="0.25">
      <c r="A198" s="1" t="str">
        <f t="shared" ref="A198:A261" si="3">D198&amp;N198</f>
        <v>601518</v>
      </c>
      <c r="B198" s="1">
        <v>220</v>
      </c>
      <c r="C198" s="1">
        <v>13</v>
      </c>
      <c r="D198" s="1">
        <v>6015</v>
      </c>
      <c r="E198" s="1" t="s">
        <v>56</v>
      </c>
      <c r="F198" s="1" t="s">
        <v>36</v>
      </c>
      <c r="G198" s="1" t="s">
        <v>88</v>
      </c>
      <c r="H198" s="1" t="s">
        <v>90</v>
      </c>
      <c r="I198" s="1" t="s">
        <v>407</v>
      </c>
      <c r="J198" s="1" t="s">
        <v>408</v>
      </c>
      <c r="K198" s="1">
        <v>12</v>
      </c>
      <c r="M198" s="1" t="str">
        <f>VLOOKUP(D198,HORARIOS!B:H,7,0)</f>
        <v>Día 3</v>
      </c>
      <c r="N198" s="1">
        <f>VLOOKUP(D198,HORARIOS!B:I,8,0)</f>
        <v>18</v>
      </c>
      <c r="O198" s="9">
        <f>VLOOKUP(D198,HORARIOS!B:D,3,0)</f>
        <v>0.5</v>
      </c>
      <c r="P198" s="9" t="str">
        <f>VLOOKUP(A198,HORARIOS!A:E,5,0)</f>
        <v>14:30 hrs</v>
      </c>
    </row>
    <row r="199" spans="1:16" ht="15.75" customHeight="1" x14ac:dyDescent="0.25">
      <c r="A199" s="1" t="str">
        <f t="shared" si="3"/>
        <v>601518</v>
      </c>
      <c r="B199" s="1">
        <v>221</v>
      </c>
      <c r="C199" s="1">
        <v>13</v>
      </c>
      <c r="D199" s="1">
        <v>6015</v>
      </c>
      <c r="E199" s="1" t="s">
        <v>56</v>
      </c>
      <c r="F199" s="1" t="s">
        <v>36</v>
      </c>
      <c r="G199" s="1" t="s">
        <v>96</v>
      </c>
      <c r="H199" s="1" t="s">
        <v>62</v>
      </c>
      <c r="I199" s="1" t="s">
        <v>409</v>
      </c>
      <c r="J199" s="1" t="s">
        <v>409</v>
      </c>
      <c r="K199" s="1">
        <v>12</v>
      </c>
      <c r="M199" s="1" t="str">
        <f>VLOOKUP(D199,HORARIOS!B:H,7,0)</f>
        <v>Día 3</v>
      </c>
      <c r="N199" s="1">
        <f>VLOOKUP(D199,HORARIOS!B:I,8,0)</f>
        <v>18</v>
      </c>
      <c r="O199" s="9">
        <f>VLOOKUP(D199,HORARIOS!B:D,3,0)</f>
        <v>0.5</v>
      </c>
      <c r="P199" s="9" t="str">
        <f>VLOOKUP(A199,HORARIOS!A:E,5,0)</f>
        <v>14:30 hrs</v>
      </c>
    </row>
    <row r="200" spans="1:16" ht="15.75" customHeight="1" x14ac:dyDescent="0.25">
      <c r="A200" s="1" t="str">
        <f t="shared" si="3"/>
        <v>601518</v>
      </c>
      <c r="B200" s="1">
        <v>222</v>
      </c>
      <c r="C200" s="1">
        <v>13</v>
      </c>
      <c r="D200" s="1">
        <v>6015</v>
      </c>
      <c r="E200" s="1" t="s">
        <v>56</v>
      </c>
      <c r="F200" s="1" t="s">
        <v>36</v>
      </c>
      <c r="G200" s="1" t="s">
        <v>98</v>
      </c>
      <c r="H200" s="1" t="s">
        <v>352</v>
      </c>
      <c r="I200" s="1" t="s">
        <v>410</v>
      </c>
      <c r="J200" s="1" t="s">
        <v>410</v>
      </c>
      <c r="K200" s="1">
        <v>12</v>
      </c>
      <c r="L200" s="1" t="s">
        <v>101</v>
      </c>
      <c r="M200" s="1" t="str">
        <f>VLOOKUP(D200,HORARIOS!B:H,7,0)</f>
        <v>Día 3</v>
      </c>
      <c r="N200" s="1">
        <f>VLOOKUP(D200,HORARIOS!B:I,8,0)</f>
        <v>18</v>
      </c>
      <c r="O200" s="9">
        <f>VLOOKUP(D200,HORARIOS!B:D,3,0)</f>
        <v>0.5</v>
      </c>
      <c r="P200" s="9" t="str">
        <f>VLOOKUP(A200,HORARIOS!A:E,5,0)</f>
        <v>14:30 hrs</v>
      </c>
    </row>
    <row r="201" spans="1:16" ht="15.75" customHeight="1" x14ac:dyDescent="0.25">
      <c r="A201" s="1" t="str">
        <f t="shared" si="3"/>
        <v>601518</v>
      </c>
      <c r="B201" s="1">
        <v>223</v>
      </c>
      <c r="C201" s="1">
        <v>13</v>
      </c>
      <c r="D201" s="1">
        <v>6015</v>
      </c>
      <c r="E201" s="1" t="s">
        <v>56</v>
      </c>
      <c r="F201" s="1" t="s">
        <v>36</v>
      </c>
      <c r="G201" s="1" t="s">
        <v>98</v>
      </c>
      <c r="H201" s="1" t="s">
        <v>352</v>
      </c>
      <c r="I201" s="1" t="s">
        <v>411</v>
      </c>
      <c r="J201" s="1" t="s">
        <v>411</v>
      </c>
      <c r="K201" s="1">
        <v>12</v>
      </c>
      <c r="L201" s="1" t="s">
        <v>101</v>
      </c>
      <c r="M201" s="1" t="str">
        <f>VLOOKUP(D201,HORARIOS!B:H,7,0)</f>
        <v>Día 3</v>
      </c>
      <c r="N201" s="1">
        <f>VLOOKUP(D201,HORARIOS!B:I,8,0)</f>
        <v>18</v>
      </c>
      <c r="O201" s="9">
        <f>VLOOKUP(D201,HORARIOS!B:D,3,0)</f>
        <v>0.5</v>
      </c>
      <c r="P201" s="9" t="str">
        <f>VLOOKUP(A201,HORARIOS!A:E,5,0)</f>
        <v>14:30 hrs</v>
      </c>
    </row>
    <row r="202" spans="1:16" ht="15.75" customHeight="1" x14ac:dyDescent="0.25">
      <c r="A202" s="1" t="str">
        <f t="shared" si="3"/>
        <v>601518</v>
      </c>
      <c r="B202" s="1">
        <v>224</v>
      </c>
      <c r="C202" s="1">
        <v>13</v>
      </c>
      <c r="D202" s="1">
        <v>6015</v>
      </c>
      <c r="E202" s="1" t="s">
        <v>56</v>
      </c>
      <c r="F202" s="1" t="s">
        <v>36</v>
      </c>
      <c r="G202" s="1" t="s">
        <v>98</v>
      </c>
      <c r="H202" s="1" t="s">
        <v>352</v>
      </c>
      <c r="I202" s="1" t="s">
        <v>412</v>
      </c>
      <c r="J202" s="1" t="s">
        <v>412</v>
      </c>
      <c r="K202" s="1">
        <v>12</v>
      </c>
      <c r="L202" s="1" t="s">
        <v>101</v>
      </c>
      <c r="M202" s="1" t="str">
        <f>VLOOKUP(D202,HORARIOS!B:H,7,0)</f>
        <v>Día 3</v>
      </c>
      <c r="N202" s="1">
        <f>VLOOKUP(D202,HORARIOS!B:I,8,0)</f>
        <v>18</v>
      </c>
      <c r="O202" s="9">
        <f>VLOOKUP(D202,HORARIOS!B:D,3,0)</f>
        <v>0.5</v>
      </c>
      <c r="P202" s="9" t="str">
        <f>VLOOKUP(A202,HORARIOS!A:E,5,0)</f>
        <v>14:30 hrs</v>
      </c>
    </row>
    <row r="203" spans="1:16" ht="15.75" customHeight="1" x14ac:dyDescent="0.25">
      <c r="A203" s="1" t="str">
        <f t="shared" si="3"/>
        <v>601518</v>
      </c>
      <c r="B203" s="1">
        <v>226</v>
      </c>
      <c r="C203" s="1">
        <v>13</v>
      </c>
      <c r="D203" s="1">
        <v>6015</v>
      </c>
      <c r="E203" s="1" t="s">
        <v>56</v>
      </c>
      <c r="F203" s="1" t="s">
        <v>36</v>
      </c>
      <c r="G203" s="1" t="s">
        <v>114</v>
      </c>
      <c r="H203" s="1" t="s">
        <v>39</v>
      </c>
      <c r="I203" s="1" t="s">
        <v>52</v>
      </c>
      <c r="J203" s="1" t="s">
        <v>52</v>
      </c>
      <c r="K203" s="1">
        <v>2</v>
      </c>
      <c r="L203" s="1" t="s">
        <v>115</v>
      </c>
      <c r="M203" s="1" t="str">
        <f>VLOOKUP(D203,HORARIOS!B:H,7,0)</f>
        <v>Día 3</v>
      </c>
      <c r="N203" s="1">
        <f>VLOOKUP(D203,HORARIOS!B:I,8,0)</f>
        <v>18</v>
      </c>
      <c r="O203" s="9">
        <f>VLOOKUP(D203,HORARIOS!B:D,3,0)</f>
        <v>0.5</v>
      </c>
      <c r="P203" s="9" t="str">
        <f>VLOOKUP(A203,HORARIOS!A:E,5,0)</f>
        <v>14:30 hrs</v>
      </c>
    </row>
    <row r="204" spans="1:16" ht="15.75" customHeight="1" x14ac:dyDescent="0.25">
      <c r="A204" s="1" t="str">
        <f t="shared" si="3"/>
        <v>601518</v>
      </c>
      <c r="B204" s="1">
        <v>227</v>
      </c>
      <c r="C204" s="1">
        <v>13</v>
      </c>
      <c r="D204" s="1">
        <v>6015</v>
      </c>
      <c r="E204" s="1" t="s">
        <v>56</v>
      </c>
      <c r="F204" s="1" t="s">
        <v>36</v>
      </c>
      <c r="G204" s="1" t="s">
        <v>134</v>
      </c>
      <c r="H204" s="1" t="s">
        <v>135</v>
      </c>
      <c r="I204" s="1" t="s">
        <v>413</v>
      </c>
      <c r="J204" s="1" t="s">
        <v>414</v>
      </c>
      <c r="K204" s="1">
        <v>12</v>
      </c>
      <c r="L204" s="1" t="s">
        <v>138</v>
      </c>
      <c r="M204" s="1" t="str">
        <f>VLOOKUP(D204,HORARIOS!B:H,7,0)</f>
        <v>Día 3</v>
      </c>
      <c r="N204" s="1">
        <f>VLOOKUP(D204,HORARIOS!B:I,8,0)</f>
        <v>18</v>
      </c>
      <c r="O204" s="9">
        <f>VLOOKUP(D204,HORARIOS!B:D,3,0)</f>
        <v>0.5</v>
      </c>
      <c r="P204" s="9" t="str">
        <f>VLOOKUP(A204,HORARIOS!A:E,5,0)</f>
        <v>14:30 hrs</v>
      </c>
    </row>
    <row r="205" spans="1:16" ht="15.75" customHeight="1" x14ac:dyDescent="0.25">
      <c r="A205" s="1" t="str">
        <f t="shared" si="3"/>
        <v>601518</v>
      </c>
      <c r="B205" s="1">
        <v>228</v>
      </c>
      <c r="C205" s="1">
        <v>13</v>
      </c>
      <c r="D205" s="1">
        <v>6015</v>
      </c>
      <c r="E205" s="1" t="s">
        <v>56</v>
      </c>
      <c r="F205" s="1" t="s">
        <v>36</v>
      </c>
      <c r="G205" s="1" t="s">
        <v>145</v>
      </c>
      <c r="H205" s="1" t="s">
        <v>52</v>
      </c>
      <c r="I205" s="1" t="s">
        <v>415</v>
      </c>
      <c r="J205" s="1" t="s">
        <v>416</v>
      </c>
      <c r="K205" s="1">
        <v>12</v>
      </c>
      <c r="M205" s="1" t="str">
        <f>VLOOKUP(D205,HORARIOS!B:H,7,0)</f>
        <v>Día 3</v>
      </c>
      <c r="N205" s="1">
        <f>VLOOKUP(D205,HORARIOS!B:I,8,0)</f>
        <v>18</v>
      </c>
      <c r="O205" s="9">
        <f>VLOOKUP(D205,HORARIOS!B:D,3,0)</f>
        <v>0.5</v>
      </c>
      <c r="P205" s="9" t="str">
        <f>VLOOKUP(A205,HORARIOS!A:E,5,0)</f>
        <v>14:30 hrs</v>
      </c>
    </row>
    <row r="206" spans="1:16" ht="15.75" customHeight="1" x14ac:dyDescent="0.25">
      <c r="A206" s="1" t="str">
        <f t="shared" si="3"/>
        <v>601518</v>
      </c>
      <c r="B206" s="1">
        <v>229</v>
      </c>
      <c r="C206" s="1">
        <v>13</v>
      </c>
      <c r="D206" s="1">
        <v>6015</v>
      </c>
      <c r="E206" s="1" t="s">
        <v>56</v>
      </c>
      <c r="F206" s="1" t="s">
        <v>36</v>
      </c>
      <c r="G206" s="1" t="s">
        <v>159</v>
      </c>
      <c r="H206" s="1" t="s">
        <v>160</v>
      </c>
      <c r="I206" s="1" t="s">
        <v>417</v>
      </c>
      <c r="J206" s="1" t="s">
        <v>418</v>
      </c>
      <c r="K206" s="1">
        <v>12</v>
      </c>
      <c r="M206" s="1" t="str">
        <f>VLOOKUP(D206,HORARIOS!B:H,7,0)</f>
        <v>Día 3</v>
      </c>
      <c r="N206" s="1">
        <f>VLOOKUP(D206,HORARIOS!B:I,8,0)</f>
        <v>18</v>
      </c>
      <c r="O206" s="9">
        <f>VLOOKUP(D206,HORARIOS!B:D,3,0)</f>
        <v>0.5</v>
      </c>
      <c r="P206" s="9" t="str">
        <f>VLOOKUP(A206,HORARIOS!A:E,5,0)</f>
        <v>14:30 hrs</v>
      </c>
    </row>
    <row r="207" spans="1:16" ht="15.75" customHeight="1" x14ac:dyDescent="0.25">
      <c r="A207" s="1" t="str">
        <f t="shared" si="3"/>
        <v>601628</v>
      </c>
      <c r="B207" s="1">
        <v>230</v>
      </c>
      <c r="C207" s="1">
        <v>14</v>
      </c>
      <c r="D207" s="1">
        <v>6016</v>
      </c>
      <c r="E207" s="1" t="s">
        <v>57</v>
      </c>
      <c r="F207" s="1" t="s">
        <v>36</v>
      </c>
      <c r="G207" s="1" t="s">
        <v>37</v>
      </c>
      <c r="H207" s="1" t="s">
        <v>39</v>
      </c>
      <c r="I207" s="1" t="s">
        <v>419</v>
      </c>
      <c r="J207" s="1" t="s">
        <v>420</v>
      </c>
      <c r="K207" s="1">
        <v>12</v>
      </c>
      <c r="L207" s="1" t="s">
        <v>41</v>
      </c>
      <c r="M207" s="1" t="str">
        <f>VLOOKUP(D207,HORARIOS!B:H,7,0)</f>
        <v>Dia 5</v>
      </c>
      <c r="N207" s="1">
        <f>VLOOKUP(D207,HORARIOS!B:I,8,0)</f>
        <v>28</v>
      </c>
      <c r="O207" s="9">
        <f>VLOOKUP(D207,HORARIOS!B:D,3,0)</f>
        <v>0.45833333333333331</v>
      </c>
      <c r="P207" s="9" t="str">
        <f>VLOOKUP(A207,HORARIOS!A:E,5,0)</f>
        <v>15:30 hrs</v>
      </c>
    </row>
    <row r="208" spans="1:16" ht="15.75" customHeight="1" x14ac:dyDescent="0.25">
      <c r="A208" s="1" t="str">
        <f t="shared" si="3"/>
        <v>601628</v>
      </c>
      <c r="B208" s="1">
        <v>231</v>
      </c>
      <c r="C208" s="1">
        <v>14</v>
      </c>
      <c r="D208" s="1">
        <v>6016</v>
      </c>
      <c r="E208" s="1" t="s">
        <v>57</v>
      </c>
      <c r="F208" s="1" t="s">
        <v>36</v>
      </c>
      <c r="G208" s="1" t="s">
        <v>51</v>
      </c>
      <c r="H208" s="1" t="s">
        <v>52</v>
      </c>
      <c r="I208" s="1" t="s">
        <v>421</v>
      </c>
      <c r="J208" s="1" t="s">
        <v>422</v>
      </c>
      <c r="K208" s="1">
        <v>12</v>
      </c>
      <c r="M208" s="1" t="str">
        <f>VLOOKUP(D208,HORARIOS!B:H,7,0)</f>
        <v>Dia 5</v>
      </c>
      <c r="N208" s="1">
        <f>VLOOKUP(D208,HORARIOS!B:I,8,0)</f>
        <v>28</v>
      </c>
      <c r="O208" s="9">
        <f>VLOOKUP(D208,HORARIOS!B:D,3,0)</f>
        <v>0.45833333333333331</v>
      </c>
      <c r="P208" s="9" t="str">
        <f>VLOOKUP(A208,HORARIOS!A:E,5,0)</f>
        <v>15:30 hrs</v>
      </c>
    </row>
    <row r="209" spans="1:16" ht="15.75" customHeight="1" x14ac:dyDescent="0.25">
      <c r="A209" s="1" t="str">
        <f t="shared" si="3"/>
        <v>601628</v>
      </c>
      <c r="B209" s="1">
        <v>232</v>
      </c>
      <c r="C209" s="1">
        <v>14</v>
      </c>
      <c r="D209" s="1">
        <v>6016</v>
      </c>
      <c r="E209" s="1" t="s">
        <v>57</v>
      </c>
      <c r="F209" s="1" t="s">
        <v>36</v>
      </c>
      <c r="G209" s="1" t="s">
        <v>61</v>
      </c>
      <c r="H209" s="1" t="s">
        <v>62</v>
      </c>
      <c r="I209" s="1" t="s">
        <v>423</v>
      </c>
      <c r="J209" s="1" t="s">
        <v>423</v>
      </c>
      <c r="K209" s="1">
        <v>12</v>
      </c>
      <c r="L209" s="1" t="s">
        <v>64</v>
      </c>
      <c r="M209" s="1" t="str">
        <f>VLOOKUP(D209,HORARIOS!B:H,7,0)</f>
        <v>Dia 5</v>
      </c>
      <c r="N209" s="1">
        <f>VLOOKUP(D209,HORARIOS!B:I,8,0)</f>
        <v>28</v>
      </c>
      <c r="O209" s="9">
        <f>VLOOKUP(D209,HORARIOS!B:D,3,0)</f>
        <v>0.45833333333333331</v>
      </c>
      <c r="P209" s="9" t="str">
        <f>VLOOKUP(A209,HORARIOS!A:E,5,0)</f>
        <v>15:30 hrs</v>
      </c>
    </row>
    <row r="210" spans="1:16" ht="15.75" customHeight="1" x14ac:dyDescent="0.25">
      <c r="A210" s="1" t="str">
        <f t="shared" si="3"/>
        <v>601628</v>
      </c>
      <c r="B210" s="1">
        <v>234</v>
      </c>
      <c r="C210" s="1">
        <v>14</v>
      </c>
      <c r="D210" s="1">
        <v>6016</v>
      </c>
      <c r="E210" s="1" t="s">
        <v>57</v>
      </c>
      <c r="F210" s="1" t="s">
        <v>36</v>
      </c>
      <c r="G210" s="1" t="s">
        <v>72</v>
      </c>
      <c r="H210" s="1" t="s">
        <v>73</v>
      </c>
      <c r="I210" s="1" t="s">
        <v>424</v>
      </c>
      <c r="J210" s="1" t="s">
        <v>425</v>
      </c>
      <c r="K210" s="1">
        <v>12</v>
      </c>
      <c r="M210" s="1" t="str">
        <f>VLOOKUP(D210,HORARIOS!B:H,7,0)</f>
        <v>Dia 5</v>
      </c>
      <c r="N210" s="1">
        <f>VLOOKUP(D210,HORARIOS!B:I,8,0)</f>
        <v>28</v>
      </c>
      <c r="O210" s="9">
        <f>VLOOKUP(D210,HORARIOS!B:D,3,0)</f>
        <v>0.45833333333333331</v>
      </c>
      <c r="P210" s="9" t="str">
        <f>VLOOKUP(A210,HORARIOS!A:E,5,0)</f>
        <v>15:30 hrs</v>
      </c>
    </row>
    <row r="211" spans="1:16" ht="15.75" customHeight="1" x14ac:dyDescent="0.25">
      <c r="A211" s="1" t="str">
        <f t="shared" si="3"/>
        <v>601628</v>
      </c>
      <c r="B211" s="1">
        <v>235</v>
      </c>
      <c r="C211" s="1">
        <v>14</v>
      </c>
      <c r="D211" s="1">
        <v>6016</v>
      </c>
      <c r="E211" s="1" t="s">
        <v>57</v>
      </c>
      <c r="F211" s="1" t="s">
        <v>36</v>
      </c>
      <c r="G211" s="1" t="s">
        <v>88</v>
      </c>
      <c r="H211" s="1" t="s">
        <v>90</v>
      </c>
      <c r="I211" s="1" t="s">
        <v>426</v>
      </c>
      <c r="J211" s="1" t="s">
        <v>427</v>
      </c>
      <c r="K211" s="1">
        <v>12</v>
      </c>
      <c r="M211" s="1" t="str">
        <f>VLOOKUP(D211,HORARIOS!B:H,7,0)</f>
        <v>Dia 5</v>
      </c>
      <c r="N211" s="1">
        <f>VLOOKUP(D211,HORARIOS!B:I,8,0)</f>
        <v>28</v>
      </c>
      <c r="O211" s="9">
        <f>VLOOKUP(D211,HORARIOS!B:D,3,0)</f>
        <v>0.45833333333333331</v>
      </c>
      <c r="P211" s="9" t="str">
        <f>VLOOKUP(A211,HORARIOS!A:E,5,0)</f>
        <v>15:30 hrs</v>
      </c>
    </row>
    <row r="212" spans="1:16" ht="15.75" customHeight="1" x14ac:dyDescent="0.25">
      <c r="A212" s="1" t="str">
        <f t="shared" si="3"/>
        <v>601628</v>
      </c>
      <c r="B212" s="1">
        <v>236</v>
      </c>
      <c r="C212" s="1">
        <v>14</v>
      </c>
      <c r="D212" s="1">
        <v>6016</v>
      </c>
      <c r="E212" s="1" t="s">
        <v>57</v>
      </c>
      <c r="F212" s="1" t="s">
        <v>36</v>
      </c>
      <c r="G212" s="1" t="s">
        <v>96</v>
      </c>
      <c r="H212" s="1" t="s">
        <v>62</v>
      </c>
      <c r="I212" s="1" t="s">
        <v>428</v>
      </c>
      <c r="J212" s="1" t="s">
        <v>428</v>
      </c>
      <c r="K212" s="1">
        <v>12</v>
      </c>
      <c r="M212" s="1" t="str">
        <f>VLOOKUP(D212,HORARIOS!B:H,7,0)</f>
        <v>Dia 5</v>
      </c>
      <c r="N212" s="1">
        <f>VLOOKUP(D212,HORARIOS!B:I,8,0)</f>
        <v>28</v>
      </c>
      <c r="O212" s="9">
        <f>VLOOKUP(D212,HORARIOS!B:D,3,0)</f>
        <v>0.45833333333333331</v>
      </c>
      <c r="P212" s="9" t="str">
        <f>VLOOKUP(A212,HORARIOS!A:E,5,0)</f>
        <v>15:30 hrs</v>
      </c>
    </row>
    <row r="213" spans="1:16" ht="15.75" customHeight="1" x14ac:dyDescent="0.25">
      <c r="A213" s="1" t="str">
        <f t="shared" si="3"/>
        <v>601628</v>
      </c>
      <c r="B213" s="1">
        <v>237</v>
      </c>
      <c r="C213" s="1">
        <v>14</v>
      </c>
      <c r="D213" s="1">
        <v>6016</v>
      </c>
      <c r="E213" s="1" t="s">
        <v>57</v>
      </c>
      <c r="F213" s="1" t="s">
        <v>36</v>
      </c>
      <c r="G213" s="1" t="s">
        <v>98</v>
      </c>
      <c r="H213" s="1" t="s">
        <v>352</v>
      </c>
      <c r="I213" s="1" t="s">
        <v>429</v>
      </c>
      <c r="J213" s="1" t="s">
        <v>430</v>
      </c>
      <c r="K213" s="1">
        <v>12</v>
      </c>
      <c r="L213" s="1" t="s">
        <v>101</v>
      </c>
      <c r="M213" s="1" t="str">
        <f>VLOOKUP(D213,HORARIOS!B:H,7,0)</f>
        <v>Dia 5</v>
      </c>
      <c r="N213" s="1">
        <f>VLOOKUP(D213,HORARIOS!B:I,8,0)</f>
        <v>28</v>
      </c>
      <c r="O213" s="9">
        <f>VLOOKUP(D213,HORARIOS!B:D,3,0)</f>
        <v>0.45833333333333331</v>
      </c>
      <c r="P213" s="9" t="str">
        <f>VLOOKUP(A213,HORARIOS!A:E,5,0)</f>
        <v>15:30 hrs</v>
      </c>
    </row>
    <row r="214" spans="1:16" ht="15.75" customHeight="1" x14ac:dyDescent="0.25">
      <c r="A214" s="1" t="str">
        <f t="shared" si="3"/>
        <v>601628</v>
      </c>
      <c r="B214" s="1">
        <v>238</v>
      </c>
      <c r="C214" s="1">
        <v>14</v>
      </c>
      <c r="D214" s="1">
        <v>6016</v>
      </c>
      <c r="E214" s="1" t="s">
        <v>57</v>
      </c>
      <c r="F214" s="1" t="s">
        <v>36</v>
      </c>
      <c r="G214" s="1" t="s">
        <v>98</v>
      </c>
      <c r="H214" s="1" t="s">
        <v>352</v>
      </c>
      <c r="I214" s="1" t="s">
        <v>431</v>
      </c>
      <c r="J214" s="1" t="s">
        <v>432</v>
      </c>
      <c r="K214" s="1">
        <v>12</v>
      </c>
      <c r="L214" s="1" t="s">
        <v>101</v>
      </c>
      <c r="M214" s="1" t="str">
        <f>VLOOKUP(D214,HORARIOS!B:H,7,0)</f>
        <v>Dia 5</v>
      </c>
      <c r="N214" s="1">
        <f>VLOOKUP(D214,HORARIOS!B:I,8,0)</f>
        <v>28</v>
      </c>
      <c r="O214" s="9">
        <f>VLOOKUP(D214,HORARIOS!B:D,3,0)</f>
        <v>0.45833333333333331</v>
      </c>
      <c r="P214" s="9" t="str">
        <f>VLOOKUP(A214,HORARIOS!A:E,5,0)</f>
        <v>15:30 hrs</v>
      </c>
    </row>
    <row r="215" spans="1:16" ht="15.75" customHeight="1" x14ac:dyDescent="0.25">
      <c r="A215" s="1" t="str">
        <f t="shared" si="3"/>
        <v>601628</v>
      </c>
      <c r="B215" s="1">
        <v>239</v>
      </c>
      <c r="C215" s="1">
        <v>14</v>
      </c>
      <c r="D215" s="1">
        <v>6016</v>
      </c>
      <c r="E215" s="1" t="s">
        <v>57</v>
      </c>
      <c r="F215" s="1" t="s">
        <v>36</v>
      </c>
      <c r="G215" s="1" t="s">
        <v>98</v>
      </c>
      <c r="H215" s="1" t="s">
        <v>352</v>
      </c>
      <c r="I215" s="1" t="s">
        <v>433</v>
      </c>
      <c r="J215" s="1" t="s">
        <v>434</v>
      </c>
      <c r="K215" s="1">
        <v>12</v>
      </c>
      <c r="L215" s="1" t="s">
        <v>101</v>
      </c>
      <c r="M215" s="1" t="str">
        <f>VLOOKUP(D215,HORARIOS!B:H,7,0)</f>
        <v>Dia 5</v>
      </c>
      <c r="N215" s="1">
        <f>VLOOKUP(D215,HORARIOS!B:I,8,0)</f>
        <v>28</v>
      </c>
      <c r="O215" s="9">
        <f>VLOOKUP(D215,HORARIOS!B:D,3,0)</f>
        <v>0.45833333333333331</v>
      </c>
      <c r="P215" s="9" t="str">
        <f>VLOOKUP(A215,HORARIOS!A:E,5,0)</f>
        <v>15:30 hrs</v>
      </c>
    </row>
    <row r="216" spans="1:16" ht="15.75" customHeight="1" x14ac:dyDescent="0.25">
      <c r="A216" s="1" t="str">
        <f t="shared" si="3"/>
        <v>601628</v>
      </c>
      <c r="B216" s="1">
        <v>240</v>
      </c>
      <c r="C216" s="1">
        <v>14</v>
      </c>
      <c r="D216" s="1">
        <v>6016</v>
      </c>
      <c r="E216" s="1" t="s">
        <v>57</v>
      </c>
      <c r="F216" s="1" t="s">
        <v>36</v>
      </c>
      <c r="G216" s="1" t="s">
        <v>98</v>
      </c>
      <c r="H216" s="1" t="s">
        <v>352</v>
      </c>
      <c r="I216" s="1" t="s">
        <v>435</v>
      </c>
      <c r="J216" s="1" t="s">
        <v>436</v>
      </c>
      <c r="K216" s="1">
        <v>12</v>
      </c>
      <c r="L216" s="1" t="s">
        <v>101</v>
      </c>
      <c r="M216" s="1" t="str">
        <f>VLOOKUP(D216,HORARIOS!B:H,7,0)</f>
        <v>Dia 5</v>
      </c>
      <c r="N216" s="1">
        <f>VLOOKUP(D216,HORARIOS!B:I,8,0)</f>
        <v>28</v>
      </c>
      <c r="O216" s="9">
        <f>VLOOKUP(D216,HORARIOS!B:D,3,0)</f>
        <v>0.45833333333333331</v>
      </c>
      <c r="P216" s="9" t="str">
        <f>VLOOKUP(A216,HORARIOS!A:E,5,0)</f>
        <v>15:30 hrs</v>
      </c>
    </row>
    <row r="217" spans="1:16" ht="15.75" customHeight="1" x14ac:dyDescent="0.25">
      <c r="A217" s="1" t="str">
        <f t="shared" si="3"/>
        <v>601628</v>
      </c>
      <c r="B217" s="1">
        <v>242</v>
      </c>
      <c r="C217" s="1">
        <v>14</v>
      </c>
      <c r="D217" s="1">
        <v>6016</v>
      </c>
      <c r="E217" s="1" t="s">
        <v>57</v>
      </c>
      <c r="F217" s="1" t="s">
        <v>36</v>
      </c>
      <c r="G217" s="1" t="s">
        <v>114</v>
      </c>
      <c r="H217" s="1" t="s">
        <v>39</v>
      </c>
      <c r="I217" s="1" t="s">
        <v>52</v>
      </c>
      <c r="J217" s="1" t="s">
        <v>52</v>
      </c>
      <c r="K217" s="1">
        <v>2</v>
      </c>
      <c r="L217" s="1" t="s">
        <v>115</v>
      </c>
      <c r="M217" s="1" t="str">
        <f>VLOOKUP(D217,HORARIOS!B:H,7,0)</f>
        <v>Dia 5</v>
      </c>
      <c r="N217" s="1">
        <f>VLOOKUP(D217,HORARIOS!B:I,8,0)</f>
        <v>28</v>
      </c>
      <c r="O217" s="9">
        <f>VLOOKUP(D217,HORARIOS!B:D,3,0)</f>
        <v>0.45833333333333331</v>
      </c>
      <c r="P217" s="9" t="str">
        <f>VLOOKUP(A217,HORARIOS!A:E,5,0)</f>
        <v>15:30 hrs</v>
      </c>
    </row>
    <row r="218" spans="1:16" ht="15.75" customHeight="1" x14ac:dyDescent="0.25">
      <c r="A218" s="1" t="str">
        <f t="shared" si="3"/>
        <v>601628</v>
      </c>
      <c r="B218" s="1">
        <v>243</v>
      </c>
      <c r="C218" s="1">
        <v>14</v>
      </c>
      <c r="D218" s="1">
        <v>6016</v>
      </c>
      <c r="E218" s="1" t="s">
        <v>57</v>
      </c>
      <c r="F218" s="1" t="s">
        <v>36</v>
      </c>
      <c r="G218" s="1" t="s">
        <v>134</v>
      </c>
      <c r="H218" s="1" t="s">
        <v>135</v>
      </c>
      <c r="I218" s="1" t="s">
        <v>437</v>
      </c>
      <c r="J218" s="1" t="s">
        <v>438</v>
      </c>
      <c r="K218" s="1">
        <v>12</v>
      </c>
      <c r="L218" s="1" t="s">
        <v>138</v>
      </c>
      <c r="M218" s="1" t="str">
        <f>VLOOKUP(D218,HORARIOS!B:H,7,0)</f>
        <v>Dia 5</v>
      </c>
      <c r="N218" s="1">
        <f>VLOOKUP(D218,HORARIOS!B:I,8,0)</f>
        <v>28</v>
      </c>
      <c r="O218" s="9">
        <f>VLOOKUP(D218,HORARIOS!B:D,3,0)</f>
        <v>0.45833333333333331</v>
      </c>
      <c r="P218" s="9" t="str">
        <f>VLOOKUP(A218,HORARIOS!A:E,5,0)</f>
        <v>15:30 hrs</v>
      </c>
    </row>
    <row r="219" spans="1:16" ht="15.75" customHeight="1" x14ac:dyDescent="0.25">
      <c r="A219" s="1" t="str">
        <f t="shared" si="3"/>
        <v>601628</v>
      </c>
      <c r="B219" s="1">
        <v>244</v>
      </c>
      <c r="C219" s="1">
        <v>14</v>
      </c>
      <c r="D219" s="1">
        <v>6016</v>
      </c>
      <c r="E219" s="1" t="s">
        <v>57</v>
      </c>
      <c r="F219" s="1" t="s">
        <v>36</v>
      </c>
      <c r="G219" s="1" t="s">
        <v>145</v>
      </c>
      <c r="H219" s="1" t="s">
        <v>52</v>
      </c>
      <c r="I219" s="1" t="s">
        <v>439</v>
      </c>
      <c r="J219" s="1" t="s">
        <v>440</v>
      </c>
      <c r="K219" s="1">
        <v>12</v>
      </c>
      <c r="M219" s="1" t="str">
        <f>VLOOKUP(D219,HORARIOS!B:H,7,0)</f>
        <v>Dia 5</v>
      </c>
      <c r="N219" s="1">
        <f>VLOOKUP(D219,HORARIOS!B:I,8,0)</f>
        <v>28</v>
      </c>
      <c r="O219" s="9">
        <f>VLOOKUP(D219,HORARIOS!B:D,3,0)</f>
        <v>0.45833333333333331</v>
      </c>
      <c r="P219" s="9" t="str">
        <f>VLOOKUP(A219,HORARIOS!A:E,5,0)</f>
        <v>15:30 hrs</v>
      </c>
    </row>
    <row r="220" spans="1:16" ht="15.75" customHeight="1" x14ac:dyDescent="0.25">
      <c r="A220" s="1" t="str">
        <f t="shared" si="3"/>
        <v>601628</v>
      </c>
      <c r="B220" s="1">
        <v>245</v>
      </c>
      <c r="C220" s="1">
        <v>14</v>
      </c>
      <c r="D220" s="1">
        <v>6016</v>
      </c>
      <c r="E220" s="1" t="s">
        <v>57</v>
      </c>
      <c r="F220" s="1" t="s">
        <v>36</v>
      </c>
      <c r="G220" s="1" t="s">
        <v>159</v>
      </c>
      <c r="H220" s="1" t="s">
        <v>160</v>
      </c>
      <c r="I220" s="1" t="s">
        <v>441</v>
      </c>
      <c r="J220" s="1" t="s">
        <v>442</v>
      </c>
      <c r="K220" s="1">
        <v>12</v>
      </c>
      <c r="M220" s="1" t="str">
        <f>VLOOKUP(D220,HORARIOS!B:H,7,0)</f>
        <v>Dia 5</v>
      </c>
      <c r="N220" s="1">
        <f>VLOOKUP(D220,HORARIOS!B:I,8,0)</f>
        <v>28</v>
      </c>
      <c r="O220" s="9">
        <f>VLOOKUP(D220,HORARIOS!B:D,3,0)</f>
        <v>0.45833333333333331</v>
      </c>
      <c r="P220" s="9" t="str">
        <f>VLOOKUP(A220,HORARIOS!A:E,5,0)</f>
        <v>15:30 hrs</v>
      </c>
    </row>
    <row r="221" spans="1:16" ht="15.75" customHeight="1" x14ac:dyDescent="0.25">
      <c r="A221" s="1" t="str">
        <f t="shared" si="3"/>
        <v>601724</v>
      </c>
      <c r="B221" s="1">
        <v>246</v>
      </c>
      <c r="C221" s="1">
        <v>14</v>
      </c>
      <c r="D221" s="1">
        <v>6017</v>
      </c>
      <c r="E221" s="1" t="s">
        <v>58</v>
      </c>
      <c r="F221" s="1" t="s">
        <v>36</v>
      </c>
      <c r="G221" s="1" t="s">
        <v>37</v>
      </c>
      <c r="H221" s="1" t="s">
        <v>39</v>
      </c>
      <c r="I221" s="1" t="s">
        <v>443</v>
      </c>
      <c r="J221" s="1" t="s">
        <v>444</v>
      </c>
      <c r="K221" s="1">
        <v>12</v>
      </c>
      <c r="L221" s="1" t="s">
        <v>41</v>
      </c>
      <c r="M221" s="1" t="str">
        <f>VLOOKUP(D221,HORARIOS!B:H,7,0)</f>
        <v>Día 4</v>
      </c>
      <c r="N221" s="1">
        <f>VLOOKUP(D221,HORARIOS!B:I,8,0)</f>
        <v>24</v>
      </c>
      <c r="O221" s="9">
        <f>VLOOKUP(D221,HORARIOS!B:D,3,0)</f>
        <v>0.625</v>
      </c>
      <c r="P221" s="9" t="str">
        <f>VLOOKUP(A221,HORARIOS!A:E,5,0)</f>
        <v>19:30 hrs</v>
      </c>
    </row>
    <row r="222" spans="1:16" ht="15.75" customHeight="1" x14ac:dyDescent="0.25">
      <c r="A222" s="1" t="str">
        <f t="shared" si="3"/>
        <v>601724</v>
      </c>
      <c r="B222" s="1">
        <v>247</v>
      </c>
      <c r="C222" s="1">
        <v>14</v>
      </c>
      <c r="D222" s="1">
        <v>6017</v>
      </c>
      <c r="E222" s="1" t="s">
        <v>58</v>
      </c>
      <c r="F222" s="1" t="s">
        <v>36</v>
      </c>
      <c r="G222" s="1" t="s">
        <v>51</v>
      </c>
      <c r="H222" s="1" t="s">
        <v>52</v>
      </c>
      <c r="I222" s="1" t="s">
        <v>445</v>
      </c>
      <c r="J222" s="1" t="s">
        <v>446</v>
      </c>
      <c r="K222" s="1">
        <v>12</v>
      </c>
      <c r="M222" s="1" t="str">
        <f>VLOOKUP(D222,HORARIOS!B:H,7,0)</f>
        <v>Día 4</v>
      </c>
      <c r="N222" s="1">
        <f>VLOOKUP(D222,HORARIOS!B:I,8,0)</f>
        <v>24</v>
      </c>
      <c r="O222" s="9">
        <f>VLOOKUP(D222,HORARIOS!B:D,3,0)</f>
        <v>0.625</v>
      </c>
      <c r="P222" s="9" t="str">
        <f>VLOOKUP(A222,HORARIOS!A:E,5,0)</f>
        <v>19:30 hrs</v>
      </c>
    </row>
    <row r="223" spans="1:16" ht="15.75" customHeight="1" x14ac:dyDescent="0.25">
      <c r="A223" s="1" t="str">
        <f t="shared" si="3"/>
        <v>601724</v>
      </c>
      <c r="B223" s="1">
        <v>248</v>
      </c>
      <c r="C223" s="1">
        <v>14</v>
      </c>
      <c r="D223" s="1">
        <v>6017</v>
      </c>
      <c r="E223" s="1" t="s">
        <v>58</v>
      </c>
      <c r="F223" s="1" t="s">
        <v>36</v>
      </c>
      <c r="G223" s="1" t="s">
        <v>61</v>
      </c>
      <c r="H223" s="1" t="s">
        <v>62</v>
      </c>
      <c r="I223" s="1" t="s">
        <v>447</v>
      </c>
      <c r="J223" s="1" t="s">
        <v>447</v>
      </c>
      <c r="K223" s="1">
        <v>12</v>
      </c>
      <c r="L223" s="1" t="s">
        <v>64</v>
      </c>
      <c r="M223" s="1" t="str">
        <f>VLOOKUP(D223,HORARIOS!B:H,7,0)</f>
        <v>Día 4</v>
      </c>
      <c r="N223" s="1">
        <f>VLOOKUP(D223,HORARIOS!B:I,8,0)</f>
        <v>24</v>
      </c>
      <c r="O223" s="9">
        <f>VLOOKUP(D223,HORARIOS!B:D,3,0)</f>
        <v>0.625</v>
      </c>
      <c r="P223" s="9" t="str">
        <f>VLOOKUP(A223,HORARIOS!A:E,5,0)</f>
        <v>19:30 hrs</v>
      </c>
    </row>
    <row r="224" spans="1:16" ht="15.75" customHeight="1" x14ac:dyDescent="0.25">
      <c r="A224" s="1" t="str">
        <f t="shared" si="3"/>
        <v>601724</v>
      </c>
      <c r="B224" s="1">
        <v>250</v>
      </c>
      <c r="C224" s="1">
        <v>14</v>
      </c>
      <c r="D224" s="1">
        <v>6017</v>
      </c>
      <c r="E224" s="1" t="s">
        <v>58</v>
      </c>
      <c r="F224" s="1" t="s">
        <v>36</v>
      </c>
      <c r="G224" s="1" t="s">
        <v>72</v>
      </c>
      <c r="H224" s="1" t="s">
        <v>73</v>
      </c>
      <c r="I224" s="1" t="s">
        <v>448</v>
      </c>
      <c r="J224" s="1" t="s">
        <v>449</v>
      </c>
      <c r="K224" s="1">
        <v>12</v>
      </c>
      <c r="M224" s="1" t="str">
        <f>VLOOKUP(D224,HORARIOS!B:H,7,0)</f>
        <v>Día 4</v>
      </c>
      <c r="N224" s="1">
        <f>VLOOKUP(D224,HORARIOS!B:I,8,0)</f>
        <v>24</v>
      </c>
      <c r="O224" s="9">
        <f>VLOOKUP(D224,HORARIOS!B:D,3,0)</f>
        <v>0.625</v>
      </c>
      <c r="P224" s="9" t="str">
        <f>VLOOKUP(A224,HORARIOS!A:E,5,0)</f>
        <v>19:30 hrs</v>
      </c>
    </row>
    <row r="225" spans="1:16" ht="15.75" customHeight="1" x14ac:dyDescent="0.25">
      <c r="A225" s="1" t="str">
        <f t="shared" si="3"/>
        <v>601724</v>
      </c>
      <c r="B225" s="1">
        <v>251</v>
      </c>
      <c r="C225" s="1">
        <v>14</v>
      </c>
      <c r="D225" s="1">
        <v>6017</v>
      </c>
      <c r="E225" s="1" t="s">
        <v>58</v>
      </c>
      <c r="F225" s="1" t="s">
        <v>36</v>
      </c>
      <c r="G225" s="1" t="s">
        <v>88</v>
      </c>
      <c r="H225" s="1" t="s">
        <v>90</v>
      </c>
      <c r="I225" s="1" t="s">
        <v>450</v>
      </c>
      <c r="J225" s="1" t="s">
        <v>451</v>
      </c>
      <c r="K225" s="1">
        <v>12</v>
      </c>
      <c r="M225" s="1" t="str">
        <f>VLOOKUP(D225,HORARIOS!B:H,7,0)</f>
        <v>Día 4</v>
      </c>
      <c r="N225" s="1">
        <f>VLOOKUP(D225,HORARIOS!B:I,8,0)</f>
        <v>24</v>
      </c>
      <c r="O225" s="9">
        <f>VLOOKUP(D225,HORARIOS!B:D,3,0)</f>
        <v>0.625</v>
      </c>
      <c r="P225" s="9" t="str">
        <f>VLOOKUP(A225,HORARIOS!A:E,5,0)</f>
        <v>19:30 hrs</v>
      </c>
    </row>
    <row r="226" spans="1:16" ht="15.75" customHeight="1" x14ac:dyDescent="0.25">
      <c r="A226" s="1" t="str">
        <f t="shared" si="3"/>
        <v>601724</v>
      </c>
      <c r="B226" s="1">
        <v>252</v>
      </c>
      <c r="C226" s="1">
        <v>14</v>
      </c>
      <c r="D226" s="1">
        <v>6017</v>
      </c>
      <c r="E226" s="1" t="s">
        <v>58</v>
      </c>
      <c r="F226" s="1" t="s">
        <v>36</v>
      </c>
      <c r="G226" s="1" t="s">
        <v>96</v>
      </c>
      <c r="H226" s="1" t="s">
        <v>62</v>
      </c>
      <c r="I226" s="1" t="s">
        <v>452</v>
      </c>
      <c r="J226" s="1" t="s">
        <v>452</v>
      </c>
      <c r="K226" s="1">
        <v>12</v>
      </c>
      <c r="M226" s="1" t="str">
        <f>VLOOKUP(D226,HORARIOS!B:H,7,0)</f>
        <v>Día 4</v>
      </c>
      <c r="N226" s="1">
        <f>VLOOKUP(D226,HORARIOS!B:I,8,0)</f>
        <v>24</v>
      </c>
      <c r="O226" s="9">
        <f>VLOOKUP(D226,HORARIOS!B:D,3,0)</f>
        <v>0.625</v>
      </c>
      <c r="P226" s="9" t="str">
        <f>VLOOKUP(A226,HORARIOS!A:E,5,0)</f>
        <v>19:30 hrs</v>
      </c>
    </row>
    <row r="227" spans="1:16" ht="15.75" customHeight="1" x14ac:dyDescent="0.25">
      <c r="A227" s="1" t="str">
        <f t="shared" si="3"/>
        <v>601724</v>
      </c>
      <c r="B227" s="1">
        <v>253</v>
      </c>
      <c r="C227" s="1">
        <v>14</v>
      </c>
      <c r="D227" s="1">
        <v>6017</v>
      </c>
      <c r="E227" s="1" t="s">
        <v>58</v>
      </c>
      <c r="F227" s="1" t="s">
        <v>36</v>
      </c>
      <c r="G227" s="1" t="s">
        <v>98</v>
      </c>
      <c r="H227" s="1" t="s">
        <v>352</v>
      </c>
      <c r="I227" s="1" t="s">
        <v>453</v>
      </c>
      <c r="J227" s="1" t="s">
        <v>454</v>
      </c>
      <c r="K227" s="1">
        <v>12</v>
      </c>
      <c r="L227" s="1" t="s">
        <v>101</v>
      </c>
      <c r="M227" s="1" t="str">
        <f>VLOOKUP(D227,HORARIOS!B:H,7,0)</f>
        <v>Día 4</v>
      </c>
      <c r="N227" s="1">
        <f>VLOOKUP(D227,HORARIOS!B:I,8,0)</f>
        <v>24</v>
      </c>
      <c r="O227" s="9">
        <f>VLOOKUP(D227,HORARIOS!B:D,3,0)</f>
        <v>0.625</v>
      </c>
      <c r="P227" s="9" t="str">
        <f>VLOOKUP(A227,HORARIOS!A:E,5,0)</f>
        <v>19:30 hrs</v>
      </c>
    </row>
    <row r="228" spans="1:16" ht="15.75" customHeight="1" x14ac:dyDescent="0.25">
      <c r="A228" s="1" t="str">
        <f t="shared" si="3"/>
        <v>601724</v>
      </c>
      <c r="B228" s="1">
        <v>254</v>
      </c>
      <c r="C228" s="1">
        <v>14</v>
      </c>
      <c r="D228" s="1">
        <v>6017</v>
      </c>
      <c r="E228" s="1" t="s">
        <v>58</v>
      </c>
      <c r="F228" s="1" t="s">
        <v>36</v>
      </c>
      <c r="G228" s="1" t="s">
        <v>98</v>
      </c>
      <c r="H228" s="1" t="s">
        <v>352</v>
      </c>
      <c r="I228" s="1" t="s">
        <v>455</v>
      </c>
      <c r="J228" s="1" t="s">
        <v>456</v>
      </c>
      <c r="K228" s="1">
        <v>12</v>
      </c>
      <c r="L228" s="1" t="s">
        <v>101</v>
      </c>
      <c r="M228" s="1" t="str">
        <f>VLOOKUP(D228,HORARIOS!B:H,7,0)</f>
        <v>Día 4</v>
      </c>
      <c r="N228" s="1">
        <f>VLOOKUP(D228,HORARIOS!B:I,8,0)</f>
        <v>24</v>
      </c>
      <c r="O228" s="9">
        <f>VLOOKUP(D228,HORARIOS!B:D,3,0)</f>
        <v>0.625</v>
      </c>
      <c r="P228" s="9" t="str">
        <f>VLOOKUP(A228,HORARIOS!A:E,5,0)</f>
        <v>19:30 hrs</v>
      </c>
    </row>
    <row r="229" spans="1:16" ht="15.75" customHeight="1" x14ac:dyDescent="0.25">
      <c r="A229" s="1" t="str">
        <f t="shared" si="3"/>
        <v>601724</v>
      </c>
      <c r="B229" s="1">
        <v>255</v>
      </c>
      <c r="C229" s="1">
        <v>14</v>
      </c>
      <c r="D229" s="1">
        <v>6017</v>
      </c>
      <c r="E229" s="1" t="s">
        <v>58</v>
      </c>
      <c r="F229" s="1" t="s">
        <v>36</v>
      </c>
      <c r="G229" s="1" t="s">
        <v>98</v>
      </c>
      <c r="H229" s="1" t="s">
        <v>352</v>
      </c>
      <c r="I229" s="1" t="s">
        <v>457</v>
      </c>
      <c r="J229" s="1" t="s">
        <v>458</v>
      </c>
      <c r="K229" s="1">
        <v>12</v>
      </c>
      <c r="L229" s="1" t="s">
        <v>101</v>
      </c>
      <c r="M229" s="1" t="str">
        <f>VLOOKUP(D229,HORARIOS!B:H,7,0)</f>
        <v>Día 4</v>
      </c>
      <c r="N229" s="1">
        <f>VLOOKUP(D229,HORARIOS!B:I,8,0)</f>
        <v>24</v>
      </c>
      <c r="O229" s="9">
        <f>VLOOKUP(D229,HORARIOS!B:D,3,0)</f>
        <v>0.625</v>
      </c>
      <c r="P229" s="9" t="str">
        <f>VLOOKUP(A229,HORARIOS!A:E,5,0)</f>
        <v>19:30 hrs</v>
      </c>
    </row>
    <row r="230" spans="1:16" ht="15.75" customHeight="1" x14ac:dyDescent="0.25">
      <c r="A230" s="1" t="str">
        <f t="shared" si="3"/>
        <v>601724</v>
      </c>
      <c r="B230" s="1">
        <v>256</v>
      </c>
      <c r="C230" s="1">
        <v>14</v>
      </c>
      <c r="D230" s="1">
        <v>6017</v>
      </c>
      <c r="E230" s="1" t="s">
        <v>58</v>
      </c>
      <c r="F230" s="1" t="s">
        <v>36</v>
      </c>
      <c r="G230" s="1" t="s">
        <v>98</v>
      </c>
      <c r="H230" s="1" t="s">
        <v>352</v>
      </c>
      <c r="I230" s="1" t="s">
        <v>459</v>
      </c>
      <c r="J230" s="1" t="s">
        <v>460</v>
      </c>
      <c r="K230" s="1">
        <v>12</v>
      </c>
      <c r="L230" s="1" t="s">
        <v>101</v>
      </c>
      <c r="M230" s="1" t="str">
        <f>VLOOKUP(D230,HORARIOS!B:H,7,0)</f>
        <v>Día 4</v>
      </c>
      <c r="N230" s="1">
        <f>VLOOKUP(D230,HORARIOS!B:I,8,0)</f>
        <v>24</v>
      </c>
      <c r="O230" s="9">
        <f>VLOOKUP(D230,HORARIOS!B:D,3,0)</f>
        <v>0.625</v>
      </c>
      <c r="P230" s="9" t="str">
        <f>VLOOKUP(A230,HORARIOS!A:E,5,0)</f>
        <v>19:30 hrs</v>
      </c>
    </row>
    <row r="231" spans="1:16" ht="15.75" customHeight="1" x14ac:dyDescent="0.25">
      <c r="A231" s="1" t="str">
        <f t="shared" si="3"/>
        <v>601724</v>
      </c>
      <c r="B231" s="1">
        <v>258</v>
      </c>
      <c r="C231" s="1">
        <v>14</v>
      </c>
      <c r="D231" s="1">
        <v>6017</v>
      </c>
      <c r="E231" s="1" t="s">
        <v>58</v>
      </c>
      <c r="F231" s="1" t="s">
        <v>36</v>
      </c>
      <c r="G231" s="1" t="s">
        <v>114</v>
      </c>
      <c r="H231" s="1" t="s">
        <v>39</v>
      </c>
      <c r="I231" s="1" t="s">
        <v>52</v>
      </c>
      <c r="J231" s="1" t="s">
        <v>52</v>
      </c>
      <c r="K231" s="1">
        <v>2</v>
      </c>
      <c r="L231" s="1" t="s">
        <v>115</v>
      </c>
      <c r="M231" s="1" t="str">
        <f>VLOOKUP(D231,HORARIOS!B:H,7,0)</f>
        <v>Día 4</v>
      </c>
      <c r="N231" s="1">
        <f>VLOOKUP(D231,HORARIOS!B:I,8,0)</f>
        <v>24</v>
      </c>
      <c r="O231" s="9">
        <f>VLOOKUP(D231,HORARIOS!B:D,3,0)</f>
        <v>0.625</v>
      </c>
      <c r="P231" s="9" t="str">
        <f>VLOOKUP(A231,HORARIOS!A:E,5,0)</f>
        <v>19:30 hrs</v>
      </c>
    </row>
    <row r="232" spans="1:16" ht="15.75" customHeight="1" x14ac:dyDescent="0.25">
      <c r="A232" s="1" t="str">
        <f t="shared" si="3"/>
        <v>601724</v>
      </c>
      <c r="B232" s="1">
        <v>259</v>
      </c>
      <c r="C232" s="1">
        <v>14</v>
      </c>
      <c r="D232" s="1">
        <v>6017</v>
      </c>
      <c r="E232" s="1" t="s">
        <v>58</v>
      </c>
      <c r="F232" s="1" t="s">
        <v>36</v>
      </c>
      <c r="G232" s="1" t="s">
        <v>134</v>
      </c>
      <c r="H232" s="1" t="s">
        <v>135</v>
      </c>
      <c r="I232" s="1" t="s">
        <v>461</v>
      </c>
      <c r="J232" s="1" t="s">
        <v>462</v>
      </c>
      <c r="K232" s="1">
        <v>12</v>
      </c>
      <c r="L232" s="1" t="s">
        <v>138</v>
      </c>
      <c r="M232" s="1" t="str">
        <f>VLOOKUP(D232,HORARIOS!B:H,7,0)</f>
        <v>Día 4</v>
      </c>
      <c r="N232" s="1">
        <f>VLOOKUP(D232,HORARIOS!B:I,8,0)</f>
        <v>24</v>
      </c>
      <c r="O232" s="9">
        <f>VLOOKUP(D232,HORARIOS!B:D,3,0)</f>
        <v>0.625</v>
      </c>
      <c r="P232" s="9" t="str">
        <f>VLOOKUP(A232,HORARIOS!A:E,5,0)</f>
        <v>19:30 hrs</v>
      </c>
    </row>
    <row r="233" spans="1:16" ht="15.75" customHeight="1" x14ac:dyDescent="0.25">
      <c r="A233" s="1" t="str">
        <f t="shared" si="3"/>
        <v>601724</v>
      </c>
      <c r="B233" s="1">
        <v>260</v>
      </c>
      <c r="C233" s="1">
        <v>14</v>
      </c>
      <c r="D233" s="1">
        <v>6017</v>
      </c>
      <c r="E233" s="1" t="s">
        <v>58</v>
      </c>
      <c r="F233" s="1" t="s">
        <v>36</v>
      </c>
      <c r="G233" s="1" t="s">
        <v>145</v>
      </c>
      <c r="H233" s="1" t="s">
        <v>52</v>
      </c>
      <c r="I233" s="1" t="s">
        <v>463</v>
      </c>
      <c r="J233" s="1" t="s">
        <v>464</v>
      </c>
      <c r="K233" s="1">
        <v>12</v>
      </c>
      <c r="M233" s="1" t="str">
        <f>VLOOKUP(D233,HORARIOS!B:H,7,0)</f>
        <v>Día 4</v>
      </c>
      <c r="N233" s="1">
        <f>VLOOKUP(D233,HORARIOS!B:I,8,0)</f>
        <v>24</v>
      </c>
      <c r="O233" s="9">
        <f>VLOOKUP(D233,HORARIOS!B:D,3,0)</f>
        <v>0.625</v>
      </c>
      <c r="P233" s="9" t="str">
        <f>VLOOKUP(A233,HORARIOS!A:E,5,0)</f>
        <v>19:30 hrs</v>
      </c>
    </row>
    <row r="234" spans="1:16" ht="15.75" customHeight="1" x14ac:dyDescent="0.25">
      <c r="A234" s="1" t="str">
        <f t="shared" si="3"/>
        <v>601724</v>
      </c>
      <c r="B234" s="1">
        <v>261</v>
      </c>
      <c r="C234" s="1">
        <v>14</v>
      </c>
      <c r="D234" s="1">
        <v>6017</v>
      </c>
      <c r="E234" s="1" t="s">
        <v>58</v>
      </c>
      <c r="F234" s="1" t="s">
        <v>36</v>
      </c>
      <c r="G234" s="1" t="s">
        <v>159</v>
      </c>
      <c r="H234" s="1" t="s">
        <v>160</v>
      </c>
      <c r="I234" s="1" t="s">
        <v>465</v>
      </c>
      <c r="J234" s="1" t="s">
        <v>466</v>
      </c>
      <c r="K234" s="1">
        <v>12</v>
      </c>
      <c r="M234" s="1" t="str">
        <f>VLOOKUP(D234,HORARIOS!B:H,7,0)</f>
        <v>Día 4</v>
      </c>
      <c r="N234" s="1">
        <f>VLOOKUP(D234,HORARIOS!B:I,8,0)</f>
        <v>24</v>
      </c>
      <c r="O234" s="9">
        <f>VLOOKUP(D234,HORARIOS!B:D,3,0)</f>
        <v>0.625</v>
      </c>
      <c r="P234" s="9" t="str">
        <f>VLOOKUP(A234,HORARIOS!A:E,5,0)</f>
        <v>19:30 hrs</v>
      </c>
    </row>
    <row r="235" spans="1:16" ht="15.75" customHeight="1" x14ac:dyDescent="0.25">
      <c r="A235" s="1" t="str">
        <f t="shared" si="3"/>
        <v>601821</v>
      </c>
      <c r="B235" s="1">
        <v>262</v>
      </c>
      <c r="C235" s="1">
        <v>12</v>
      </c>
      <c r="D235" s="1">
        <v>6018</v>
      </c>
      <c r="E235" s="1" t="s">
        <v>59</v>
      </c>
      <c r="F235" s="1" t="s">
        <v>36</v>
      </c>
      <c r="G235" s="1" t="s">
        <v>37</v>
      </c>
      <c r="H235" s="1" t="s">
        <v>39</v>
      </c>
      <c r="I235" s="1" t="s">
        <v>467</v>
      </c>
      <c r="J235" s="1" t="s">
        <v>468</v>
      </c>
      <c r="K235" s="1">
        <v>12</v>
      </c>
      <c r="L235" s="1" t="s">
        <v>41</v>
      </c>
      <c r="M235" s="1" t="str">
        <f>VLOOKUP(D235,HORARIOS!B:H,7,0)</f>
        <v>Día 4</v>
      </c>
      <c r="N235" s="1">
        <f>VLOOKUP(D235,HORARIOS!B:I,8,0)</f>
        <v>21</v>
      </c>
      <c r="O235" s="9">
        <f>VLOOKUP(D235,HORARIOS!B:D,3,0)</f>
        <v>0.45833333333333331</v>
      </c>
      <c r="P235" s="9" t="str">
        <f>VLOOKUP(A235,HORARIOS!A:E,5,0)</f>
        <v>14:30 hrs</v>
      </c>
    </row>
    <row r="236" spans="1:16" ht="15.75" customHeight="1" x14ac:dyDescent="0.25">
      <c r="A236" s="1" t="str">
        <f t="shared" si="3"/>
        <v>601821</v>
      </c>
      <c r="B236" s="1">
        <v>263</v>
      </c>
      <c r="C236" s="1">
        <v>12</v>
      </c>
      <c r="D236" s="1">
        <v>6018</v>
      </c>
      <c r="E236" s="1" t="s">
        <v>59</v>
      </c>
      <c r="F236" s="1" t="s">
        <v>36</v>
      </c>
      <c r="G236" s="1" t="s">
        <v>51</v>
      </c>
      <c r="H236" s="1" t="s">
        <v>52</v>
      </c>
      <c r="I236" s="1" t="s">
        <v>469</v>
      </c>
      <c r="J236" s="1" t="s">
        <v>470</v>
      </c>
      <c r="K236" s="1">
        <v>12</v>
      </c>
      <c r="M236" s="1" t="str">
        <f>VLOOKUP(D236,HORARIOS!B:H,7,0)</f>
        <v>Día 4</v>
      </c>
      <c r="N236" s="1">
        <f>VLOOKUP(D236,HORARIOS!B:I,8,0)</f>
        <v>21</v>
      </c>
      <c r="O236" s="9">
        <f>VLOOKUP(D236,HORARIOS!B:D,3,0)</f>
        <v>0.45833333333333331</v>
      </c>
      <c r="P236" s="9" t="str">
        <f>VLOOKUP(A236,HORARIOS!A:E,5,0)</f>
        <v>14:30 hrs</v>
      </c>
    </row>
    <row r="237" spans="1:16" ht="15.75" customHeight="1" x14ac:dyDescent="0.25">
      <c r="A237" s="1" t="str">
        <f t="shared" si="3"/>
        <v>601821</v>
      </c>
      <c r="B237" s="1">
        <v>264</v>
      </c>
      <c r="C237" s="1">
        <v>12</v>
      </c>
      <c r="D237" s="1">
        <v>6018</v>
      </c>
      <c r="E237" s="1" t="s">
        <v>59</v>
      </c>
      <c r="F237" s="1" t="s">
        <v>36</v>
      </c>
      <c r="G237" s="1" t="s">
        <v>61</v>
      </c>
      <c r="H237" s="1" t="s">
        <v>62</v>
      </c>
      <c r="I237" s="1" t="s">
        <v>471</v>
      </c>
      <c r="J237" s="1" t="s">
        <v>471</v>
      </c>
      <c r="K237" s="1">
        <v>12</v>
      </c>
      <c r="L237" s="1" t="s">
        <v>64</v>
      </c>
      <c r="M237" s="1" t="str">
        <f>VLOOKUP(D237,HORARIOS!B:H,7,0)</f>
        <v>Día 4</v>
      </c>
      <c r="N237" s="1">
        <f>VLOOKUP(D237,HORARIOS!B:I,8,0)</f>
        <v>21</v>
      </c>
      <c r="O237" s="9">
        <f>VLOOKUP(D237,HORARIOS!B:D,3,0)</f>
        <v>0.45833333333333331</v>
      </c>
      <c r="P237" s="9" t="str">
        <f>VLOOKUP(A237,HORARIOS!A:E,5,0)</f>
        <v>14:30 hrs</v>
      </c>
    </row>
    <row r="238" spans="1:16" ht="15.75" customHeight="1" x14ac:dyDescent="0.25">
      <c r="A238" s="1" t="str">
        <f t="shared" si="3"/>
        <v>601821</v>
      </c>
      <c r="B238" s="1">
        <v>266</v>
      </c>
      <c r="C238" s="1">
        <v>12</v>
      </c>
      <c r="D238" s="1">
        <v>6018</v>
      </c>
      <c r="E238" s="1" t="s">
        <v>59</v>
      </c>
      <c r="F238" s="1" t="s">
        <v>36</v>
      </c>
      <c r="G238" s="1" t="s">
        <v>72</v>
      </c>
      <c r="H238" s="1" t="s">
        <v>73</v>
      </c>
      <c r="I238" s="1" t="s">
        <v>472</v>
      </c>
      <c r="J238" s="1" t="s">
        <v>473</v>
      </c>
      <c r="K238" s="1">
        <v>12</v>
      </c>
      <c r="M238" s="1" t="str">
        <f>VLOOKUP(D238,HORARIOS!B:H,7,0)</f>
        <v>Día 4</v>
      </c>
      <c r="N238" s="1">
        <f>VLOOKUP(D238,HORARIOS!B:I,8,0)</f>
        <v>21</v>
      </c>
      <c r="O238" s="9">
        <f>VLOOKUP(D238,HORARIOS!B:D,3,0)</f>
        <v>0.45833333333333331</v>
      </c>
      <c r="P238" s="9" t="str">
        <f>VLOOKUP(A238,HORARIOS!A:E,5,0)</f>
        <v>14:30 hrs</v>
      </c>
    </row>
    <row r="239" spans="1:16" ht="15.75" customHeight="1" x14ac:dyDescent="0.25">
      <c r="A239" s="1" t="str">
        <f t="shared" si="3"/>
        <v>601821</v>
      </c>
      <c r="B239" s="1">
        <v>267</v>
      </c>
      <c r="C239" s="1">
        <v>12</v>
      </c>
      <c r="D239" s="1">
        <v>6018</v>
      </c>
      <c r="E239" s="1" t="s">
        <v>59</v>
      </c>
      <c r="F239" s="1" t="s">
        <v>36</v>
      </c>
      <c r="G239" s="1" t="s">
        <v>88</v>
      </c>
      <c r="H239" s="1" t="s">
        <v>90</v>
      </c>
      <c r="I239" s="1" t="s">
        <v>474</v>
      </c>
      <c r="J239" s="1" t="s">
        <v>475</v>
      </c>
      <c r="K239" s="1">
        <v>12</v>
      </c>
      <c r="M239" s="1" t="str">
        <f>VLOOKUP(D239,HORARIOS!B:H,7,0)</f>
        <v>Día 4</v>
      </c>
      <c r="N239" s="1">
        <f>VLOOKUP(D239,HORARIOS!B:I,8,0)</f>
        <v>21</v>
      </c>
      <c r="O239" s="9">
        <f>VLOOKUP(D239,HORARIOS!B:D,3,0)</f>
        <v>0.45833333333333331</v>
      </c>
      <c r="P239" s="9" t="str">
        <f>VLOOKUP(A239,HORARIOS!A:E,5,0)</f>
        <v>14:30 hrs</v>
      </c>
    </row>
    <row r="240" spans="1:16" ht="15.75" customHeight="1" x14ac:dyDescent="0.25">
      <c r="A240" s="1" t="str">
        <f t="shared" si="3"/>
        <v>601821</v>
      </c>
      <c r="B240" s="1">
        <v>268</v>
      </c>
      <c r="C240" s="1">
        <v>12</v>
      </c>
      <c r="D240" s="1">
        <v>6018</v>
      </c>
      <c r="E240" s="1" t="s">
        <v>59</v>
      </c>
      <c r="F240" s="1" t="s">
        <v>36</v>
      </c>
      <c r="G240" s="1" t="s">
        <v>96</v>
      </c>
      <c r="H240" s="1" t="s">
        <v>62</v>
      </c>
      <c r="I240" s="1" t="s">
        <v>476</v>
      </c>
      <c r="J240" s="1" t="s">
        <v>476</v>
      </c>
      <c r="K240" s="1">
        <v>12</v>
      </c>
      <c r="M240" s="1" t="str">
        <f>VLOOKUP(D240,HORARIOS!B:H,7,0)</f>
        <v>Día 4</v>
      </c>
      <c r="N240" s="1">
        <f>VLOOKUP(D240,HORARIOS!B:I,8,0)</f>
        <v>21</v>
      </c>
      <c r="O240" s="9">
        <f>VLOOKUP(D240,HORARIOS!B:D,3,0)</f>
        <v>0.45833333333333331</v>
      </c>
      <c r="P240" s="9" t="str">
        <f>VLOOKUP(A240,HORARIOS!A:E,5,0)</f>
        <v>14:30 hrs</v>
      </c>
    </row>
    <row r="241" spans="1:16" ht="15.75" customHeight="1" x14ac:dyDescent="0.25">
      <c r="A241" s="1" t="str">
        <f t="shared" si="3"/>
        <v>601821</v>
      </c>
      <c r="B241" s="1">
        <v>269</v>
      </c>
      <c r="C241" s="1">
        <v>12</v>
      </c>
      <c r="D241" s="1">
        <v>6018</v>
      </c>
      <c r="E241" s="1" t="s">
        <v>59</v>
      </c>
      <c r="F241" s="1" t="s">
        <v>36</v>
      </c>
      <c r="G241" s="1" t="s">
        <v>98</v>
      </c>
      <c r="H241" s="1" t="s">
        <v>352</v>
      </c>
      <c r="I241" s="1" t="s">
        <v>477</v>
      </c>
      <c r="J241" s="1" t="s">
        <v>478</v>
      </c>
      <c r="K241" s="1">
        <v>12</v>
      </c>
      <c r="L241" s="1" t="s">
        <v>101</v>
      </c>
      <c r="M241" s="1" t="str">
        <f>VLOOKUP(D241,HORARIOS!B:H,7,0)</f>
        <v>Día 4</v>
      </c>
      <c r="N241" s="1">
        <f>VLOOKUP(D241,HORARIOS!B:I,8,0)</f>
        <v>21</v>
      </c>
      <c r="O241" s="9">
        <f>VLOOKUP(D241,HORARIOS!B:D,3,0)</f>
        <v>0.45833333333333331</v>
      </c>
      <c r="P241" s="9" t="str">
        <f>VLOOKUP(A241,HORARIOS!A:E,5,0)</f>
        <v>14:30 hrs</v>
      </c>
    </row>
    <row r="242" spans="1:16" ht="15.75" customHeight="1" x14ac:dyDescent="0.25">
      <c r="A242" s="1" t="str">
        <f t="shared" si="3"/>
        <v>601821</v>
      </c>
      <c r="B242" s="1">
        <v>270</v>
      </c>
      <c r="C242" s="1">
        <v>12</v>
      </c>
      <c r="D242" s="1">
        <v>6018</v>
      </c>
      <c r="E242" s="1" t="s">
        <v>59</v>
      </c>
      <c r="F242" s="1" t="s">
        <v>36</v>
      </c>
      <c r="G242" s="1" t="s">
        <v>98</v>
      </c>
      <c r="H242" s="1" t="s">
        <v>352</v>
      </c>
      <c r="I242" s="1" t="s">
        <v>479</v>
      </c>
      <c r="J242" s="1" t="s">
        <v>480</v>
      </c>
      <c r="K242" s="1">
        <v>12</v>
      </c>
      <c r="L242" s="1" t="s">
        <v>101</v>
      </c>
      <c r="M242" s="1" t="str">
        <f>VLOOKUP(D242,HORARIOS!B:H,7,0)</f>
        <v>Día 4</v>
      </c>
      <c r="N242" s="1">
        <f>VLOOKUP(D242,HORARIOS!B:I,8,0)</f>
        <v>21</v>
      </c>
      <c r="O242" s="9">
        <f>VLOOKUP(D242,HORARIOS!B:D,3,0)</f>
        <v>0.45833333333333331</v>
      </c>
      <c r="P242" s="9" t="str">
        <f>VLOOKUP(A242,HORARIOS!A:E,5,0)</f>
        <v>14:30 hrs</v>
      </c>
    </row>
    <row r="243" spans="1:16" ht="15.75" customHeight="1" x14ac:dyDescent="0.25">
      <c r="A243" s="1" t="str">
        <f t="shared" si="3"/>
        <v>601821</v>
      </c>
      <c r="B243" s="1">
        <v>271</v>
      </c>
      <c r="C243" s="1">
        <v>12</v>
      </c>
      <c r="D243" s="1">
        <v>6018</v>
      </c>
      <c r="E243" s="1" t="s">
        <v>59</v>
      </c>
      <c r="F243" s="1" t="s">
        <v>36</v>
      </c>
      <c r="G243" s="1" t="s">
        <v>114</v>
      </c>
      <c r="H243" s="1" t="s">
        <v>39</v>
      </c>
      <c r="I243" s="1" t="s">
        <v>52</v>
      </c>
      <c r="J243" s="1" t="s">
        <v>52</v>
      </c>
      <c r="K243" s="1">
        <v>2</v>
      </c>
      <c r="L243" s="1" t="s">
        <v>115</v>
      </c>
      <c r="M243" s="1" t="str">
        <f>VLOOKUP(D243,HORARIOS!B:H,7,0)</f>
        <v>Día 4</v>
      </c>
      <c r="N243" s="1">
        <f>VLOOKUP(D243,HORARIOS!B:I,8,0)</f>
        <v>21</v>
      </c>
      <c r="O243" s="9">
        <f>VLOOKUP(D243,HORARIOS!B:D,3,0)</f>
        <v>0.45833333333333331</v>
      </c>
      <c r="P243" s="9" t="str">
        <f>VLOOKUP(A243,HORARIOS!A:E,5,0)</f>
        <v>14:30 hrs</v>
      </c>
    </row>
    <row r="244" spans="1:16" ht="15.75" customHeight="1" x14ac:dyDescent="0.25">
      <c r="A244" s="1" t="str">
        <f t="shared" si="3"/>
        <v>601821</v>
      </c>
      <c r="B244" s="1">
        <v>272</v>
      </c>
      <c r="C244" s="1">
        <v>12</v>
      </c>
      <c r="D244" s="1">
        <v>6018</v>
      </c>
      <c r="E244" s="1" t="s">
        <v>59</v>
      </c>
      <c r="F244" s="1" t="s">
        <v>36</v>
      </c>
      <c r="G244" s="1" t="s">
        <v>134</v>
      </c>
      <c r="H244" s="1" t="s">
        <v>135</v>
      </c>
      <c r="I244" s="1" t="s">
        <v>481</v>
      </c>
      <c r="J244" s="1" t="s">
        <v>482</v>
      </c>
      <c r="K244" s="1">
        <v>12</v>
      </c>
      <c r="L244" s="1" t="s">
        <v>138</v>
      </c>
      <c r="M244" s="1" t="str">
        <f>VLOOKUP(D244,HORARIOS!B:H,7,0)</f>
        <v>Día 4</v>
      </c>
      <c r="N244" s="1">
        <f>VLOOKUP(D244,HORARIOS!B:I,8,0)</f>
        <v>21</v>
      </c>
      <c r="O244" s="9">
        <f>VLOOKUP(D244,HORARIOS!B:D,3,0)</f>
        <v>0.45833333333333331</v>
      </c>
      <c r="P244" s="9" t="str">
        <f>VLOOKUP(A244,HORARIOS!A:E,5,0)</f>
        <v>14:30 hrs</v>
      </c>
    </row>
    <row r="245" spans="1:16" ht="15.75" customHeight="1" x14ac:dyDescent="0.25">
      <c r="A245" s="1" t="str">
        <f t="shared" si="3"/>
        <v>601821</v>
      </c>
      <c r="B245" s="1">
        <v>274</v>
      </c>
      <c r="C245" s="1">
        <v>12</v>
      </c>
      <c r="D245" s="1">
        <v>6018</v>
      </c>
      <c r="E245" s="1" t="s">
        <v>59</v>
      </c>
      <c r="F245" s="1" t="s">
        <v>36</v>
      </c>
      <c r="G245" s="1" t="s">
        <v>145</v>
      </c>
      <c r="H245" s="1" t="s">
        <v>52</v>
      </c>
      <c r="I245" s="1" t="s">
        <v>483</v>
      </c>
      <c r="J245" s="1" t="s">
        <v>484</v>
      </c>
      <c r="K245" s="1">
        <v>12</v>
      </c>
      <c r="M245" s="1" t="str">
        <f>VLOOKUP(D245,HORARIOS!B:H,7,0)</f>
        <v>Día 4</v>
      </c>
      <c r="N245" s="1">
        <f>VLOOKUP(D245,HORARIOS!B:I,8,0)</f>
        <v>21</v>
      </c>
      <c r="O245" s="9">
        <f>VLOOKUP(D245,HORARIOS!B:D,3,0)</f>
        <v>0.45833333333333331</v>
      </c>
      <c r="P245" s="9" t="str">
        <f>VLOOKUP(A245,HORARIOS!A:E,5,0)</f>
        <v>14:30 hrs</v>
      </c>
    </row>
    <row r="246" spans="1:16" ht="15.75" customHeight="1" x14ac:dyDescent="0.25">
      <c r="A246" s="1" t="str">
        <f t="shared" si="3"/>
        <v>601821</v>
      </c>
      <c r="B246" s="1">
        <v>275</v>
      </c>
      <c r="C246" s="1">
        <v>12</v>
      </c>
      <c r="D246" s="1">
        <v>6018</v>
      </c>
      <c r="E246" s="1" t="s">
        <v>59</v>
      </c>
      <c r="F246" s="1" t="s">
        <v>36</v>
      </c>
      <c r="G246" s="1" t="s">
        <v>159</v>
      </c>
      <c r="H246" s="1" t="s">
        <v>160</v>
      </c>
      <c r="I246" s="1" t="s">
        <v>485</v>
      </c>
      <c r="J246" s="1" t="s">
        <v>486</v>
      </c>
      <c r="K246" s="1">
        <v>12</v>
      </c>
      <c r="M246" s="1" t="str">
        <f>VLOOKUP(D246,HORARIOS!B:H,7,0)</f>
        <v>Día 4</v>
      </c>
      <c r="N246" s="1">
        <f>VLOOKUP(D246,HORARIOS!B:I,8,0)</f>
        <v>21</v>
      </c>
      <c r="O246" s="9">
        <f>VLOOKUP(D246,HORARIOS!B:D,3,0)</f>
        <v>0.45833333333333331</v>
      </c>
      <c r="P246" s="9" t="str">
        <f>VLOOKUP(A246,HORARIOS!A:E,5,0)</f>
        <v>14:30 hrs</v>
      </c>
    </row>
    <row r="247" spans="1:16" ht="15.75" customHeight="1" x14ac:dyDescent="0.25">
      <c r="A247" s="1" t="str">
        <f t="shared" si="3"/>
        <v>601928</v>
      </c>
      <c r="B247" s="1">
        <v>276</v>
      </c>
      <c r="C247" s="1">
        <v>14</v>
      </c>
      <c r="D247" s="1">
        <v>6019</v>
      </c>
      <c r="E247" s="1" t="s">
        <v>60</v>
      </c>
      <c r="F247" s="1" t="s">
        <v>36</v>
      </c>
      <c r="G247" s="1" t="s">
        <v>37</v>
      </c>
      <c r="H247" s="1" t="s">
        <v>39</v>
      </c>
      <c r="I247" s="1" t="s">
        <v>487</v>
      </c>
      <c r="J247" s="1" t="s">
        <v>487</v>
      </c>
      <c r="K247" s="1">
        <v>12</v>
      </c>
      <c r="L247" s="1" t="s">
        <v>41</v>
      </c>
      <c r="M247" s="1" t="str">
        <f>VLOOKUP(D247,HORARIOS!B:H,7,0)</f>
        <v>Dia 5</v>
      </c>
      <c r="N247" s="1">
        <f>VLOOKUP(D247,HORARIOS!B:I,8,0)</f>
        <v>28</v>
      </c>
      <c r="O247" s="9">
        <f>VLOOKUP(D247,HORARIOS!B:D,3,0)</f>
        <v>0.5</v>
      </c>
      <c r="P247" s="9" t="str">
        <f>VLOOKUP(A247,HORARIOS!A:E,5,0)</f>
        <v>17:00 hrs</v>
      </c>
    </row>
    <row r="248" spans="1:16" ht="15.75" customHeight="1" x14ac:dyDescent="0.25">
      <c r="A248" s="1" t="str">
        <f t="shared" si="3"/>
        <v>601928</v>
      </c>
      <c r="B248" s="1">
        <v>277</v>
      </c>
      <c r="C248" s="1">
        <v>14</v>
      </c>
      <c r="D248" s="1">
        <v>6019</v>
      </c>
      <c r="E248" s="1" t="s">
        <v>60</v>
      </c>
      <c r="F248" s="1" t="s">
        <v>36</v>
      </c>
      <c r="G248" s="1" t="s">
        <v>51</v>
      </c>
      <c r="H248" s="1" t="s">
        <v>52</v>
      </c>
      <c r="I248" s="1" t="s">
        <v>488</v>
      </c>
      <c r="J248" s="1" t="s">
        <v>489</v>
      </c>
      <c r="K248" s="1">
        <v>12</v>
      </c>
      <c r="M248" s="1" t="str">
        <f>VLOOKUP(D248,HORARIOS!B:H,7,0)</f>
        <v>Dia 5</v>
      </c>
      <c r="N248" s="1">
        <f>VLOOKUP(D248,HORARIOS!B:I,8,0)</f>
        <v>28</v>
      </c>
      <c r="O248" s="9">
        <f>VLOOKUP(D248,HORARIOS!B:D,3,0)</f>
        <v>0.5</v>
      </c>
      <c r="P248" s="9" t="str">
        <f>VLOOKUP(A248,HORARIOS!A:E,5,0)</f>
        <v>17:00 hrs</v>
      </c>
    </row>
    <row r="249" spans="1:16" ht="15.75" customHeight="1" x14ac:dyDescent="0.25">
      <c r="A249" s="1" t="str">
        <f t="shared" si="3"/>
        <v>601928</v>
      </c>
      <c r="B249" s="1">
        <v>278</v>
      </c>
      <c r="C249" s="1">
        <v>14</v>
      </c>
      <c r="D249" s="1">
        <v>6019</v>
      </c>
      <c r="E249" s="1" t="s">
        <v>60</v>
      </c>
      <c r="F249" s="1" t="s">
        <v>36</v>
      </c>
      <c r="G249" s="1" t="s">
        <v>61</v>
      </c>
      <c r="H249" s="1" t="s">
        <v>62</v>
      </c>
      <c r="I249" s="1" t="s">
        <v>490</v>
      </c>
      <c r="J249" s="1" t="s">
        <v>490</v>
      </c>
      <c r="K249" s="1">
        <v>12</v>
      </c>
      <c r="L249" s="1" t="s">
        <v>64</v>
      </c>
      <c r="M249" s="1" t="str">
        <f>VLOOKUP(D249,HORARIOS!B:H,7,0)</f>
        <v>Dia 5</v>
      </c>
      <c r="N249" s="1">
        <f>VLOOKUP(D249,HORARIOS!B:I,8,0)</f>
        <v>28</v>
      </c>
      <c r="O249" s="9">
        <f>VLOOKUP(D249,HORARIOS!B:D,3,0)</f>
        <v>0.5</v>
      </c>
      <c r="P249" s="9" t="str">
        <f>VLOOKUP(A249,HORARIOS!A:E,5,0)</f>
        <v>17:00 hrs</v>
      </c>
    </row>
    <row r="250" spans="1:16" ht="15.75" customHeight="1" x14ac:dyDescent="0.25">
      <c r="A250" s="1" t="str">
        <f t="shared" si="3"/>
        <v>601928</v>
      </c>
      <c r="B250" s="1">
        <v>279</v>
      </c>
      <c r="C250" s="1">
        <v>14</v>
      </c>
      <c r="D250" s="1">
        <v>6019</v>
      </c>
      <c r="E250" s="1" t="s">
        <v>60</v>
      </c>
      <c r="F250" s="1" t="s">
        <v>36</v>
      </c>
      <c r="G250" s="1" t="s">
        <v>72</v>
      </c>
      <c r="H250" s="1" t="s">
        <v>73</v>
      </c>
      <c r="I250" s="1" t="s">
        <v>491</v>
      </c>
      <c r="J250" s="1" t="s">
        <v>492</v>
      </c>
      <c r="K250" s="1">
        <v>12</v>
      </c>
      <c r="M250" s="1" t="str">
        <f>VLOOKUP(D250,HORARIOS!B:H,7,0)</f>
        <v>Dia 5</v>
      </c>
      <c r="N250" s="1">
        <f>VLOOKUP(D250,HORARIOS!B:I,8,0)</f>
        <v>28</v>
      </c>
      <c r="O250" s="9">
        <f>VLOOKUP(D250,HORARIOS!B:D,3,0)</f>
        <v>0.5</v>
      </c>
      <c r="P250" s="9" t="str">
        <f>VLOOKUP(A250,HORARIOS!A:E,5,0)</f>
        <v>17:00 hrs</v>
      </c>
    </row>
    <row r="251" spans="1:16" ht="15.75" customHeight="1" x14ac:dyDescent="0.25">
      <c r="A251" s="1" t="str">
        <f t="shared" si="3"/>
        <v>601928</v>
      </c>
      <c r="B251" s="1">
        <v>280</v>
      </c>
      <c r="C251" s="1">
        <v>14</v>
      </c>
      <c r="D251" s="1">
        <v>6019</v>
      </c>
      <c r="E251" s="1" t="s">
        <v>60</v>
      </c>
      <c r="F251" s="1" t="s">
        <v>36</v>
      </c>
      <c r="G251" s="1" t="s">
        <v>88</v>
      </c>
      <c r="H251" s="1" t="s">
        <v>90</v>
      </c>
      <c r="I251" s="1" t="s">
        <v>493</v>
      </c>
      <c r="J251" s="1" t="s">
        <v>494</v>
      </c>
      <c r="K251" s="1">
        <v>12</v>
      </c>
      <c r="M251" s="1" t="str">
        <f>VLOOKUP(D251,HORARIOS!B:H,7,0)</f>
        <v>Dia 5</v>
      </c>
      <c r="N251" s="1">
        <f>VLOOKUP(D251,HORARIOS!B:I,8,0)</f>
        <v>28</v>
      </c>
      <c r="O251" s="9">
        <f>VLOOKUP(D251,HORARIOS!B:D,3,0)</f>
        <v>0.5</v>
      </c>
      <c r="P251" s="9" t="str">
        <f>VLOOKUP(A251,HORARIOS!A:E,5,0)</f>
        <v>17:00 hrs</v>
      </c>
    </row>
    <row r="252" spans="1:16" ht="15.75" customHeight="1" x14ac:dyDescent="0.25">
      <c r="A252" s="1" t="str">
        <f t="shared" si="3"/>
        <v>601928</v>
      </c>
      <c r="B252" s="1">
        <v>282</v>
      </c>
      <c r="C252" s="1">
        <v>14</v>
      </c>
      <c r="D252" s="1">
        <v>6019</v>
      </c>
      <c r="E252" s="1" t="s">
        <v>60</v>
      </c>
      <c r="F252" s="1" t="s">
        <v>36</v>
      </c>
      <c r="G252" s="1" t="s">
        <v>96</v>
      </c>
      <c r="H252" s="1" t="s">
        <v>62</v>
      </c>
      <c r="I252" s="1" t="s">
        <v>495</v>
      </c>
      <c r="J252" s="1" t="s">
        <v>495</v>
      </c>
      <c r="K252" s="1">
        <v>12</v>
      </c>
      <c r="M252" s="1" t="str">
        <f>VLOOKUP(D252,HORARIOS!B:H,7,0)</f>
        <v>Dia 5</v>
      </c>
      <c r="N252" s="1">
        <f>VLOOKUP(D252,HORARIOS!B:I,8,0)</f>
        <v>28</v>
      </c>
      <c r="O252" s="9">
        <f>VLOOKUP(D252,HORARIOS!B:D,3,0)</f>
        <v>0.5</v>
      </c>
      <c r="P252" s="9" t="str">
        <f>VLOOKUP(A252,HORARIOS!A:E,5,0)</f>
        <v>17:00 hrs</v>
      </c>
    </row>
    <row r="253" spans="1:16" ht="15.75" customHeight="1" x14ac:dyDescent="0.25">
      <c r="A253" s="1" t="str">
        <f t="shared" si="3"/>
        <v>601928</v>
      </c>
      <c r="B253" s="1">
        <v>283</v>
      </c>
      <c r="C253" s="1">
        <v>14</v>
      </c>
      <c r="D253" s="1">
        <v>6019</v>
      </c>
      <c r="E253" s="1" t="s">
        <v>60</v>
      </c>
      <c r="F253" s="1" t="s">
        <v>36</v>
      </c>
      <c r="G253" s="1" t="s">
        <v>98</v>
      </c>
      <c r="H253" s="1" t="s">
        <v>352</v>
      </c>
      <c r="I253" s="1" t="s">
        <v>496</v>
      </c>
      <c r="J253" s="1" t="s">
        <v>497</v>
      </c>
      <c r="K253" s="1">
        <v>12</v>
      </c>
      <c r="L253" s="1" t="s">
        <v>101</v>
      </c>
      <c r="M253" s="1" t="str">
        <f>VLOOKUP(D253,HORARIOS!B:H,7,0)</f>
        <v>Dia 5</v>
      </c>
      <c r="N253" s="1">
        <f>VLOOKUP(D253,HORARIOS!B:I,8,0)</f>
        <v>28</v>
      </c>
      <c r="O253" s="9">
        <f>VLOOKUP(D253,HORARIOS!B:D,3,0)</f>
        <v>0.5</v>
      </c>
      <c r="P253" s="9" t="str">
        <f>VLOOKUP(A253,HORARIOS!A:E,5,0)</f>
        <v>17:00 hrs</v>
      </c>
    </row>
    <row r="254" spans="1:16" ht="15.75" customHeight="1" x14ac:dyDescent="0.25">
      <c r="A254" s="1" t="str">
        <f t="shared" si="3"/>
        <v>601928</v>
      </c>
      <c r="B254" s="1">
        <v>284</v>
      </c>
      <c r="C254" s="1">
        <v>14</v>
      </c>
      <c r="D254" s="1">
        <v>6019</v>
      </c>
      <c r="E254" s="1" t="s">
        <v>60</v>
      </c>
      <c r="F254" s="1" t="s">
        <v>36</v>
      </c>
      <c r="G254" s="1" t="s">
        <v>98</v>
      </c>
      <c r="H254" s="1" t="s">
        <v>352</v>
      </c>
      <c r="I254" s="1" t="s">
        <v>498</v>
      </c>
      <c r="J254" s="1" t="s">
        <v>499</v>
      </c>
      <c r="K254" s="1">
        <v>12</v>
      </c>
      <c r="L254" s="1" t="s">
        <v>101</v>
      </c>
      <c r="M254" s="1" t="str">
        <f>VLOOKUP(D254,HORARIOS!B:H,7,0)</f>
        <v>Dia 5</v>
      </c>
      <c r="N254" s="1">
        <f>VLOOKUP(D254,HORARIOS!B:I,8,0)</f>
        <v>28</v>
      </c>
      <c r="O254" s="9">
        <f>VLOOKUP(D254,HORARIOS!B:D,3,0)</f>
        <v>0.5</v>
      </c>
      <c r="P254" s="9" t="str">
        <f>VLOOKUP(A254,HORARIOS!A:E,5,0)</f>
        <v>17:00 hrs</v>
      </c>
    </row>
    <row r="255" spans="1:16" ht="15.75" customHeight="1" x14ac:dyDescent="0.25">
      <c r="A255" s="1" t="str">
        <f t="shared" si="3"/>
        <v>601928</v>
      </c>
      <c r="B255" s="1">
        <v>285</v>
      </c>
      <c r="C255" s="1">
        <v>14</v>
      </c>
      <c r="D255" s="1">
        <v>6019</v>
      </c>
      <c r="E255" s="1" t="s">
        <v>60</v>
      </c>
      <c r="F255" s="1" t="s">
        <v>36</v>
      </c>
      <c r="G255" s="1" t="s">
        <v>98</v>
      </c>
      <c r="H255" s="1" t="s">
        <v>352</v>
      </c>
      <c r="I255" s="1" t="s">
        <v>500</v>
      </c>
      <c r="J255" s="1" t="s">
        <v>501</v>
      </c>
      <c r="K255" s="1">
        <v>12</v>
      </c>
      <c r="L255" s="1" t="s">
        <v>101</v>
      </c>
      <c r="M255" s="1" t="str">
        <f>VLOOKUP(D255,HORARIOS!B:H,7,0)</f>
        <v>Dia 5</v>
      </c>
      <c r="N255" s="1">
        <f>VLOOKUP(D255,HORARIOS!B:I,8,0)</f>
        <v>28</v>
      </c>
      <c r="O255" s="9">
        <f>VLOOKUP(D255,HORARIOS!B:D,3,0)</f>
        <v>0.5</v>
      </c>
      <c r="P255" s="9" t="str">
        <f>VLOOKUP(A255,HORARIOS!A:E,5,0)</f>
        <v>17:00 hrs</v>
      </c>
    </row>
    <row r="256" spans="1:16" ht="15.75" customHeight="1" x14ac:dyDescent="0.25">
      <c r="A256" s="1" t="str">
        <f t="shared" si="3"/>
        <v>601928</v>
      </c>
      <c r="B256" s="1">
        <v>286</v>
      </c>
      <c r="C256" s="1">
        <v>14</v>
      </c>
      <c r="D256" s="1">
        <v>6019</v>
      </c>
      <c r="E256" s="1" t="s">
        <v>60</v>
      </c>
      <c r="F256" s="1" t="s">
        <v>36</v>
      </c>
      <c r="G256" s="1" t="s">
        <v>98</v>
      </c>
      <c r="H256" s="1" t="s">
        <v>352</v>
      </c>
      <c r="I256" s="1" t="s">
        <v>502</v>
      </c>
      <c r="J256" s="1" t="s">
        <v>503</v>
      </c>
      <c r="K256" s="1">
        <v>12</v>
      </c>
      <c r="L256" s="1" t="s">
        <v>101</v>
      </c>
      <c r="M256" s="1" t="str">
        <f>VLOOKUP(D256,HORARIOS!B:H,7,0)</f>
        <v>Dia 5</v>
      </c>
      <c r="N256" s="1">
        <f>VLOOKUP(D256,HORARIOS!B:I,8,0)</f>
        <v>28</v>
      </c>
      <c r="O256" s="9">
        <f>VLOOKUP(D256,HORARIOS!B:D,3,0)</f>
        <v>0.5</v>
      </c>
      <c r="P256" s="9" t="str">
        <f>VLOOKUP(A256,HORARIOS!A:E,5,0)</f>
        <v>17:00 hrs</v>
      </c>
    </row>
    <row r="257" spans="1:16" ht="15.75" customHeight="1" x14ac:dyDescent="0.25">
      <c r="A257" s="1" t="str">
        <f t="shared" si="3"/>
        <v>601928</v>
      </c>
      <c r="B257" s="1">
        <v>287</v>
      </c>
      <c r="C257" s="1">
        <v>14</v>
      </c>
      <c r="D257" s="1">
        <v>6019</v>
      </c>
      <c r="E257" s="1" t="s">
        <v>60</v>
      </c>
      <c r="F257" s="1" t="s">
        <v>36</v>
      </c>
      <c r="G257" s="1" t="s">
        <v>114</v>
      </c>
      <c r="H257" s="1" t="s">
        <v>39</v>
      </c>
      <c r="I257" s="1" t="s">
        <v>52</v>
      </c>
      <c r="J257" s="1" t="s">
        <v>52</v>
      </c>
      <c r="K257" s="1">
        <v>2</v>
      </c>
      <c r="L257" s="1" t="s">
        <v>115</v>
      </c>
      <c r="M257" s="1" t="str">
        <f>VLOOKUP(D257,HORARIOS!B:H,7,0)</f>
        <v>Dia 5</v>
      </c>
      <c r="N257" s="1">
        <f>VLOOKUP(D257,HORARIOS!B:I,8,0)</f>
        <v>28</v>
      </c>
      <c r="O257" s="9">
        <f>VLOOKUP(D257,HORARIOS!B:D,3,0)</f>
        <v>0.5</v>
      </c>
      <c r="P257" s="9" t="str">
        <f>VLOOKUP(A257,HORARIOS!A:E,5,0)</f>
        <v>17:00 hrs</v>
      </c>
    </row>
    <row r="258" spans="1:16" ht="15.75" customHeight="1" x14ac:dyDescent="0.25">
      <c r="A258" s="1" t="str">
        <f t="shared" si="3"/>
        <v>601928</v>
      </c>
      <c r="B258" s="1">
        <v>288</v>
      </c>
      <c r="C258" s="1">
        <v>14</v>
      </c>
      <c r="D258" s="1">
        <v>6019</v>
      </c>
      <c r="E258" s="1" t="s">
        <v>60</v>
      </c>
      <c r="F258" s="1" t="s">
        <v>36</v>
      </c>
      <c r="G258" s="1" t="s">
        <v>134</v>
      </c>
      <c r="H258" s="1" t="s">
        <v>135</v>
      </c>
      <c r="I258" s="1" t="s">
        <v>504</v>
      </c>
      <c r="J258" s="1" t="s">
        <v>505</v>
      </c>
      <c r="K258" s="1">
        <v>12</v>
      </c>
      <c r="L258" s="1" t="s">
        <v>138</v>
      </c>
      <c r="M258" s="1" t="str">
        <f>VLOOKUP(D258,HORARIOS!B:H,7,0)</f>
        <v>Dia 5</v>
      </c>
      <c r="N258" s="1">
        <f>VLOOKUP(D258,HORARIOS!B:I,8,0)</f>
        <v>28</v>
      </c>
      <c r="O258" s="9">
        <f>VLOOKUP(D258,HORARIOS!B:D,3,0)</f>
        <v>0.5</v>
      </c>
      <c r="P258" s="9" t="str">
        <f>VLOOKUP(A258,HORARIOS!A:E,5,0)</f>
        <v>17:00 hrs</v>
      </c>
    </row>
    <row r="259" spans="1:16" ht="15.75" customHeight="1" x14ac:dyDescent="0.25">
      <c r="A259" s="1" t="str">
        <f t="shared" si="3"/>
        <v>601928</v>
      </c>
      <c r="B259" s="1">
        <v>289</v>
      </c>
      <c r="C259" s="1">
        <v>14</v>
      </c>
      <c r="D259" s="1">
        <v>6019</v>
      </c>
      <c r="E259" s="1" t="s">
        <v>60</v>
      </c>
      <c r="F259" s="1" t="s">
        <v>36</v>
      </c>
      <c r="G259" s="1" t="s">
        <v>145</v>
      </c>
      <c r="H259" s="1" t="s">
        <v>52</v>
      </c>
      <c r="I259" s="1" t="s">
        <v>506</v>
      </c>
      <c r="J259" s="1" t="s">
        <v>507</v>
      </c>
      <c r="K259" s="1">
        <v>12</v>
      </c>
      <c r="M259" s="1" t="str">
        <f>VLOOKUP(D259,HORARIOS!B:H,7,0)</f>
        <v>Dia 5</v>
      </c>
      <c r="N259" s="1">
        <f>VLOOKUP(D259,HORARIOS!B:I,8,0)</f>
        <v>28</v>
      </c>
      <c r="O259" s="9">
        <f>VLOOKUP(D259,HORARIOS!B:D,3,0)</f>
        <v>0.5</v>
      </c>
      <c r="P259" s="9" t="str">
        <f>VLOOKUP(A259,HORARIOS!A:E,5,0)</f>
        <v>17:00 hrs</v>
      </c>
    </row>
    <row r="260" spans="1:16" ht="15.75" customHeight="1" x14ac:dyDescent="0.25">
      <c r="A260" s="1" t="str">
        <f t="shared" si="3"/>
        <v>601928</v>
      </c>
      <c r="B260" s="1">
        <v>291</v>
      </c>
      <c r="C260" s="1">
        <v>14</v>
      </c>
      <c r="D260" s="1">
        <v>6019</v>
      </c>
      <c r="E260" s="1" t="s">
        <v>60</v>
      </c>
      <c r="F260" s="1" t="s">
        <v>36</v>
      </c>
      <c r="G260" s="1" t="s">
        <v>159</v>
      </c>
      <c r="H260" s="1" t="s">
        <v>160</v>
      </c>
      <c r="I260" s="1" t="s">
        <v>508</v>
      </c>
      <c r="J260" s="1" t="s">
        <v>509</v>
      </c>
      <c r="K260" s="1">
        <v>12</v>
      </c>
      <c r="M260" s="1" t="str">
        <f>VLOOKUP(D260,HORARIOS!B:H,7,0)</f>
        <v>Dia 5</v>
      </c>
      <c r="N260" s="1">
        <f>VLOOKUP(D260,HORARIOS!B:I,8,0)</f>
        <v>28</v>
      </c>
      <c r="O260" s="9">
        <f>VLOOKUP(D260,HORARIOS!B:D,3,0)</f>
        <v>0.5</v>
      </c>
      <c r="P260" s="9" t="str">
        <f>VLOOKUP(A260,HORARIOS!A:E,5,0)</f>
        <v>17:00 hrs</v>
      </c>
    </row>
    <row r="261" spans="1:16" ht="15.75" customHeight="1" x14ac:dyDescent="0.25">
      <c r="A261" s="1" t="str">
        <f t="shared" si="3"/>
        <v>60209</v>
      </c>
      <c r="B261" s="1">
        <v>292</v>
      </c>
      <c r="C261" s="1">
        <v>13</v>
      </c>
      <c r="D261" s="1">
        <v>6020</v>
      </c>
      <c r="E261" s="1" t="s">
        <v>65</v>
      </c>
      <c r="F261" s="1" t="s">
        <v>36</v>
      </c>
      <c r="G261" s="1" t="s">
        <v>37</v>
      </c>
      <c r="H261" s="1" t="s">
        <v>39</v>
      </c>
      <c r="I261" s="1" t="s">
        <v>510</v>
      </c>
      <c r="J261" s="1" t="s">
        <v>511</v>
      </c>
      <c r="K261" s="1">
        <v>12</v>
      </c>
      <c r="L261" s="1" t="s">
        <v>41</v>
      </c>
      <c r="M261" s="1" t="str">
        <f>VLOOKUP(D261,HORARIOS!B:H,7,0)</f>
        <v>Día 2</v>
      </c>
      <c r="N261" s="1">
        <f>VLOOKUP(D261,HORARIOS!B:I,8,0)</f>
        <v>9</v>
      </c>
      <c r="O261" s="9">
        <f>VLOOKUP(D261,HORARIOS!B:D,3,0)</f>
        <v>0.4375</v>
      </c>
      <c r="P261" s="9" t="str">
        <f>VLOOKUP(A261,HORARIOS!A:E,5,0)</f>
        <v>14:30 hrs</v>
      </c>
    </row>
    <row r="262" spans="1:16" ht="15.75" customHeight="1" x14ac:dyDescent="0.25">
      <c r="A262" s="1" t="str">
        <f t="shared" ref="A262:A325" si="4">D262&amp;N262</f>
        <v>60209</v>
      </c>
      <c r="B262" s="1">
        <v>293</v>
      </c>
      <c r="C262" s="1">
        <v>13</v>
      </c>
      <c r="D262" s="1">
        <v>6020</v>
      </c>
      <c r="E262" s="1" t="s">
        <v>65</v>
      </c>
      <c r="F262" s="1" t="s">
        <v>36</v>
      </c>
      <c r="G262" s="1" t="s">
        <v>51</v>
      </c>
      <c r="H262" s="1" t="s">
        <v>52</v>
      </c>
      <c r="I262" s="1" t="s">
        <v>512</v>
      </c>
      <c r="J262" s="1" t="s">
        <v>513</v>
      </c>
      <c r="K262" s="1">
        <v>12</v>
      </c>
      <c r="M262" s="1" t="str">
        <f>VLOOKUP(D262,HORARIOS!B:H,7,0)</f>
        <v>Día 2</v>
      </c>
      <c r="N262" s="1">
        <f>VLOOKUP(D262,HORARIOS!B:I,8,0)</f>
        <v>9</v>
      </c>
      <c r="O262" s="9">
        <f>VLOOKUP(D262,HORARIOS!B:D,3,0)</f>
        <v>0.4375</v>
      </c>
      <c r="P262" s="9" t="str">
        <f>VLOOKUP(A262,HORARIOS!A:E,5,0)</f>
        <v>14:30 hrs</v>
      </c>
    </row>
    <row r="263" spans="1:16" ht="15.75" customHeight="1" x14ac:dyDescent="0.25">
      <c r="A263" s="1" t="str">
        <f t="shared" si="4"/>
        <v>60209</v>
      </c>
      <c r="B263" s="1">
        <v>294</v>
      </c>
      <c r="C263" s="1">
        <v>13</v>
      </c>
      <c r="D263" s="1">
        <v>6020</v>
      </c>
      <c r="E263" s="1" t="s">
        <v>65</v>
      </c>
      <c r="F263" s="1" t="s">
        <v>36</v>
      </c>
      <c r="G263" s="1" t="s">
        <v>61</v>
      </c>
      <c r="H263" s="1" t="s">
        <v>62</v>
      </c>
      <c r="I263" s="1" t="s">
        <v>514</v>
      </c>
      <c r="J263" s="1" t="s">
        <v>514</v>
      </c>
      <c r="K263" s="1">
        <v>12</v>
      </c>
      <c r="L263" s="1" t="s">
        <v>64</v>
      </c>
      <c r="M263" s="1" t="str">
        <f>VLOOKUP(D263,HORARIOS!B:H,7,0)</f>
        <v>Día 2</v>
      </c>
      <c r="N263" s="1">
        <f>VLOOKUP(D263,HORARIOS!B:I,8,0)</f>
        <v>9</v>
      </c>
      <c r="O263" s="9">
        <f>VLOOKUP(D263,HORARIOS!B:D,3,0)</f>
        <v>0.4375</v>
      </c>
      <c r="P263" s="9" t="str">
        <f>VLOOKUP(A263,HORARIOS!A:E,5,0)</f>
        <v>14:30 hrs</v>
      </c>
    </row>
    <row r="264" spans="1:16" ht="15.75" customHeight="1" x14ac:dyDescent="0.25">
      <c r="A264" s="1" t="str">
        <f t="shared" si="4"/>
        <v>60209</v>
      </c>
      <c r="B264" s="1">
        <v>295</v>
      </c>
      <c r="C264" s="1">
        <v>13</v>
      </c>
      <c r="D264" s="1">
        <v>6020</v>
      </c>
      <c r="E264" s="1" t="s">
        <v>65</v>
      </c>
      <c r="F264" s="1" t="s">
        <v>36</v>
      </c>
      <c r="G264" s="1" t="s">
        <v>72</v>
      </c>
      <c r="H264" s="1" t="s">
        <v>73</v>
      </c>
      <c r="I264" s="1" t="s">
        <v>515</v>
      </c>
      <c r="J264" s="1" t="s">
        <v>516</v>
      </c>
      <c r="K264" s="1">
        <v>12</v>
      </c>
      <c r="M264" s="1" t="str">
        <f>VLOOKUP(D264,HORARIOS!B:H,7,0)</f>
        <v>Día 2</v>
      </c>
      <c r="N264" s="1">
        <f>VLOOKUP(D264,HORARIOS!B:I,8,0)</f>
        <v>9</v>
      </c>
      <c r="O264" s="9">
        <f>VLOOKUP(D264,HORARIOS!B:D,3,0)</f>
        <v>0.4375</v>
      </c>
      <c r="P264" s="9" t="str">
        <f>VLOOKUP(A264,HORARIOS!A:E,5,0)</f>
        <v>14:30 hrs</v>
      </c>
    </row>
    <row r="265" spans="1:16" ht="15.75" customHeight="1" x14ac:dyDescent="0.25">
      <c r="A265" s="1" t="str">
        <f t="shared" si="4"/>
        <v>60209</v>
      </c>
      <c r="B265" s="1">
        <v>296</v>
      </c>
      <c r="C265" s="1">
        <v>13</v>
      </c>
      <c r="D265" s="1">
        <v>6020</v>
      </c>
      <c r="E265" s="1" t="s">
        <v>65</v>
      </c>
      <c r="F265" s="1" t="s">
        <v>36</v>
      </c>
      <c r="G265" s="1" t="s">
        <v>88</v>
      </c>
      <c r="H265" s="1" t="s">
        <v>90</v>
      </c>
      <c r="I265" s="1" t="s">
        <v>517</v>
      </c>
      <c r="J265" s="1" t="s">
        <v>518</v>
      </c>
      <c r="K265" s="1">
        <v>12</v>
      </c>
      <c r="M265" s="1" t="str">
        <f>VLOOKUP(D265,HORARIOS!B:H,7,0)</f>
        <v>Día 2</v>
      </c>
      <c r="N265" s="1">
        <f>VLOOKUP(D265,HORARIOS!B:I,8,0)</f>
        <v>9</v>
      </c>
      <c r="O265" s="9">
        <f>VLOOKUP(D265,HORARIOS!B:D,3,0)</f>
        <v>0.4375</v>
      </c>
      <c r="P265" s="9" t="str">
        <f>VLOOKUP(A265,HORARIOS!A:E,5,0)</f>
        <v>14:30 hrs</v>
      </c>
    </row>
    <row r="266" spans="1:16" ht="15.75" customHeight="1" x14ac:dyDescent="0.25">
      <c r="A266" s="1" t="str">
        <f t="shared" si="4"/>
        <v>60209</v>
      </c>
      <c r="B266" s="1">
        <v>297</v>
      </c>
      <c r="C266" s="1">
        <v>13</v>
      </c>
      <c r="D266" s="1">
        <v>6020</v>
      </c>
      <c r="E266" s="1" t="s">
        <v>65</v>
      </c>
      <c r="F266" s="1" t="s">
        <v>36</v>
      </c>
      <c r="G266" s="1" t="s">
        <v>96</v>
      </c>
      <c r="H266" s="1" t="s">
        <v>62</v>
      </c>
      <c r="I266" s="1" t="s">
        <v>519</v>
      </c>
      <c r="J266" s="1" t="s">
        <v>519</v>
      </c>
      <c r="K266" s="1">
        <v>12</v>
      </c>
      <c r="M266" s="1" t="str">
        <f>VLOOKUP(D266,HORARIOS!B:H,7,0)</f>
        <v>Día 2</v>
      </c>
      <c r="N266" s="1">
        <f>VLOOKUP(D266,HORARIOS!B:I,8,0)</f>
        <v>9</v>
      </c>
      <c r="O266" s="9">
        <f>VLOOKUP(D266,HORARIOS!B:D,3,0)</f>
        <v>0.4375</v>
      </c>
      <c r="P266" s="9" t="str">
        <f>VLOOKUP(A266,HORARIOS!A:E,5,0)</f>
        <v>14:30 hrs</v>
      </c>
    </row>
    <row r="267" spans="1:16" ht="15.75" customHeight="1" x14ac:dyDescent="0.25">
      <c r="A267" s="1" t="str">
        <f t="shared" si="4"/>
        <v>60209</v>
      </c>
      <c r="B267" s="1">
        <v>299</v>
      </c>
      <c r="C267" s="1">
        <v>13</v>
      </c>
      <c r="D267" s="1">
        <v>6020</v>
      </c>
      <c r="E267" s="1" t="s">
        <v>65</v>
      </c>
      <c r="F267" s="1" t="s">
        <v>36</v>
      </c>
      <c r="G267" s="1" t="s">
        <v>98</v>
      </c>
      <c r="H267" s="1" t="s">
        <v>352</v>
      </c>
      <c r="I267" s="1" t="s">
        <v>520</v>
      </c>
      <c r="J267" s="1" t="s">
        <v>521</v>
      </c>
      <c r="K267" s="1">
        <v>12</v>
      </c>
      <c r="L267" s="1" t="s">
        <v>101</v>
      </c>
      <c r="M267" s="1" t="str">
        <f>VLOOKUP(D267,HORARIOS!B:H,7,0)</f>
        <v>Día 2</v>
      </c>
      <c r="N267" s="1">
        <f>VLOOKUP(D267,HORARIOS!B:I,8,0)</f>
        <v>9</v>
      </c>
      <c r="O267" s="9">
        <f>VLOOKUP(D267,HORARIOS!B:D,3,0)</f>
        <v>0.4375</v>
      </c>
      <c r="P267" s="9" t="str">
        <f>VLOOKUP(A267,HORARIOS!A:E,5,0)</f>
        <v>14:30 hrs</v>
      </c>
    </row>
    <row r="268" spans="1:16" ht="15.75" customHeight="1" x14ac:dyDescent="0.25">
      <c r="A268" s="1" t="str">
        <f t="shared" si="4"/>
        <v>60209</v>
      </c>
      <c r="B268" s="1">
        <v>300</v>
      </c>
      <c r="C268" s="1">
        <v>13</v>
      </c>
      <c r="D268" s="1">
        <v>6020</v>
      </c>
      <c r="E268" s="1" t="s">
        <v>65</v>
      </c>
      <c r="F268" s="1" t="s">
        <v>36</v>
      </c>
      <c r="G268" s="1" t="s">
        <v>98</v>
      </c>
      <c r="H268" s="1" t="s">
        <v>352</v>
      </c>
      <c r="I268" s="1" t="s">
        <v>522</v>
      </c>
      <c r="J268" s="1" t="s">
        <v>523</v>
      </c>
      <c r="K268" s="1">
        <v>12</v>
      </c>
      <c r="L268" s="1" t="s">
        <v>101</v>
      </c>
      <c r="M268" s="1" t="str">
        <f>VLOOKUP(D268,HORARIOS!B:H,7,0)</f>
        <v>Día 2</v>
      </c>
      <c r="N268" s="1">
        <f>VLOOKUP(D268,HORARIOS!B:I,8,0)</f>
        <v>9</v>
      </c>
      <c r="O268" s="9">
        <f>VLOOKUP(D268,HORARIOS!B:D,3,0)</f>
        <v>0.4375</v>
      </c>
      <c r="P268" s="9" t="str">
        <f>VLOOKUP(A268,HORARIOS!A:E,5,0)</f>
        <v>14:30 hrs</v>
      </c>
    </row>
    <row r="269" spans="1:16" ht="15.75" customHeight="1" x14ac:dyDescent="0.25">
      <c r="A269" s="1" t="str">
        <f t="shared" si="4"/>
        <v>60209</v>
      </c>
      <c r="B269" s="1">
        <v>301</v>
      </c>
      <c r="C269" s="1">
        <v>13</v>
      </c>
      <c r="D269" s="1">
        <v>6020</v>
      </c>
      <c r="E269" s="1" t="s">
        <v>65</v>
      </c>
      <c r="F269" s="1" t="s">
        <v>36</v>
      </c>
      <c r="G269" s="1" t="s">
        <v>98</v>
      </c>
      <c r="H269" s="1" t="s">
        <v>352</v>
      </c>
      <c r="I269" s="1" t="s">
        <v>524</v>
      </c>
      <c r="J269" s="1" t="s">
        <v>525</v>
      </c>
      <c r="K269" s="1">
        <v>12</v>
      </c>
      <c r="L269" s="1" t="s">
        <v>101</v>
      </c>
      <c r="M269" s="1" t="str">
        <f>VLOOKUP(D269,HORARIOS!B:H,7,0)</f>
        <v>Día 2</v>
      </c>
      <c r="N269" s="1">
        <f>VLOOKUP(D269,HORARIOS!B:I,8,0)</f>
        <v>9</v>
      </c>
      <c r="O269" s="9">
        <f>VLOOKUP(D269,HORARIOS!B:D,3,0)</f>
        <v>0.4375</v>
      </c>
      <c r="P269" s="9" t="str">
        <f>VLOOKUP(A269,HORARIOS!A:E,5,0)</f>
        <v>14:30 hrs</v>
      </c>
    </row>
    <row r="270" spans="1:16" ht="15.75" customHeight="1" x14ac:dyDescent="0.25">
      <c r="A270" s="1" t="str">
        <f t="shared" si="4"/>
        <v>60209</v>
      </c>
      <c r="B270" s="1">
        <v>302</v>
      </c>
      <c r="C270" s="1">
        <v>13</v>
      </c>
      <c r="D270" s="1">
        <v>6020</v>
      </c>
      <c r="E270" s="1" t="s">
        <v>65</v>
      </c>
      <c r="F270" s="1" t="s">
        <v>36</v>
      </c>
      <c r="G270" s="1" t="s">
        <v>114</v>
      </c>
      <c r="H270" s="1" t="s">
        <v>39</v>
      </c>
      <c r="I270" s="1" t="s">
        <v>52</v>
      </c>
      <c r="J270" s="1" t="s">
        <v>52</v>
      </c>
      <c r="K270" s="1">
        <v>2</v>
      </c>
      <c r="L270" s="1" t="s">
        <v>115</v>
      </c>
      <c r="M270" s="1" t="str">
        <f>VLOOKUP(D270,HORARIOS!B:H,7,0)</f>
        <v>Día 2</v>
      </c>
      <c r="N270" s="1">
        <f>VLOOKUP(D270,HORARIOS!B:I,8,0)</f>
        <v>9</v>
      </c>
      <c r="O270" s="9">
        <f>VLOOKUP(D270,HORARIOS!B:D,3,0)</f>
        <v>0.4375</v>
      </c>
      <c r="P270" s="9" t="str">
        <f>VLOOKUP(A270,HORARIOS!A:E,5,0)</f>
        <v>14:30 hrs</v>
      </c>
    </row>
    <row r="271" spans="1:16" ht="15.75" customHeight="1" x14ac:dyDescent="0.25">
      <c r="A271" s="1" t="str">
        <f t="shared" si="4"/>
        <v>60209</v>
      </c>
      <c r="B271" s="1">
        <v>303</v>
      </c>
      <c r="C271" s="1">
        <v>13</v>
      </c>
      <c r="D271" s="1">
        <v>6020</v>
      </c>
      <c r="E271" s="1" t="s">
        <v>65</v>
      </c>
      <c r="F271" s="1" t="s">
        <v>36</v>
      </c>
      <c r="G271" s="1" t="s">
        <v>134</v>
      </c>
      <c r="H271" s="1" t="s">
        <v>135</v>
      </c>
      <c r="I271" s="1" t="s">
        <v>526</v>
      </c>
      <c r="J271" s="1" t="s">
        <v>527</v>
      </c>
      <c r="K271" s="1">
        <v>12</v>
      </c>
      <c r="L271" s="1" t="s">
        <v>138</v>
      </c>
      <c r="M271" s="1" t="str">
        <f>VLOOKUP(D271,HORARIOS!B:H,7,0)</f>
        <v>Día 2</v>
      </c>
      <c r="N271" s="1">
        <f>VLOOKUP(D271,HORARIOS!B:I,8,0)</f>
        <v>9</v>
      </c>
      <c r="O271" s="9">
        <f>VLOOKUP(D271,HORARIOS!B:D,3,0)</f>
        <v>0.4375</v>
      </c>
      <c r="P271" s="9" t="str">
        <f>VLOOKUP(A271,HORARIOS!A:E,5,0)</f>
        <v>14:30 hrs</v>
      </c>
    </row>
    <row r="272" spans="1:16" ht="15.75" customHeight="1" x14ac:dyDescent="0.25">
      <c r="A272" s="1" t="str">
        <f t="shared" si="4"/>
        <v>60209</v>
      </c>
      <c r="B272" s="1">
        <v>304</v>
      </c>
      <c r="C272" s="1">
        <v>13</v>
      </c>
      <c r="D272" s="1">
        <v>6020</v>
      </c>
      <c r="E272" s="1" t="s">
        <v>65</v>
      </c>
      <c r="F272" s="1" t="s">
        <v>36</v>
      </c>
      <c r="G272" s="1" t="s">
        <v>145</v>
      </c>
      <c r="H272" s="1" t="s">
        <v>52</v>
      </c>
      <c r="I272" s="1" t="s">
        <v>528</v>
      </c>
      <c r="J272" s="1" t="s">
        <v>529</v>
      </c>
      <c r="K272" s="1">
        <v>12</v>
      </c>
      <c r="M272" s="1" t="str">
        <f>VLOOKUP(D272,HORARIOS!B:H,7,0)</f>
        <v>Día 2</v>
      </c>
      <c r="N272" s="1">
        <f>VLOOKUP(D272,HORARIOS!B:I,8,0)</f>
        <v>9</v>
      </c>
      <c r="O272" s="9">
        <f>VLOOKUP(D272,HORARIOS!B:D,3,0)</f>
        <v>0.4375</v>
      </c>
      <c r="P272" s="9" t="str">
        <f>VLOOKUP(A272,HORARIOS!A:E,5,0)</f>
        <v>14:30 hrs</v>
      </c>
    </row>
    <row r="273" spans="1:16" ht="15.75" customHeight="1" x14ac:dyDescent="0.25">
      <c r="A273" s="1" t="str">
        <f t="shared" si="4"/>
        <v>60209</v>
      </c>
      <c r="B273" s="1">
        <v>305</v>
      </c>
      <c r="C273" s="1">
        <v>13</v>
      </c>
      <c r="D273" s="1">
        <v>6020</v>
      </c>
      <c r="E273" s="1" t="s">
        <v>65</v>
      </c>
      <c r="F273" s="1" t="s">
        <v>36</v>
      </c>
      <c r="G273" s="1" t="s">
        <v>159</v>
      </c>
      <c r="H273" s="1" t="s">
        <v>160</v>
      </c>
      <c r="I273" s="1" t="s">
        <v>530</v>
      </c>
      <c r="J273" s="1" t="s">
        <v>531</v>
      </c>
      <c r="K273" s="1">
        <v>12</v>
      </c>
      <c r="M273" s="1" t="str">
        <f>VLOOKUP(D273,HORARIOS!B:H,7,0)</f>
        <v>Día 2</v>
      </c>
      <c r="N273" s="1">
        <f>VLOOKUP(D273,HORARIOS!B:I,8,0)</f>
        <v>9</v>
      </c>
      <c r="O273" s="9">
        <f>VLOOKUP(D273,HORARIOS!B:D,3,0)</f>
        <v>0.4375</v>
      </c>
      <c r="P273" s="9" t="str">
        <f>VLOOKUP(A273,HORARIOS!A:E,5,0)</f>
        <v>14:30 hrs</v>
      </c>
    </row>
    <row r="274" spans="1:16" ht="15.75" customHeight="1" x14ac:dyDescent="0.25">
      <c r="A274" s="1" t="str">
        <f t="shared" si="4"/>
        <v>60218</v>
      </c>
      <c r="B274" s="1">
        <v>307</v>
      </c>
      <c r="C274" s="1">
        <v>13</v>
      </c>
      <c r="D274" s="1">
        <v>6021</v>
      </c>
      <c r="E274" s="1" t="s">
        <v>44</v>
      </c>
      <c r="F274" s="1" t="s">
        <v>36</v>
      </c>
      <c r="G274" s="1" t="s">
        <v>37</v>
      </c>
      <c r="H274" s="1" t="s">
        <v>39</v>
      </c>
      <c r="I274" s="1" t="s">
        <v>532</v>
      </c>
      <c r="J274" s="1" t="s">
        <v>533</v>
      </c>
      <c r="K274" s="1">
        <v>12</v>
      </c>
      <c r="L274" s="1" t="s">
        <v>41</v>
      </c>
      <c r="M274" s="1" t="str">
        <f>VLOOKUP(D274,HORARIOS!B:H,7,0)</f>
        <v>Día 2</v>
      </c>
      <c r="N274" s="1">
        <f>VLOOKUP(D274,HORARIOS!B:I,8,0)</f>
        <v>8</v>
      </c>
      <c r="O274" s="9">
        <f>VLOOKUP(D274,HORARIOS!B:D,3,0)</f>
        <v>0.39583333333333331</v>
      </c>
      <c r="P274" s="9" t="str">
        <f>VLOOKUP(A274,HORARIOS!A:E,5,0)</f>
        <v>13:30 hrs</v>
      </c>
    </row>
    <row r="275" spans="1:16" ht="15.75" customHeight="1" x14ac:dyDescent="0.25">
      <c r="A275" s="1" t="str">
        <f t="shared" si="4"/>
        <v>60218</v>
      </c>
      <c r="B275" s="1">
        <v>308</v>
      </c>
      <c r="C275" s="1">
        <v>13</v>
      </c>
      <c r="D275" s="1">
        <v>6021</v>
      </c>
      <c r="E275" s="1" t="s">
        <v>44</v>
      </c>
      <c r="F275" s="1" t="s">
        <v>36</v>
      </c>
      <c r="G275" s="1" t="s">
        <v>51</v>
      </c>
      <c r="H275" s="1" t="s">
        <v>52</v>
      </c>
      <c r="I275" s="1" t="s">
        <v>534</v>
      </c>
      <c r="J275" s="1" t="s">
        <v>535</v>
      </c>
      <c r="K275" s="1">
        <v>12</v>
      </c>
      <c r="M275" s="1" t="str">
        <f>VLOOKUP(D275,HORARIOS!B:H,7,0)</f>
        <v>Día 2</v>
      </c>
      <c r="N275" s="1">
        <f>VLOOKUP(D275,HORARIOS!B:I,8,0)</f>
        <v>8</v>
      </c>
      <c r="O275" s="9">
        <f>VLOOKUP(D275,HORARIOS!B:D,3,0)</f>
        <v>0.39583333333333331</v>
      </c>
      <c r="P275" s="9" t="str">
        <f>VLOOKUP(A275,HORARIOS!A:E,5,0)</f>
        <v>13:30 hrs</v>
      </c>
    </row>
    <row r="276" spans="1:16" ht="15.75" customHeight="1" x14ac:dyDescent="0.25">
      <c r="A276" s="1" t="str">
        <f t="shared" si="4"/>
        <v>60218</v>
      </c>
      <c r="B276" s="1">
        <v>309</v>
      </c>
      <c r="C276" s="1">
        <v>13</v>
      </c>
      <c r="D276" s="1">
        <v>6021</v>
      </c>
      <c r="E276" s="1" t="s">
        <v>44</v>
      </c>
      <c r="F276" s="1" t="s">
        <v>36</v>
      </c>
      <c r="G276" s="1" t="s">
        <v>61</v>
      </c>
      <c r="H276" s="1" t="s">
        <v>62</v>
      </c>
      <c r="I276" s="1" t="s">
        <v>536</v>
      </c>
      <c r="J276" s="1" t="s">
        <v>536</v>
      </c>
      <c r="K276" s="1">
        <v>12</v>
      </c>
      <c r="L276" s="1" t="s">
        <v>64</v>
      </c>
      <c r="M276" s="1" t="str">
        <f>VLOOKUP(D276,HORARIOS!B:H,7,0)</f>
        <v>Día 2</v>
      </c>
      <c r="N276" s="1">
        <f>VLOOKUP(D276,HORARIOS!B:I,8,0)</f>
        <v>8</v>
      </c>
      <c r="O276" s="9">
        <f>VLOOKUP(D276,HORARIOS!B:D,3,0)</f>
        <v>0.39583333333333331</v>
      </c>
      <c r="P276" s="9" t="str">
        <f>VLOOKUP(A276,HORARIOS!A:E,5,0)</f>
        <v>13:30 hrs</v>
      </c>
    </row>
    <row r="277" spans="1:16" ht="15.75" customHeight="1" x14ac:dyDescent="0.25">
      <c r="A277" s="1" t="str">
        <f t="shared" si="4"/>
        <v>60218</v>
      </c>
      <c r="B277" s="1">
        <v>310</v>
      </c>
      <c r="C277" s="1">
        <v>13</v>
      </c>
      <c r="D277" s="1">
        <v>6021</v>
      </c>
      <c r="E277" s="1" t="s">
        <v>44</v>
      </c>
      <c r="F277" s="1" t="s">
        <v>36</v>
      </c>
      <c r="G277" s="1" t="s">
        <v>72</v>
      </c>
      <c r="H277" s="1" t="s">
        <v>73</v>
      </c>
      <c r="I277" s="1" t="s">
        <v>537</v>
      </c>
      <c r="J277" s="1" t="s">
        <v>538</v>
      </c>
      <c r="K277" s="1">
        <v>12</v>
      </c>
      <c r="M277" s="1" t="str">
        <f>VLOOKUP(D277,HORARIOS!B:H,7,0)</f>
        <v>Día 2</v>
      </c>
      <c r="N277" s="1">
        <f>VLOOKUP(D277,HORARIOS!B:I,8,0)</f>
        <v>8</v>
      </c>
      <c r="O277" s="9">
        <f>VLOOKUP(D277,HORARIOS!B:D,3,0)</f>
        <v>0.39583333333333331</v>
      </c>
      <c r="P277" s="9" t="str">
        <f>VLOOKUP(A277,HORARIOS!A:E,5,0)</f>
        <v>13:30 hrs</v>
      </c>
    </row>
    <row r="278" spans="1:16" ht="15.75" customHeight="1" x14ac:dyDescent="0.25">
      <c r="A278" s="1" t="str">
        <f t="shared" si="4"/>
        <v>60218</v>
      </c>
      <c r="B278" s="1">
        <v>311</v>
      </c>
      <c r="C278" s="1">
        <v>13</v>
      </c>
      <c r="D278" s="1">
        <v>6021</v>
      </c>
      <c r="E278" s="1" t="s">
        <v>44</v>
      </c>
      <c r="F278" s="1" t="s">
        <v>36</v>
      </c>
      <c r="G278" s="1" t="s">
        <v>88</v>
      </c>
      <c r="H278" s="1" t="s">
        <v>90</v>
      </c>
      <c r="I278" s="1" t="s">
        <v>539</v>
      </c>
      <c r="J278" s="1" t="s">
        <v>539</v>
      </c>
      <c r="K278" s="1">
        <v>12</v>
      </c>
      <c r="M278" s="1" t="str">
        <f>VLOOKUP(D278,HORARIOS!B:H,7,0)</f>
        <v>Día 2</v>
      </c>
      <c r="N278" s="1">
        <f>VLOOKUP(D278,HORARIOS!B:I,8,0)</f>
        <v>8</v>
      </c>
      <c r="O278" s="9">
        <f>VLOOKUP(D278,HORARIOS!B:D,3,0)</f>
        <v>0.39583333333333331</v>
      </c>
      <c r="P278" s="9" t="str">
        <f>VLOOKUP(A278,HORARIOS!A:E,5,0)</f>
        <v>13:30 hrs</v>
      </c>
    </row>
    <row r="279" spans="1:16" ht="15.75" customHeight="1" x14ac:dyDescent="0.25">
      <c r="A279" s="1" t="str">
        <f t="shared" si="4"/>
        <v>60218</v>
      </c>
      <c r="B279" s="1">
        <v>312</v>
      </c>
      <c r="C279" s="1">
        <v>13</v>
      </c>
      <c r="D279" s="1">
        <v>6021</v>
      </c>
      <c r="E279" s="1" t="s">
        <v>44</v>
      </c>
      <c r="F279" s="1" t="s">
        <v>36</v>
      </c>
      <c r="G279" s="1" t="s">
        <v>96</v>
      </c>
      <c r="H279" s="1" t="s">
        <v>62</v>
      </c>
      <c r="I279" s="1" t="s">
        <v>540</v>
      </c>
      <c r="J279" s="1" t="s">
        <v>540</v>
      </c>
      <c r="K279" s="1">
        <v>12</v>
      </c>
      <c r="M279" s="1" t="str">
        <f>VLOOKUP(D279,HORARIOS!B:H,7,0)</f>
        <v>Día 2</v>
      </c>
      <c r="N279" s="1">
        <f>VLOOKUP(D279,HORARIOS!B:I,8,0)</f>
        <v>8</v>
      </c>
      <c r="O279" s="9">
        <f>VLOOKUP(D279,HORARIOS!B:D,3,0)</f>
        <v>0.39583333333333331</v>
      </c>
      <c r="P279" s="9" t="str">
        <f>VLOOKUP(A279,HORARIOS!A:E,5,0)</f>
        <v>13:30 hrs</v>
      </c>
    </row>
    <row r="280" spans="1:16" ht="15.75" customHeight="1" x14ac:dyDescent="0.25">
      <c r="A280" s="1" t="str">
        <f t="shared" si="4"/>
        <v>60218</v>
      </c>
      <c r="B280" s="1">
        <v>313</v>
      </c>
      <c r="C280" s="1">
        <v>13</v>
      </c>
      <c r="D280" s="1">
        <v>6021</v>
      </c>
      <c r="E280" s="1" t="s">
        <v>44</v>
      </c>
      <c r="F280" s="1" t="s">
        <v>36</v>
      </c>
      <c r="G280" s="1" t="s">
        <v>98</v>
      </c>
      <c r="H280" s="1" t="s">
        <v>352</v>
      </c>
      <c r="I280" s="1" t="s">
        <v>541</v>
      </c>
      <c r="J280" s="1" t="s">
        <v>542</v>
      </c>
      <c r="K280" s="1">
        <v>12</v>
      </c>
      <c r="L280" s="1" t="s">
        <v>101</v>
      </c>
      <c r="M280" s="1" t="str">
        <f>VLOOKUP(D280,HORARIOS!B:H,7,0)</f>
        <v>Día 2</v>
      </c>
      <c r="N280" s="1">
        <f>VLOOKUP(D280,HORARIOS!B:I,8,0)</f>
        <v>8</v>
      </c>
      <c r="O280" s="9">
        <f>VLOOKUP(D280,HORARIOS!B:D,3,0)</f>
        <v>0.39583333333333331</v>
      </c>
      <c r="P280" s="9" t="str">
        <f>VLOOKUP(A280,HORARIOS!A:E,5,0)</f>
        <v>13:30 hrs</v>
      </c>
    </row>
    <row r="281" spans="1:16" ht="15.75" customHeight="1" x14ac:dyDescent="0.25">
      <c r="A281" s="1" t="str">
        <f t="shared" si="4"/>
        <v>60218</v>
      </c>
      <c r="B281" s="1">
        <v>315</v>
      </c>
      <c r="C281" s="1">
        <v>13</v>
      </c>
      <c r="D281" s="1">
        <v>6021</v>
      </c>
      <c r="E281" s="1" t="s">
        <v>44</v>
      </c>
      <c r="F281" s="1" t="s">
        <v>36</v>
      </c>
      <c r="G281" s="1" t="s">
        <v>98</v>
      </c>
      <c r="H281" s="1" t="s">
        <v>352</v>
      </c>
      <c r="I281" s="1" t="s">
        <v>543</v>
      </c>
      <c r="J281" s="1" t="s">
        <v>544</v>
      </c>
      <c r="K281" s="1">
        <v>12</v>
      </c>
      <c r="L281" s="1" t="s">
        <v>101</v>
      </c>
      <c r="M281" s="1" t="str">
        <f>VLOOKUP(D281,HORARIOS!B:H,7,0)</f>
        <v>Día 2</v>
      </c>
      <c r="N281" s="1">
        <f>VLOOKUP(D281,HORARIOS!B:I,8,0)</f>
        <v>8</v>
      </c>
      <c r="O281" s="9">
        <f>VLOOKUP(D281,HORARIOS!B:D,3,0)</f>
        <v>0.39583333333333331</v>
      </c>
      <c r="P281" s="9" t="str">
        <f>VLOOKUP(A281,HORARIOS!A:E,5,0)</f>
        <v>13:30 hrs</v>
      </c>
    </row>
    <row r="282" spans="1:16" ht="15.75" customHeight="1" x14ac:dyDescent="0.25">
      <c r="A282" s="1" t="str">
        <f t="shared" si="4"/>
        <v>60218</v>
      </c>
      <c r="B282" s="1">
        <v>316</v>
      </c>
      <c r="C282" s="1">
        <v>13</v>
      </c>
      <c r="D282" s="1">
        <v>6021</v>
      </c>
      <c r="E282" s="1" t="s">
        <v>44</v>
      </c>
      <c r="F282" s="1" t="s">
        <v>36</v>
      </c>
      <c r="G282" s="1" t="s">
        <v>98</v>
      </c>
      <c r="H282" s="1" t="s">
        <v>352</v>
      </c>
      <c r="I282" s="1" t="s">
        <v>545</v>
      </c>
      <c r="J282" s="1" t="s">
        <v>546</v>
      </c>
      <c r="K282" s="1">
        <v>12</v>
      </c>
      <c r="L282" s="1" t="s">
        <v>101</v>
      </c>
      <c r="M282" s="1" t="str">
        <f>VLOOKUP(D282,HORARIOS!B:H,7,0)</f>
        <v>Día 2</v>
      </c>
      <c r="N282" s="1">
        <f>VLOOKUP(D282,HORARIOS!B:I,8,0)</f>
        <v>8</v>
      </c>
      <c r="O282" s="9">
        <f>VLOOKUP(D282,HORARIOS!B:D,3,0)</f>
        <v>0.39583333333333331</v>
      </c>
      <c r="P282" s="9" t="str">
        <f>VLOOKUP(A282,HORARIOS!A:E,5,0)</f>
        <v>13:30 hrs</v>
      </c>
    </row>
    <row r="283" spans="1:16" ht="15.75" customHeight="1" x14ac:dyDescent="0.25">
      <c r="A283" s="1" t="str">
        <f t="shared" si="4"/>
        <v>60218</v>
      </c>
      <c r="B283" s="1">
        <v>317</v>
      </c>
      <c r="C283" s="1">
        <v>13</v>
      </c>
      <c r="D283" s="1">
        <v>6021</v>
      </c>
      <c r="E283" s="1" t="s">
        <v>44</v>
      </c>
      <c r="F283" s="1" t="s">
        <v>36</v>
      </c>
      <c r="G283" s="1" t="s">
        <v>114</v>
      </c>
      <c r="H283" s="1" t="s">
        <v>39</v>
      </c>
      <c r="I283" s="1" t="s">
        <v>52</v>
      </c>
      <c r="J283" s="1" t="s">
        <v>52</v>
      </c>
      <c r="K283" s="1">
        <v>2</v>
      </c>
      <c r="L283" s="1" t="s">
        <v>115</v>
      </c>
      <c r="M283" s="1" t="str">
        <f>VLOOKUP(D283,HORARIOS!B:H,7,0)</f>
        <v>Día 2</v>
      </c>
      <c r="N283" s="1">
        <f>VLOOKUP(D283,HORARIOS!B:I,8,0)</f>
        <v>8</v>
      </c>
      <c r="O283" s="9">
        <f>VLOOKUP(D283,HORARIOS!B:D,3,0)</f>
        <v>0.39583333333333331</v>
      </c>
      <c r="P283" s="9" t="str">
        <f>VLOOKUP(A283,HORARIOS!A:E,5,0)</f>
        <v>13:30 hrs</v>
      </c>
    </row>
    <row r="284" spans="1:16" ht="15.75" customHeight="1" x14ac:dyDescent="0.25">
      <c r="A284" s="1" t="str">
        <f t="shared" si="4"/>
        <v>60218</v>
      </c>
      <c r="B284" s="1">
        <v>318</v>
      </c>
      <c r="C284" s="1">
        <v>13</v>
      </c>
      <c r="D284" s="1">
        <v>6021</v>
      </c>
      <c r="E284" s="1" t="s">
        <v>44</v>
      </c>
      <c r="F284" s="1" t="s">
        <v>36</v>
      </c>
      <c r="G284" s="1" t="s">
        <v>134</v>
      </c>
      <c r="H284" s="1" t="s">
        <v>135</v>
      </c>
      <c r="I284" s="1" t="s">
        <v>547</v>
      </c>
      <c r="J284" s="1" t="s">
        <v>548</v>
      </c>
      <c r="K284" s="1">
        <v>12</v>
      </c>
      <c r="L284" s="1" t="s">
        <v>138</v>
      </c>
      <c r="M284" s="1" t="str">
        <f>VLOOKUP(D284,HORARIOS!B:H,7,0)</f>
        <v>Día 2</v>
      </c>
      <c r="N284" s="1">
        <f>VLOOKUP(D284,HORARIOS!B:I,8,0)</f>
        <v>8</v>
      </c>
      <c r="O284" s="9">
        <f>VLOOKUP(D284,HORARIOS!B:D,3,0)</f>
        <v>0.39583333333333331</v>
      </c>
      <c r="P284" s="9" t="str">
        <f>VLOOKUP(A284,HORARIOS!A:E,5,0)</f>
        <v>13:30 hrs</v>
      </c>
    </row>
    <row r="285" spans="1:16" ht="15.75" customHeight="1" x14ac:dyDescent="0.25">
      <c r="A285" s="1" t="str">
        <f t="shared" si="4"/>
        <v>60218</v>
      </c>
      <c r="B285" s="1">
        <v>319</v>
      </c>
      <c r="C285" s="1">
        <v>13</v>
      </c>
      <c r="D285" s="1">
        <v>6021</v>
      </c>
      <c r="E285" s="1" t="s">
        <v>44</v>
      </c>
      <c r="F285" s="1" t="s">
        <v>36</v>
      </c>
      <c r="G285" s="1" t="s">
        <v>145</v>
      </c>
      <c r="H285" s="1" t="s">
        <v>52</v>
      </c>
      <c r="I285" s="1" t="s">
        <v>549</v>
      </c>
      <c r="J285" s="1" t="s">
        <v>550</v>
      </c>
      <c r="K285" s="1">
        <v>12</v>
      </c>
      <c r="M285" s="1" t="str">
        <f>VLOOKUP(D285,HORARIOS!B:H,7,0)</f>
        <v>Día 2</v>
      </c>
      <c r="N285" s="1">
        <f>VLOOKUP(D285,HORARIOS!B:I,8,0)</f>
        <v>8</v>
      </c>
      <c r="O285" s="9">
        <f>VLOOKUP(D285,HORARIOS!B:D,3,0)</f>
        <v>0.39583333333333331</v>
      </c>
      <c r="P285" s="9" t="str">
        <f>VLOOKUP(A285,HORARIOS!A:E,5,0)</f>
        <v>13:30 hrs</v>
      </c>
    </row>
    <row r="286" spans="1:16" ht="15.75" customHeight="1" x14ac:dyDescent="0.25">
      <c r="A286" s="1" t="str">
        <f t="shared" si="4"/>
        <v>60218</v>
      </c>
      <c r="B286" s="1">
        <v>320</v>
      </c>
      <c r="C286" s="1">
        <v>13</v>
      </c>
      <c r="D286" s="1">
        <v>6021</v>
      </c>
      <c r="E286" s="1" t="s">
        <v>44</v>
      </c>
      <c r="F286" s="1" t="s">
        <v>36</v>
      </c>
      <c r="G286" s="1" t="s">
        <v>159</v>
      </c>
      <c r="H286" s="1" t="s">
        <v>160</v>
      </c>
      <c r="I286" s="1" t="s">
        <v>551</v>
      </c>
      <c r="J286" s="1" t="s">
        <v>552</v>
      </c>
      <c r="K286" s="1">
        <v>12</v>
      </c>
      <c r="M286" s="1" t="str">
        <f>VLOOKUP(D286,HORARIOS!B:H,7,0)</f>
        <v>Día 2</v>
      </c>
      <c r="N286" s="1">
        <f>VLOOKUP(D286,HORARIOS!B:I,8,0)</f>
        <v>8</v>
      </c>
      <c r="O286" s="9">
        <f>VLOOKUP(D286,HORARIOS!B:D,3,0)</f>
        <v>0.39583333333333331</v>
      </c>
      <c r="P286" s="9" t="str">
        <f>VLOOKUP(A286,HORARIOS!A:E,5,0)</f>
        <v>13:30 hrs</v>
      </c>
    </row>
    <row r="287" spans="1:16" ht="15.75" customHeight="1" x14ac:dyDescent="0.25">
      <c r="A287" s="1" t="str">
        <f t="shared" si="4"/>
        <v>602214</v>
      </c>
      <c r="B287" s="1">
        <v>321</v>
      </c>
      <c r="C287" s="1">
        <v>13</v>
      </c>
      <c r="D287" s="1">
        <v>6022</v>
      </c>
      <c r="E287" s="1" t="s">
        <v>67</v>
      </c>
      <c r="F287" s="1" t="s">
        <v>36</v>
      </c>
      <c r="G287" s="1" t="s">
        <v>37</v>
      </c>
      <c r="H287" s="1" t="s">
        <v>39</v>
      </c>
      <c r="I287" s="1" t="s">
        <v>553</v>
      </c>
      <c r="J287" s="1" t="s">
        <v>554</v>
      </c>
      <c r="K287" s="1">
        <v>12</v>
      </c>
      <c r="L287" s="1" t="s">
        <v>41</v>
      </c>
      <c r="M287" s="1" t="str">
        <f>VLOOKUP(D287,HORARIOS!B:H,7,0)</f>
        <v>Día 3</v>
      </c>
      <c r="N287" s="1">
        <f>VLOOKUP(D287,HORARIOS!B:I,8,0)</f>
        <v>14</v>
      </c>
      <c r="O287" s="9">
        <f>VLOOKUP(D287,HORARIOS!B:D,3,0)</f>
        <v>0.33333333333333331</v>
      </c>
      <c r="P287" s="9" t="str">
        <f>VLOOKUP(A287,HORARIOS!A:E,5,0)</f>
        <v>12:00 hrs</v>
      </c>
    </row>
    <row r="288" spans="1:16" ht="15.75" customHeight="1" x14ac:dyDescent="0.25">
      <c r="A288" s="1" t="str">
        <f t="shared" si="4"/>
        <v>602214</v>
      </c>
      <c r="B288" s="1">
        <v>323</v>
      </c>
      <c r="C288" s="1">
        <v>13</v>
      </c>
      <c r="D288" s="1">
        <v>6022</v>
      </c>
      <c r="E288" s="1" t="s">
        <v>67</v>
      </c>
      <c r="F288" s="1" t="s">
        <v>36</v>
      </c>
      <c r="G288" s="1" t="s">
        <v>51</v>
      </c>
      <c r="H288" s="1" t="s">
        <v>52</v>
      </c>
      <c r="I288" s="1" t="s">
        <v>555</v>
      </c>
      <c r="J288" s="1" t="s">
        <v>556</v>
      </c>
      <c r="K288" s="1">
        <v>12</v>
      </c>
      <c r="M288" s="1" t="str">
        <f>VLOOKUP(D288,HORARIOS!B:H,7,0)</f>
        <v>Día 3</v>
      </c>
      <c r="N288" s="1">
        <f>VLOOKUP(D288,HORARIOS!B:I,8,0)</f>
        <v>14</v>
      </c>
      <c r="O288" s="9">
        <f>VLOOKUP(D288,HORARIOS!B:D,3,0)</f>
        <v>0.33333333333333331</v>
      </c>
      <c r="P288" s="9" t="str">
        <f>VLOOKUP(A288,HORARIOS!A:E,5,0)</f>
        <v>12:00 hrs</v>
      </c>
    </row>
    <row r="289" spans="1:16" ht="15.75" customHeight="1" x14ac:dyDescent="0.25">
      <c r="A289" s="1" t="str">
        <f t="shared" si="4"/>
        <v>602214</v>
      </c>
      <c r="B289" s="1">
        <v>324</v>
      </c>
      <c r="C289" s="1">
        <v>13</v>
      </c>
      <c r="D289" s="1">
        <v>6022</v>
      </c>
      <c r="E289" s="1" t="s">
        <v>67</v>
      </c>
      <c r="F289" s="1" t="s">
        <v>36</v>
      </c>
      <c r="G289" s="1" t="s">
        <v>61</v>
      </c>
      <c r="H289" s="1" t="s">
        <v>62</v>
      </c>
      <c r="I289" s="1" t="s">
        <v>557</v>
      </c>
      <c r="J289" s="1" t="s">
        <v>557</v>
      </c>
      <c r="K289" s="1">
        <v>12</v>
      </c>
      <c r="L289" s="1" t="s">
        <v>64</v>
      </c>
      <c r="M289" s="1" t="str">
        <f>VLOOKUP(D289,HORARIOS!B:H,7,0)</f>
        <v>Día 3</v>
      </c>
      <c r="N289" s="1">
        <f>VLOOKUP(D289,HORARIOS!B:I,8,0)</f>
        <v>14</v>
      </c>
      <c r="O289" s="9">
        <f>VLOOKUP(D289,HORARIOS!B:D,3,0)</f>
        <v>0.33333333333333331</v>
      </c>
      <c r="P289" s="9" t="str">
        <f>VLOOKUP(A289,HORARIOS!A:E,5,0)</f>
        <v>12:00 hrs</v>
      </c>
    </row>
    <row r="290" spans="1:16" ht="15.75" customHeight="1" x14ac:dyDescent="0.25">
      <c r="A290" s="1" t="str">
        <f t="shared" si="4"/>
        <v>602214</v>
      </c>
      <c r="B290" s="1">
        <v>325</v>
      </c>
      <c r="C290" s="1">
        <v>13</v>
      </c>
      <c r="D290" s="1">
        <v>6022</v>
      </c>
      <c r="E290" s="1" t="s">
        <v>67</v>
      </c>
      <c r="F290" s="1" t="s">
        <v>36</v>
      </c>
      <c r="G290" s="1" t="s">
        <v>72</v>
      </c>
      <c r="H290" s="1" t="s">
        <v>73</v>
      </c>
      <c r="I290" s="1" t="s">
        <v>558</v>
      </c>
      <c r="J290" s="1" t="s">
        <v>559</v>
      </c>
      <c r="K290" s="1">
        <v>12</v>
      </c>
      <c r="M290" s="1" t="str">
        <f>VLOOKUP(D290,HORARIOS!B:H,7,0)</f>
        <v>Día 3</v>
      </c>
      <c r="N290" s="1">
        <f>VLOOKUP(D290,HORARIOS!B:I,8,0)</f>
        <v>14</v>
      </c>
      <c r="O290" s="9">
        <f>VLOOKUP(D290,HORARIOS!B:D,3,0)</f>
        <v>0.33333333333333331</v>
      </c>
      <c r="P290" s="9" t="str">
        <f>VLOOKUP(A290,HORARIOS!A:E,5,0)</f>
        <v>12:00 hrs</v>
      </c>
    </row>
    <row r="291" spans="1:16" ht="15.75" customHeight="1" x14ac:dyDescent="0.25">
      <c r="A291" s="1" t="str">
        <f t="shared" si="4"/>
        <v>602214</v>
      </c>
      <c r="B291" s="1">
        <v>326</v>
      </c>
      <c r="C291" s="1">
        <v>13</v>
      </c>
      <c r="D291" s="1">
        <v>6022</v>
      </c>
      <c r="E291" s="1" t="s">
        <v>67</v>
      </c>
      <c r="F291" s="1" t="s">
        <v>36</v>
      </c>
      <c r="G291" s="1" t="s">
        <v>88</v>
      </c>
      <c r="H291" s="1" t="s">
        <v>90</v>
      </c>
      <c r="I291" s="1" t="s">
        <v>560</v>
      </c>
      <c r="J291" s="1" t="s">
        <v>561</v>
      </c>
      <c r="K291" s="1">
        <v>12</v>
      </c>
      <c r="M291" s="1" t="str">
        <f>VLOOKUP(D291,HORARIOS!B:H,7,0)</f>
        <v>Día 3</v>
      </c>
      <c r="N291" s="1">
        <f>VLOOKUP(D291,HORARIOS!B:I,8,0)</f>
        <v>14</v>
      </c>
      <c r="O291" s="9">
        <f>VLOOKUP(D291,HORARIOS!B:D,3,0)</f>
        <v>0.33333333333333331</v>
      </c>
      <c r="P291" s="9" t="str">
        <f>VLOOKUP(A291,HORARIOS!A:E,5,0)</f>
        <v>12:00 hrs</v>
      </c>
    </row>
    <row r="292" spans="1:16" ht="15.75" customHeight="1" x14ac:dyDescent="0.25">
      <c r="A292" s="1" t="str">
        <f t="shared" si="4"/>
        <v>602214</v>
      </c>
      <c r="B292" s="1">
        <v>327</v>
      </c>
      <c r="C292" s="1">
        <v>13</v>
      </c>
      <c r="D292" s="1">
        <v>6022</v>
      </c>
      <c r="E292" s="1" t="s">
        <v>67</v>
      </c>
      <c r="F292" s="1" t="s">
        <v>36</v>
      </c>
      <c r="G292" s="1" t="s">
        <v>96</v>
      </c>
      <c r="H292" s="1" t="s">
        <v>62</v>
      </c>
      <c r="I292" s="1" t="s">
        <v>562</v>
      </c>
      <c r="J292" s="1" t="s">
        <v>562</v>
      </c>
      <c r="K292" s="1">
        <v>12</v>
      </c>
      <c r="M292" s="1" t="str">
        <f>VLOOKUP(D292,HORARIOS!B:H,7,0)</f>
        <v>Día 3</v>
      </c>
      <c r="N292" s="1">
        <f>VLOOKUP(D292,HORARIOS!B:I,8,0)</f>
        <v>14</v>
      </c>
      <c r="O292" s="9">
        <f>VLOOKUP(D292,HORARIOS!B:D,3,0)</f>
        <v>0.33333333333333331</v>
      </c>
      <c r="P292" s="9" t="str">
        <f>VLOOKUP(A292,HORARIOS!A:E,5,0)</f>
        <v>12:00 hrs</v>
      </c>
    </row>
    <row r="293" spans="1:16" ht="15.75" customHeight="1" x14ac:dyDescent="0.25">
      <c r="A293" s="1" t="str">
        <f t="shared" si="4"/>
        <v>602214</v>
      </c>
      <c r="B293" s="1">
        <v>328</v>
      </c>
      <c r="C293" s="1">
        <v>13</v>
      </c>
      <c r="D293" s="1">
        <v>6022</v>
      </c>
      <c r="E293" s="1" t="s">
        <v>67</v>
      </c>
      <c r="F293" s="1" t="s">
        <v>36</v>
      </c>
      <c r="G293" s="1" t="s">
        <v>98</v>
      </c>
      <c r="H293" s="1" t="s">
        <v>563</v>
      </c>
      <c r="I293" s="1" t="s">
        <v>564</v>
      </c>
      <c r="J293" s="1" t="s">
        <v>565</v>
      </c>
      <c r="K293" s="1">
        <v>12</v>
      </c>
      <c r="L293" s="1" t="s">
        <v>101</v>
      </c>
      <c r="M293" s="1" t="str">
        <f>VLOOKUP(D293,HORARIOS!B:H,7,0)</f>
        <v>Día 3</v>
      </c>
      <c r="N293" s="1">
        <f>VLOOKUP(D293,HORARIOS!B:I,8,0)</f>
        <v>14</v>
      </c>
      <c r="O293" s="9">
        <f>VLOOKUP(D293,HORARIOS!B:D,3,0)</f>
        <v>0.33333333333333331</v>
      </c>
      <c r="P293" s="9" t="str">
        <f>VLOOKUP(A293,HORARIOS!A:E,5,0)</f>
        <v>12:00 hrs</v>
      </c>
    </row>
    <row r="294" spans="1:16" ht="15.75" customHeight="1" x14ac:dyDescent="0.25">
      <c r="A294" s="1" t="str">
        <f t="shared" si="4"/>
        <v>602214</v>
      </c>
      <c r="B294" s="1">
        <v>329</v>
      </c>
      <c r="C294" s="1">
        <v>13</v>
      </c>
      <c r="D294" s="1">
        <v>6022</v>
      </c>
      <c r="E294" s="1" t="s">
        <v>67</v>
      </c>
      <c r="F294" s="1" t="s">
        <v>36</v>
      </c>
      <c r="G294" s="1" t="s">
        <v>98</v>
      </c>
      <c r="H294" s="1" t="s">
        <v>563</v>
      </c>
      <c r="I294" s="1" t="s">
        <v>566</v>
      </c>
      <c r="J294" s="1" t="s">
        <v>567</v>
      </c>
      <c r="K294" s="1">
        <v>12</v>
      </c>
      <c r="L294" s="1" t="s">
        <v>101</v>
      </c>
      <c r="M294" s="1" t="str">
        <f>VLOOKUP(D294,HORARIOS!B:H,7,0)</f>
        <v>Día 3</v>
      </c>
      <c r="N294" s="1">
        <f>VLOOKUP(D294,HORARIOS!B:I,8,0)</f>
        <v>14</v>
      </c>
      <c r="O294" s="9">
        <f>VLOOKUP(D294,HORARIOS!B:D,3,0)</f>
        <v>0.33333333333333331</v>
      </c>
      <c r="P294" s="9" t="str">
        <f>VLOOKUP(A294,HORARIOS!A:E,5,0)</f>
        <v>12:00 hrs</v>
      </c>
    </row>
    <row r="295" spans="1:16" ht="15.75" customHeight="1" x14ac:dyDescent="0.25">
      <c r="A295" s="1" t="str">
        <f t="shared" si="4"/>
        <v>602214</v>
      </c>
      <c r="B295" s="1">
        <v>331</v>
      </c>
      <c r="C295" s="1">
        <v>13</v>
      </c>
      <c r="D295" s="1">
        <v>6022</v>
      </c>
      <c r="E295" s="1" t="s">
        <v>67</v>
      </c>
      <c r="F295" s="1" t="s">
        <v>36</v>
      </c>
      <c r="G295" s="1" t="s">
        <v>98</v>
      </c>
      <c r="H295" s="1" t="s">
        <v>563</v>
      </c>
      <c r="I295" s="1" t="s">
        <v>568</v>
      </c>
      <c r="J295" s="1" t="s">
        <v>569</v>
      </c>
      <c r="K295" s="1">
        <v>12</v>
      </c>
      <c r="L295" s="1" t="s">
        <v>101</v>
      </c>
      <c r="M295" s="1" t="str">
        <f>VLOOKUP(D295,HORARIOS!B:H,7,0)</f>
        <v>Día 3</v>
      </c>
      <c r="N295" s="1">
        <f>VLOOKUP(D295,HORARIOS!B:I,8,0)</f>
        <v>14</v>
      </c>
      <c r="O295" s="9">
        <f>VLOOKUP(D295,HORARIOS!B:D,3,0)</f>
        <v>0.33333333333333331</v>
      </c>
      <c r="P295" s="9" t="str">
        <f>VLOOKUP(A295,HORARIOS!A:E,5,0)</f>
        <v>12:00 hrs</v>
      </c>
    </row>
    <row r="296" spans="1:16" ht="15.75" customHeight="1" x14ac:dyDescent="0.25">
      <c r="A296" s="1" t="str">
        <f t="shared" si="4"/>
        <v>602214</v>
      </c>
      <c r="B296" s="1">
        <v>332</v>
      </c>
      <c r="C296" s="1">
        <v>13</v>
      </c>
      <c r="D296" s="1">
        <v>6022</v>
      </c>
      <c r="E296" s="1" t="s">
        <v>67</v>
      </c>
      <c r="F296" s="1" t="s">
        <v>36</v>
      </c>
      <c r="G296" s="1" t="s">
        <v>114</v>
      </c>
      <c r="H296" s="1" t="s">
        <v>39</v>
      </c>
      <c r="I296" s="1" t="s">
        <v>52</v>
      </c>
      <c r="J296" s="1" t="s">
        <v>52</v>
      </c>
      <c r="K296" s="1">
        <v>2</v>
      </c>
      <c r="L296" s="1" t="s">
        <v>115</v>
      </c>
      <c r="M296" s="1" t="str">
        <f>VLOOKUP(D296,HORARIOS!B:H,7,0)</f>
        <v>Día 3</v>
      </c>
      <c r="N296" s="1">
        <f>VLOOKUP(D296,HORARIOS!B:I,8,0)</f>
        <v>14</v>
      </c>
      <c r="O296" s="9">
        <f>VLOOKUP(D296,HORARIOS!B:D,3,0)</f>
        <v>0.33333333333333331</v>
      </c>
      <c r="P296" s="9" t="str">
        <f>VLOOKUP(A296,HORARIOS!A:E,5,0)</f>
        <v>12:00 hrs</v>
      </c>
    </row>
    <row r="297" spans="1:16" ht="15.75" customHeight="1" x14ac:dyDescent="0.25">
      <c r="A297" s="1" t="str">
        <f t="shared" si="4"/>
        <v>602214</v>
      </c>
      <c r="B297" s="1">
        <v>333</v>
      </c>
      <c r="C297" s="1">
        <v>13</v>
      </c>
      <c r="D297" s="1">
        <v>6022</v>
      </c>
      <c r="E297" s="1" t="s">
        <v>67</v>
      </c>
      <c r="F297" s="1" t="s">
        <v>36</v>
      </c>
      <c r="G297" s="1" t="s">
        <v>134</v>
      </c>
      <c r="H297" s="1" t="s">
        <v>135</v>
      </c>
      <c r="I297" s="1" t="s">
        <v>570</v>
      </c>
      <c r="J297" s="1" t="s">
        <v>571</v>
      </c>
      <c r="K297" s="1">
        <v>12</v>
      </c>
      <c r="L297" s="1" t="s">
        <v>138</v>
      </c>
      <c r="M297" s="1" t="str">
        <f>VLOOKUP(D297,HORARIOS!B:H,7,0)</f>
        <v>Día 3</v>
      </c>
      <c r="N297" s="1">
        <f>VLOOKUP(D297,HORARIOS!B:I,8,0)</f>
        <v>14</v>
      </c>
      <c r="O297" s="9">
        <f>VLOOKUP(D297,HORARIOS!B:D,3,0)</f>
        <v>0.33333333333333331</v>
      </c>
      <c r="P297" s="9" t="str">
        <f>VLOOKUP(A297,HORARIOS!A:E,5,0)</f>
        <v>12:00 hrs</v>
      </c>
    </row>
    <row r="298" spans="1:16" ht="15.75" customHeight="1" x14ac:dyDescent="0.25">
      <c r="A298" s="1" t="str">
        <f t="shared" si="4"/>
        <v>602214</v>
      </c>
      <c r="B298" s="1">
        <v>334</v>
      </c>
      <c r="C298" s="1">
        <v>13</v>
      </c>
      <c r="D298" s="1">
        <v>6022</v>
      </c>
      <c r="E298" s="1" t="s">
        <v>67</v>
      </c>
      <c r="F298" s="1" t="s">
        <v>36</v>
      </c>
      <c r="G298" s="1" t="s">
        <v>145</v>
      </c>
      <c r="H298" s="1" t="s">
        <v>52</v>
      </c>
      <c r="I298" s="1" t="s">
        <v>572</v>
      </c>
      <c r="J298" s="1" t="s">
        <v>573</v>
      </c>
      <c r="K298" s="1">
        <v>12</v>
      </c>
      <c r="M298" s="1" t="str">
        <f>VLOOKUP(D298,HORARIOS!B:H,7,0)</f>
        <v>Día 3</v>
      </c>
      <c r="N298" s="1">
        <f>VLOOKUP(D298,HORARIOS!B:I,8,0)</f>
        <v>14</v>
      </c>
      <c r="O298" s="9">
        <f>VLOOKUP(D298,HORARIOS!B:D,3,0)</f>
        <v>0.33333333333333331</v>
      </c>
      <c r="P298" s="9" t="str">
        <f>VLOOKUP(A298,HORARIOS!A:E,5,0)</f>
        <v>12:00 hrs</v>
      </c>
    </row>
    <row r="299" spans="1:16" ht="15.75" customHeight="1" x14ac:dyDescent="0.25">
      <c r="A299" s="1" t="str">
        <f t="shared" si="4"/>
        <v>602214</v>
      </c>
      <c r="B299" s="1">
        <v>335</v>
      </c>
      <c r="C299" s="1">
        <v>13</v>
      </c>
      <c r="D299" s="1">
        <v>6022</v>
      </c>
      <c r="E299" s="1" t="s">
        <v>67</v>
      </c>
      <c r="F299" s="1" t="s">
        <v>36</v>
      </c>
      <c r="G299" s="1" t="s">
        <v>159</v>
      </c>
      <c r="H299" s="1" t="s">
        <v>160</v>
      </c>
      <c r="I299" s="1" t="s">
        <v>574</v>
      </c>
      <c r="J299" s="1" t="s">
        <v>575</v>
      </c>
      <c r="K299" s="1">
        <v>12</v>
      </c>
      <c r="M299" s="1" t="str">
        <f>VLOOKUP(D299,HORARIOS!B:H,7,0)</f>
        <v>Día 3</v>
      </c>
      <c r="N299" s="1">
        <f>VLOOKUP(D299,HORARIOS!B:I,8,0)</f>
        <v>14</v>
      </c>
      <c r="O299" s="9">
        <f>VLOOKUP(D299,HORARIOS!B:D,3,0)</f>
        <v>0.33333333333333331</v>
      </c>
      <c r="P299" s="9" t="str">
        <f>VLOOKUP(A299,HORARIOS!A:E,5,0)</f>
        <v>12:00 hrs</v>
      </c>
    </row>
    <row r="300" spans="1:16" ht="15.75" customHeight="1" x14ac:dyDescent="0.25">
      <c r="A300" s="1" t="str">
        <f t="shared" si="4"/>
        <v>602322</v>
      </c>
      <c r="B300" s="1">
        <v>336</v>
      </c>
      <c r="C300" s="1">
        <v>14</v>
      </c>
      <c r="D300" s="1">
        <v>6023</v>
      </c>
      <c r="E300" s="1" t="s">
        <v>70</v>
      </c>
      <c r="F300" s="1" t="s">
        <v>36</v>
      </c>
      <c r="G300" s="1" t="s">
        <v>37</v>
      </c>
      <c r="H300" s="1" t="s">
        <v>39</v>
      </c>
      <c r="I300" s="1" t="s">
        <v>576</v>
      </c>
      <c r="J300" s="1" t="s">
        <v>577</v>
      </c>
      <c r="K300" s="1">
        <v>12</v>
      </c>
      <c r="L300" s="1" t="s">
        <v>41</v>
      </c>
      <c r="M300" s="1" t="str">
        <f>VLOOKUP(D300,HORARIOS!B:H,7,0)</f>
        <v>Día 4</v>
      </c>
      <c r="N300" s="1">
        <f>VLOOKUP(D300,HORARIOS!B:I,8,0)</f>
        <v>22</v>
      </c>
      <c r="O300" s="9">
        <f>VLOOKUP(D300,HORARIOS!B:D,3,0)</f>
        <v>0.33333333333333331</v>
      </c>
      <c r="P300" s="9" t="str">
        <f>VLOOKUP(A300,HORARIOS!A:E,5,0)</f>
        <v>12:30 hrs</v>
      </c>
    </row>
    <row r="301" spans="1:16" ht="15.75" customHeight="1" x14ac:dyDescent="0.25">
      <c r="A301" s="1" t="str">
        <f t="shared" si="4"/>
        <v>602322</v>
      </c>
      <c r="B301" s="1">
        <v>337</v>
      </c>
      <c r="C301" s="1">
        <v>14</v>
      </c>
      <c r="D301" s="1">
        <v>6023</v>
      </c>
      <c r="E301" s="1" t="s">
        <v>70</v>
      </c>
      <c r="F301" s="1" t="s">
        <v>36</v>
      </c>
      <c r="G301" s="1" t="s">
        <v>51</v>
      </c>
      <c r="H301" s="1" t="s">
        <v>52</v>
      </c>
      <c r="I301" s="1" t="s">
        <v>578</v>
      </c>
      <c r="J301" s="1" t="s">
        <v>579</v>
      </c>
      <c r="K301" s="1">
        <v>12</v>
      </c>
      <c r="M301" s="1" t="str">
        <f>VLOOKUP(D301,HORARIOS!B:H,7,0)</f>
        <v>Día 4</v>
      </c>
      <c r="N301" s="1">
        <f>VLOOKUP(D301,HORARIOS!B:I,8,0)</f>
        <v>22</v>
      </c>
      <c r="O301" s="9">
        <f>VLOOKUP(D301,HORARIOS!B:D,3,0)</f>
        <v>0.33333333333333331</v>
      </c>
      <c r="P301" s="9" t="str">
        <f>VLOOKUP(A301,HORARIOS!A:E,5,0)</f>
        <v>12:30 hrs</v>
      </c>
    </row>
    <row r="302" spans="1:16" ht="15.75" customHeight="1" x14ac:dyDescent="0.25">
      <c r="A302" s="1" t="str">
        <f t="shared" si="4"/>
        <v>602322</v>
      </c>
      <c r="B302" s="1">
        <v>339</v>
      </c>
      <c r="C302" s="1">
        <v>14</v>
      </c>
      <c r="D302" s="1">
        <v>6023</v>
      </c>
      <c r="E302" s="1" t="s">
        <v>70</v>
      </c>
      <c r="F302" s="1" t="s">
        <v>36</v>
      </c>
      <c r="G302" s="1" t="s">
        <v>61</v>
      </c>
      <c r="H302" s="1" t="s">
        <v>62</v>
      </c>
      <c r="I302" s="1" t="s">
        <v>580</v>
      </c>
      <c r="J302" s="1" t="s">
        <v>580</v>
      </c>
      <c r="K302" s="1">
        <v>12</v>
      </c>
      <c r="L302" s="1" t="s">
        <v>64</v>
      </c>
      <c r="M302" s="1" t="str">
        <f>VLOOKUP(D302,HORARIOS!B:H,7,0)</f>
        <v>Día 4</v>
      </c>
      <c r="N302" s="1">
        <f>VLOOKUP(D302,HORARIOS!B:I,8,0)</f>
        <v>22</v>
      </c>
      <c r="O302" s="9">
        <f>VLOOKUP(D302,HORARIOS!B:D,3,0)</f>
        <v>0.33333333333333331</v>
      </c>
      <c r="P302" s="9" t="str">
        <f>VLOOKUP(A302,HORARIOS!A:E,5,0)</f>
        <v>12:30 hrs</v>
      </c>
    </row>
    <row r="303" spans="1:16" ht="15.75" customHeight="1" x14ac:dyDescent="0.25">
      <c r="A303" s="1" t="str">
        <f t="shared" si="4"/>
        <v>602322</v>
      </c>
      <c r="B303" s="1">
        <v>340</v>
      </c>
      <c r="C303" s="1">
        <v>14</v>
      </c>
      <c r="D303" s="1">
        <v>6023</v>
      </c>
      <c r="E303" s="1" t="s">
        <v>70</v>
      </c>
      <c r="F303" s="1" t="s">
        <v>36</v>
      </c>
      <c r="G303" s="1" t="s">
        <v>72</v>
      </c>
      <c r="H303" s="1" t="s">
        <v>73</v>
      </c>
      <c r="I303" s="1" t="s">
        <v>581</v>
      </c>
      <c r="J303" s="1" t="s">
        <v>582</v>
      </c>
      <c r="K303" s="1">
        <v>12</v>
      </c>
      <c r="M303" s="1" t="str">
        <f>VLOOKUP(D303,HORARIOS!B:H,7,0)</f>
        <v>Día 4</v>
      </c>
      <c r="N303" s="1">
        <f>VLOOKUP(D303,HORARIOS!B:I,8,0)</f>
        <v>22</v>
      </c>
      <c r="O303" s="9">
        <f>VLOOKUP(D303,HORARIOS!B:D,3,0)</f>
        <v>0.33333333333333331</v>
      </c>
      <c r="P303" s="9" t="str">
        <f>VLOOKUP(A303,HORARIOS!A:E,5,0)</f>
        <v>12:30 hrs</v>
      </c>
    </row>
    <row r="304" spans="1:16" ht="15.75" customHeight="1" x14ac:dyDescent="0.25">
      <c r="A304" s="1" t="str">
        <f t="shared" si="4"/>
        <v>602322</v>
      </c>
      <c r="B304" s="1">
        <v>341</v>
      </c>
      <c r="C304" s="1">
        <v>14</v>
      </c>
      <c r="D304" s="1">
        <v>6023</v>
      </c>
      <c r="E304" s="1" t="s">
        <v>70</v>
      </c>
      <c r="F304" s="1" t="s">
        <v>36</v>
      </c>
      <c r="G304" s="1" t="s">
        <v>88</v>
      </c>
      <c r="H304" s="1" t="s">
        <v>90</v>
      </c>
      <c r="I304" s="1" t="s">
        <v>583</v>
      </c>
      <c r="J304" s="1" t="s">
        <v>584</v>
      </c>
      <c r="K304" s="1">
        <v>12</v>
      </c>
      <c r="M304" s="1" t="str">
        <f>VLOOKUP(D304,HORARIOS!B:H,7,0)</f>
        <v>Día 4</v>
      </c>
      <c r="N304" s="1">
        <f>VLOOKUP(D304,HORARIOS!B:I,8,0)</f>
        <v>22</v>
      </c>
      <c r="O304" s="9">
        <f>VLOOKUP(D304,HORARIOS!B:D,3,0)</f>
        <v>0.33333333333333331</v>
      </c>
      <c r="P304" s="9" t="str">
        <f>VLOOKUP(A304,HORARIOS!A:E,5,0)</f>
        <v>12:30 hrs</v>
      </c>
    </row>
    <row r="305" spans="1:16" ht="15.75" customHeight="1" x14ac:dyDescent="0.25">
      <c r="A305" s="1" t="str">
        <f t="shared" si="4"/>
        <v>602322</v>
      </c>
      <c r="B305" s="1">
        <v>342</v>
      </c>
      <c r="C305" s="1">
        <v>14</v>
      </c>
      <c r="D305" s="1">
        <v>6023</v>
      </c>
      <c r="E305" s="1" t="s">
        <v>70</v>
      </c>
      <c r="F305" s="1" t="s">
        <v>36</v>
      </c>
      <c r="G305" s="1" t="s">
        <v>96</v>
      </c>
      <c r="H305" s="1" t="s">
        <v>62</v>
      </c>
      <c r="I305" s="1" t="s">
        <v>585</v>
      </c>
      <c r="J305" s="1" t="s">
        <v>585</v>
      </c>
      <c r="K305" s="1">
        <v>12</v>
      </c>
      <c r="M305" s="1" t="str">
        <f>VLOOKUP(D305,HORARIOS!B:H,7,0)</f>
        <v>Día 4</v>
      </c>
      <c r="N305" s="1">
        <f>VLOOKUP(D305,HORARIOS!B:I,8,0)</f>
        <v>22</v>
      </c>
      <c r="O305" s="9">
        <f>VLOOKUP(D305,HORARIOS!B:D,3,0)</f>
        <v>0.33333333333333331</v>
      </c>
      <c r="P305" s="9" t="str">
        <f>VLOOKUP(A305,HORARIOS!A:E,5,0)</f>
        <v>12:30 hrs</v>
      </c>
    </row>
    <row r="306" spans="1:16" ht="15.75" customHeight="1" x14ac:dyDescent="0.25">
      <c r="A306" s="1" t="str">
        <f t="shared" si="4"/>
        <v>602322</v>
      </c>
      <c r="B306" s="1">
        <v>343</v>
      </c>
      <c r="C306" s="1">
        <v>14</v>
      </c>
      <c r="D306" s="1">
        <v>6023</v>
      </c>
      <c r="E306" s="1" t="s">
        <v>70</v>
      </c>
      <c r="F306" s="1" t="s">
        <v>36</v>
      </c>
      <c r="G306" s="1" t="s">
        <v>98</v>
      </c>
      <c r="H306" s="1" t="s">
        <v>39</v>
      </c>
      <c r="I306" s="1" t="s">
        <v>586</v>
      </c>
      <c r="J306" s="1" t="s">
        <v>586</v>
      </c>
      <c r="K306" s="1">
        <v>12</v>
      </c>
      <c r="L306" s="1" t="s">
        <v>101</v>
      </c>
      <c r="M306" s="1" t="str">
        <f>VLOOKUP(D306,HORARIOS!B:H,7,0)</f>
        <v>Día 4</v>
      </c>
      <c r="N306" s="1">
        <f>VLOOKUP(D306,HORARIOS!B:I,8,0)</f>
        <v>22</v>
      </c>
      <c r="O306" s="9">
        <f>VLOOKUP(D306,HORARIOS!B:D,3,0)</f>
        <v>0.33333333333333331</v>
      </c>
      <c r="P306" s="9" t="str">
        <f>VLOOKUP(A306,HORARIOS!A:E,5,0)</f>
        <v>12:30 hrs</v>
      </c>
    </row>
    <row r="307" spans="1:16" ht="15.75" customHeight="1" x14ac:dyDescent="0.25">
      <c r="A307" s="1" t="str">
        <f t="shared" si="4"/>
        <v>602322</v>
      </c>
      <c r="B307" s="1">
        <v>344</v>
      </c>
      <c r="C307" s="1">
        <v>14</v>
      </c>
      <c r="D307" s="1">
        <v>6023</v>
      </c>
      <c r="E307" s="1" t="s">
        <v>70</v>
      </c>
      <c r="F307" s="1" t="s">
        <v>36</v>
      </c>
      <c r="G307" s="1" t="s">
        <v>98</v>
      </c>
      <c r="H307" s="1" t="s">
        <v>39</v>
      </c>
      <c r="I307" s="1" t="s">
        <v>587</v>
      </c>
      <c r="J307" s="1" t="s">
        <v>587</v>
      </c>
      <c r="K307" s="1">
        <v>12</v>
      </c>
      <c r="L307" s="1" t="s">
        <v>101</v>
      </c>
      <c r="M307" s="1" t="str">
        <f>VLOOKUP(D307,HORARIOS!B:H,7,0)</f>
        <v>Día 4</v>
      </c>
      <c r="N307" s="1">
        <f>VLOOKUP(D307,HORARIOS!B:I,8,0)</f>
        <v>22</v>
      </c>
      <c r="O307" s="9">
        <f>VLOOKUP(D307,HORARIOS!B:D,3,0)</f>
        <v>0.33333333333333331</v>
      </c>
      <c r="P307" s="9" t="str">
        <f>VLOOKUP(A307,HORARIOS!A:E,5,0)</f>
        <v>12:30 hrs</v>
      </c>
    </row>
    <row r="308" spans="1:16" ht="15.75" customHeight="1" x14ac:dyDescent="0.25">
      <c r="A308" s="1" t="str">
        <f t="shared" si="4"/>
        <v>602322</v>
      </c>
      <c r="B308" s="1">
        <v>345</v>
      </c>
      <c r="C308" s="1">
        <v>14</v>
      </c>
      <c r="D308" s="1">
        <v>6023</v>
      </c>
      <c r="E308" s="1" t="s">
        <v>70</v>
      </c>
      <c r="F308" s="1" t="s">
        <v>36</v>
      </c>
      <c r="G308" s="1" t="s">
        <v>98</v>
      </c>
      <c r="H308" s="1" t="s">
        <v>39</v>
      </c>
      <c r="I308" s="1" t="s">
        <v>588</v>
      </c>
      <c r="J308" s="1" t="s">
        <v>588</v>
      </c>
      <c r="K308" s="1">
        <v>12</v>
      </c>
      <c r="L308" s="1" t="s">
        <v>101</v>
      </c>
      <c r="M308" s="1" t="str">
        <f>VLOOKUP(D308,HORARIOS!B:H,7,0)</f>
        <v>Día 4</v>
      </c>
      <c r="N308" s="1">
        <f>VLOOKUP(D308,HORARIOS!B:I,8,0)</f>
        <v>22</v>
      </c>
      <c r="O308" s="9">
        <f>VLOOKUP(D308,HORARIOS!B:D,3,0)</f>
        <v>0.33333333333333331</v>
      </c>
      <c r="P308" s="9" t="str">
        <f>VLOOKUP(A308,HORARIOS!A:E,5,0)</f>
        <v>12:30 hrs</v>
      </c>
    </row>
    <row r="309" spans="1:16" ht="15.75" customHeight="1" x14ac:dyDescent="0.25">
      <c r="A309" s="1" t="str">
        <f t="shared" si="4"/>
        <v>602322</v>
      </c>
      <c r="B309" s="1">
        <v>347</v>
      </c>
      <c r="C309" s="1">
        <v>14</v>
      </c>
      <c r="D309" s="1">
        <v>6023</v>
      </c>
      <c r="E309" s="1" t="s">
        <v>70</v>
      </c>
      <c r="F309" s="1" t="s">
        <v>36</v>
      </c>
      <c r="G309" s="1" t="s">
        <v>98</v>
      </c>
      <c r="H309" s="1" t="s">
        <v>39</v>
      </c>
      <c r="I309" s="1" t="s">
        <v>589</v>
      </c>
      <c r="J309" s="1" t="s">
        <v>589</v>
      </c>
      <c r="K309" s="1">
        <v>12</v>
      </c>
      <c r="L309" s="1" t="s">
        <v>101</v>
      </c>
      <c r="M309" s="1" t="str">
        <f>VLOOKUP(D309,HORARIOS!B:H,7,0)</f>
        <v>Día 4</v>
      </c>
      <c r="N309" s="1">
        <f>VLOOKUP(D309,HORARIOS!B:I,8,0)</f>
        <v>22</v>
      </c>
      <c r="O309" s="9">
        <f>VLOOKUP(D309,HORARIOS!B:D,3,0)</f>
        <v>0.33333333333333331</v>
      </c>
      <c r="P309" s="9" t="str">
        <f>VLOOKUP(A309,HORARIOS!A:E,5,0)</f>
        <v>12:30 hrs</v>
      </c>
    </row>
    <row r="310" spans="1:16" ht="15.75" customHeight="1" x14ac:dyDescent="0.25">
      <c r="A310" s="1" t="str">
        <f t="shared" si="4"/>
        <v>602322</v>
      </c>
      <c r="B310" s="1">
        <v>348</v>
      </c>
      <c r="C310" s="1">
        <v>14</v>
      </c>
      <c r="D310" s="1">
        <v>6023</v>
      </c>
      <c r="E310" s="1" t="s">
        <v>70</v>
      </c>
      <c r="F310" s="1" t="s">
        <v>36</v>
      </c>
      <c r="G310" s="1" t="s">
        <v>114</v>
      </c>
      <c r="H310" s="1" t="s">
        <v>39</v>
      </c>
      <c r="I310" s="1" t="s">
        <v>52</v>
      </c>
      <c r="J310" s="1" t="s">
        <v>52</v>
      </c>
      <c r="K310" s="1">
        <v>2</v>
      </c>
      <c r="L310" s="1" t="s">
        <v>115</v>
      </c>
      <c r="M310" s="1" t="str">
        <f>VLOOKUP(D310,HORARIOS!B:H,7,0)</f>
        <v>Día 4</v>
      </c>
      <c r="N310" s="1">
        <f>VLOOKUP(D310,HORARIOS!B:I,8,0)</f>
        <v>22</v>
      </c>
      <c r="O310" s="9">
        <f>VLOOKUP(D310,HORARIOS!B:D,3,0)</f>
        <v>0.33333333333333331</v>
      </c>
      <c r="P310" s="9" t="str">
        <f>VLOOKUP(A310,HORARIOS!A:E,5,0)</f>
        <v>12:30 hrs</v>
      </c>
    </row>
    <row r="311" spans="1:16" ht="15.75" customHeight="1" x14ac:dyDescent="0.25">
      <c r="A311" s="1" t="str">
        <f t="shared" si="4"/>
        <v>602322</v>
      </c>
      <c r="B311" s="1">
        <v>349</v>
      </c>
      <c r="C311" s="1">
        <v>14</v>
      </c>
      <c r="D311" s="1">
        <v>6023</v>
      </c>
      <c r="E311" s="1" t="s">
        <v>70</v>
      </c>
      <c r="F311" s="1" t="s">
        <v>36</v>
      </c>
      <c r="G311" s="1" t="s">
        <v>134</v>
      </c>
      <c r="H311" s="1" t="s">
        <v>135</v>
      </c>
      <c r="I311" s="1" t="s">
        <v>590</v>
      </c>
      <c r="J311" s="1" t="s">
        <v>591</v>
      </c>
      <c r="K311" s="1">
        <v>12</v>
      </c>
      <c r="L311" s="1" t="s">
        <v>138</v>
      </c>
      <c r="M311" s="1" t="str">
        <f>VLOOKUP(D311,HORARIOS!B:H,7,0)</f>
        <v>Día 4</v>
      </c>
      <c r="N311" s="1">
        <f>VLOOKUP(D311,HORARIOS!B:I,8,0)</f>
        <v>22</v>
      </c>
      <c r="O311" s="9">
        <f>VLOOKUP(D311,HORARIOS!B:D,3,0)</f>
        <v>0.33333333333333331</v>
      </c>
      <c r="P311" s="9" t="str">
        <f>VLOOKUP(A311,HORARIOS!A:E,5,0)</f>
        <v>12:30 hrs</v>
      </c>
    </row>
    <row r="312" spans="1:16" ht="15.75" customHeight="1" x14ac:dyDescent="0.25">
      <c r="A312" s="1" t="str">
        <f t="shared" si="4"/>
        <v>602322</v>
      </c>
      <c r="B312" s="1">
        <v>350</v>
      </c>
      <c r="C312" s="1">
        <v>14</v>
      </c>
      <c r="D312" s="1">
        <v>6023</v>
      </c>
      <c r="E312" s="1" t="s">
        <v>70</v>
      </c>
      <c r="F312" s="1" t="s">
        <v>36</v>
      </c>
      <c r="G312" s="1" t="s">
        <v>145</v>
      </c>
      <c r="H312" s="1" t="s">
        <v>52</v>
      </c>
      <c r="I312" s="1" t="s">
        <v>592</v>
      </c>
      <c r="J312" s="1" t="s">
        <v>593</v>
      </c>
      <c r="K312" s="1">
        <v>12</v>
      </c>
      <c r="M312" s="1" t="str">
        <f>VLOOKUP(D312,HORARIOS!B:H,7,0)</f>
        <v>Día 4</v>
      </c>
      <c r="N312" s="1">
        <f>VLOOKUP(D312,HORARIOS!B:I,8,0)</f>
        <v>22</v>
      </c>
      <c r="O312" s="9">
        <f>VLOOKUP(D312,HORARIOS!B:D,3,0)</f>
        <v>0.33333333333333331</v>
      </c>
      <c r="P312" s="9" t="str">
        <f>VLOOKUP(A312,HORARIOS!A:E,5,0)</f>
        <v>12:30 hrs</v>
      </c>
    </row>
    <row r="313" spans="1:16" ht="15.75" customHeight="1" x14ac:dyDescent="0.25">
      <c r="A313" s="1" t="str">
        <f t="shared" si="4"/>
        <v>602322</v>
      </c>
      <c r="B313" s="1">
        <v>351</v>
      </c>
      <c r="C313" s="1">
        <v>14</v>
      </c>
      <c r="D313" s="1">
        <v>6023</v>
      </c>
      <c r="E313" s="1" t="s">
        <v>70</v>
      </c>
      <c r="F313" s="1" t="s">
        <v>36</v>
      </c>
      <c r="G313" s="1" t="s">
        <v>159</v>
      </c>
      <c r="H313" s="1" t="s">
        <v>160</v>
      </c>
      <c r="I313" s="1" t="s">
        <v>594</v>
      </c>
      <c r="J313" s="1" t="s">
        <v>594</v>
      </c>
      <c r="K313" s="1">
        <v>12</v>
      </c>
      <c r="M313" s="1" t="str">
        <f>VLOOKUP(D313,HORARIOS!B:H,7,0)</f>
        <v>Día 4</v>
      </c>
      <c r="N313" s="1">
        <f>VLOOKUP(D313,HORARIOS!B:I,8,0)</f>
        <v>22</v>
      </c>
      <c r="O313" s="9">
        <f>VLOOKUP(D313,HORARIOS!B:D,3,0)</f>
        <v>0.33333333333333331</v>
      </c>
      <c r="P313" s="9" t="str">
        <f>VLOOKUP(A313,HORARIOS!A:E,5,0)</f>
        <v>12:30 hrs</v>
      </c>
    </row>
    <row r="314" spans="1:16" ht="15.75" customHeight="1" x14ac:dyDescent="0.25">
      <c r="A314" s="1" t="str">
        <f t="shared" si="4"/>
        <v>602433</v>
      </c>
      <c r="B314" s="1">
        <v>352</v>
      </c>
      <c r="C314" s="1">
        <v>13</v>
      </c>
      <c r="D314" s="1">
        <v>6024</v>
      </c>
      <c r="E314" s="1" t="s">
        <v>71</v>
      </c>
      <c r="F314" s="1" t="s">
        <v>36</v>
      </c>
      <c r="G314" s="1" t="s">
        <v>37</v>
      </c>
      <c r="H314" s="1" t="s">
        <v>39</v>
      </c>
      <c r="I314" s="1" t="s">
        <v>595</v>
      </c>
      <c r="J314" s="1" t="s">
        <v>596</v>
      </c>
      <c r="K314" s="1">
        <v>12</v>
      </c>
      <c r="L314" s="1" t="s">
        <v>41</v>
      </c>
      <c r="M314" s="1" t="str">
        <f>VLOOKUP(D314,HORARIOS!B:H,7,0)</f>
        <v>Día 6</v>
      </c>
      <c r="N314" s="1">
        <f>VLOOKUP(D314,HORARIOS!B:I,8,0)</f>
        <v>33</v>
      </c>
      <c r="O314" s="9">
        <f>VLOOKUP(D314,HORARIOS!B:D,3,0)</f>
        <v>0.375</v>
      </c>
      <c r="P314" s="1" t="str">
        <f>VLOOKUP(A314,HORARIOS!A:E,5,0)</f>
        <v>13:00 hrs</v>
      </c>
    </row>
    <row r="315" spans="1:16" ht="15.75" customHeight="1" x14ac:dyDescent="0.25">
      <c r="A315" s="1" t="str">
        <f t="shared" si="4"/>
        <v>602433</v>
      </c>
      <c r="B315" s="1">
        <v>353</v>
      </c>
      <c r="C315" s="1">
        <v>13</v>
      </c>
      <c r="D315" s="1">
        <v>6024</v>
      </c>
      <c r="E315" s="1" t="s">
        <v>71</v>
      </c>
      <c r="F315" s="1" t="s">
        <v>36</v>
      </c>
      <c r="G315" s="1" t="s">
        <v>51</v>
      </c>
      <c r="H315" s="1" t="s">
        <v>52</v>
      </c>
      <c r="I315" s="1" t="s">
        <v>597</v>
      </c>
      <c r="J315" s="1" t="s">
        <v>598</v>
      </c>
      <c r="K315" s="1">
        <v>12</v>
      </c>
      <c r="M315" s="1" t="str">
        <f>VLOOKUP(D315,HORARIOS!B:H,7,0)</f>
        <v>Día 6</v>
      </c>
      <c r="N315" s="1">
        <f>VLOOKUP(D315,HORARIOS!B:I,8,0)</f>
        <v>33</v>
      </c>
      <c r="O315" s="9">
        <f>VLOOKUP(D315,HORARIOS!B:D,3,0)</f>
        <v>0.375</v>
      </c>
      <c r="P315" s="1" t="str">
        <f>VLOOKUP(A315,HORARIOS!A:E,5,0)</f>
        <v>13:00 hrs</v>
      </c>
    </row>
    <row r="316" spans="1:16" ht="15.75" customHeight="1" x14ac:dyDescent="0.25">
      <c r="A316" s="1" t="str">
        <f t="shared" si="4"/>
        <v>602433</v>
      </c>
      <c r="B316" s="1">
        <v>355</v>
      </c>
      <c r="C316" s="1">
        <v>13</v>
      </c>
      <c r="D316" s="1">
        <v>6024</v>
      </c>
      <c r="E316" s="1" t="s">
        <v>71</v>
      </c>
      <c r="F316" s="1" t="s">
        <v>36</v>
      </c>
      <c r="G316" s="1" t="s">
        <v>61</v>
      </c>
      <c r="H316" s="1" t="s">
        <v>62</v>
      </c>
      <c r="I316" s="1" t="s">
        <v>599</v>
      </c>
      <c r="J316" s="1" t="s">
        <v>599</v>
      </c>
      <c r="K316" s="1">
        <v>12</v>
      </c>
      <c r="L316" s="1" t="s">
        <v>64</v>
      </c>
      <c r="M316" s="1" t="str">
        <f>VLOOKUP(D316,HORARIOS!B:H,7,0)</f>
        <v>Día 6</v>
      </c>
      <c r="N316" s="1">
        <f>VLOOKUP(D316,HORARIOS!B:I,8,0)</f>
        <v>33</v>
      </c>
      <c r="O316" s="9">
        <f>VLOOKUP(D316,HORARIOS!B:D,3,0)</f>
        <v>0.375</v>
      </c>
      <c r="P316" s="1" t="str">
        <f>VLOOKUP(A316,HORARIOS!A:E,5,0)</f>
        <v>13:00 hrs</v>
      </c>
    </row>
    <row r="317" spans="1:16" ht="15.75" customHeight="1" x14ac:dyDescent="0.25">
      <c r="A317" s="1" t="str">
        <f t="shared" si="4"/>
        <v>602433</v>
      </c>
      <c r="B317" s="1">
        <v>356</v>
      </c>
      <c r="C317" s="1">
        <v>13</v>
      </c>
      <c r="D317" s="1">
        <v>6024</v>
      </c>
      <c r="E317" s="1" t="s">
        <v>71</v>
      </c>
      <c r="F317" s="1" t="s">
        <v>36</v>
      </c>
      <c r="G317" s="1" t="s">
        <v>72</v>
      </c>
      <c r="H317" s="1" t="s">
        <v>73</v>
      </c>
      <c r="I317" s="1" t="s">
        <v>600</v>
      </c>
      <c r="J317" s="1" t="s">
        <v>601</v>
      </c>
      <c r="K317" s="1">
        <v>12</v>
      </c>
      <c r="M317" s="1" t="str">
        <f>VLOOKUP(D317,HORARIOS!B:H,7,0)</f>
        <v>Día 6</v>
      </c>
      <c r="N317" s="1">
        <f>VLOOKUP(D317,HORARIOS!B:I,8,0)</f>
        <v>33</v>
      </c>
      <c r="O317" s="9">
        <f>VLOOKUP(D317,HORARIOS!B:D,3,0)</f>
        <v>0.375</v>
      </c>
      <c r="P317" s="1" t="str">
        <f>VLOOKUP(A317,HORARIOS!A:E,5,0)</f>
        <v>13:00 hrs</v>
      </c>
    </row>
    <row r="318" spans="1:16" ht="15.75" customHeight="1" x14ac:dyDescent="0.25">
      <c r="A318" s="1" t="str">
        <f t="shared" si="4"/>
        <v>602433</v>
      </c>
      <c r="B318" s="1">
        <v>357</v>
      </c>
      <c r="C318" s="1">
        <v>13</v>
      </c>
      <c r="D318" s="1">
        <v>6024</v>
      </c>
      <c r="E318" s="1" t="s">
        <v>71</v>
      </c>
      <c r="F318" s="1" t="s">
        <v>36</v>
      </c>
      <c r="G318" s="1" t="s">
        <v>88</v>
      </c>
      <c r="H318" s="1" t="s">
        <v>90</v>
      </c>
      <c r="I318" s="1" t="s">
        <v>602</v>
      </c>
      <c r="J318" s="1" t="s">
        <v>603</v>
      </c>
      <c r="K318" s="1">
        <v>12</v>
      </c>
      <c r="M318" s="1" t="str">
        <f>VLOOKUP(D318,HORARIOS!B:H,7,0)</f>
        <v>Día 6</v>
      </c>
      <c r="N318" s="1">
        <f>VLOOKUP(D318,HORARIOS!B:I,8,0)</f>
        <v>33</v>
      </c>
      <c r="O318" s="9">
        <f>VLOOKUP(D318,HORARIOS!B:D,3,0)</f>
        <v>0.375</v>
      </c>
      <c r="P318" s="1" t="str">
        <f>VLOOKUP(A318,HORARIOS!A:E,5,0)</f>
        <v>13:00 hrs</v>
      </c>
    </row>
    <row r="319" spans="1:16" ht="15.75" customHeight="1" x14ac:dyDescent="0.25">
      <c r="A319" s="1" t="str">
        <f t="shared" si="4"/>
        <v>602433</v>
      </c>
      <c r="B319" s="1">
        <v>358</v>
      </c>
      <c r="C319" s="1">
        <v>13</v>
      </c>
      <c r="D319" s="1">
        <v>6024</v>
      </c>
      <c r="E319" s="1" t="s">
        <v>71</v>
      </c>
      <c r="F319" s="1" t="s">
        <v>36</v>
      </c>
      <c r="G319" s="1" t="s">
        <v>96</v>
      </c>
      <c r="H319" s="1" t="s">
        <v>62</v>
      </c>
      <c r="I319" s="1" t="s">
        <v>604</v>
      </c>
      <c r="J319" s="1" t="s">
        <v>604</v>
      </c>
      <c r="K319" s="1">
        <v>12</v>
      </c>
      <c r="M319" s="1" t="str">
        <f>VLOOKUP(D319,HORARIOS!B:H,7,0)</f>
        <v>Día 6</v>
      </c>
      <c r="N319" s="1">
        <f>VLOOKUP(D319,HORARIOS!B:I,8,0)</f>
        <v>33</v>
      </c>
      <c r="O319" s="9">
        <f>VLOOKUP(D319,HORARIOS!B:D,3,0)</f>
        <v>0.375</v>
      </c>
      <c r="P319" s="1" t="str">
        <f>VLOOKUP(A319,HORARIOS!A:E,5,0)</f>
        <v>13:00 hrs</v>
      </c>
    </row>
    <row r="320" spans="1:16" ht="15.75" customHeight="1" x14ac:dyDescent="0.25">
      <c r="A320" s="1" t="str">
        <f t="shared" si="4"/>
        <v>602433</v>
      </c>
      <c r="B320" s="1">
        <v>359</v>
      </c>
      <c r="C320" s="1">
        <v>13</v>
      </c>
      <c r="D320" s="1">
        <v>6024</v>
      </c>
      <c r="E320" s="1" t="s">
        <v>71</v>
      </c>
      <c r="F320" s="1" t="s">
        <v>36</v>
      </c>
      <c r="G320" s="1" t="s">
        <v>98</v>
      </c>
      <c r="H320" s="1" t="s">
        <v>39</v>
      </c>
      <c r="I320" s="1" t="s">
        <v>605</v>
      </c>
      <c r="J320" s="1" t="s">
        <v>605</v>
      </c>
      <c r="K320" s="1">
        <v>12</v>
      </c>
      <c r="L320" s="1" t="s">
        <v>101</v>
      </c>
      <c r="M320" s="1" t="str">
        <f>VLOOKUP(D320,HORARIOS!B:H,7,0)</f>
        <v>Día 6</v>
      </c>
      <c r="N320" s="1">
        <f>VLOOKUP(D320,HORARIOS!B:I,8,0)</f>
        <v>33</v>
      </c>
      <c r="O320" s="9">
        <f>VLOOKUP(D320,HORARIOS!B:D,3,0)</f>
        <v>0.375</v>
      </c>
      <c r="P320" s="1" t="str">
        <f>VLOOKUP(A320,HORARIOS!A:E,5,0)</f>
        <v>13:00 hrs</v>
      </c>
    </row>
    <row r="321" spans="1:16" ht="15.75" customHeight="1" x14ac:dyDescent="0.25">
      <c r="A321" s="1" t="str">
        <f t="shared" si="4"/>
        <v>602433</v>
      </c>
      <c r="B321" s="1">
        <v>360</v>
      </c>
      <c r="C321" s="1">
        <v>13</v>
      </c>
      <c r="D321" s="1">
        <v>6024</v>
      </c>
      <c r="E321" s="1" t="s">
        <v>71</v>
      </c>
      <c r="F321" s="1" t="s">
        <v>36</v>
      </c>
      <c r="G321" s="1" t="s">
        <v>98</v>
      </c>
      <c r="H321" s="1" t="s">
        <v>39</v>
      </c>
      <c r="I321" s="1" t="s">
        <v>606</v>
      </c>
      <c r="J321" s="1" t="s">
        <v>606</v>
      </c>
      <c r="K321" s="1">
        <v>12</v>
      </c>
      <c r="L321" s="1" t="s">
        <v>101</v>
      </c>
      <c r="M321" s="1" t="str">
        <f>VLOOKUP(D321,HORARIOS!B:H,7,0)</f>
        <v>Día 6</v>
      </c>
      <c r="N321" s="1">
        <f>VLOOKUP(D321,HORARIOS!B:I,8,0)</f>
        <v>33</v>
      </c>
      <c r="O321" s="9">
        <f>VLOOKUP(D321,HORARIOS!B:D,3,0)</f>
        <v>0.375</v>
      </c>
      <c r="P321" s="1" t="str">
        <f>VLOOKUP(A321,HORARIOS!A:E,5,0)</f>
        <v>13:00 hrs</v>
      </c>
    </row>
    <row r="322" spans="1:16" ht="15.75" customHeight="1" x14ac:dyDescent="0.25">
      <c r="A322" s="1" t="str">
        <f t="shared" si="4"/>
        <v>602433</v>
      </c>
      <c r="B322" s="1">
        <v>361</v>
      </c>
      <c r="C322" s="1">
        <v>13</v>
      </c>
      <c r="D322" s="1">
        <v>6024</v>
      </c>
      <c r="E322" s="1" t="s">
        <v>71</v>
      </c>
      <c r="F322" s="1" t="s">
        <v>36</v>
      </c>
      <c r="G322" s="1" t="s">
        <v>98</v>
      </c>
      <c r="H322" s="1" t="s">
        <v>39</v>
      </c>
      <c r="I322" s="1" t="s">
        <v>607</v>
      </c>
      <c r="J322" s="1" t="s">
        <v>607</v>
      </c>
      <c r="K322" s="1">
        <v>12</v>
      </c>
      <c r="L322" s="1" t="s">
        <v>101</v>
      </c>
      <c r="M322" s="1" t="str">
        <f>VLOOKUP(D322,HORARIOS!B:H,7,0)</f>
        <v>Día 6</v>
      </c>
      <c r="N322" s="1">
        <f>VLOOKUP(D322,HORARIOS!B:I,8,0)</f>
        <v>33</v>
      </c>
      <c r="O322" s="9">
        <f>VLOOKUP(D322,HORARIOS!B:D,3,0)</f>
        <v>0.375</v>
      </c>
      <c r="P322" s="1" t="str">
        <f>VLOOKUP(A322,HORARIOS!A:E,5,0)</f>
        <v>13:00 hrs</v>
      </c>
    </row>
    <row r="323" spans="1:16" ht="15.75" customHeight="1" x14ac:dyDescent="0.25">
      <c r="A323" s="1" t="str">
        <f t="shared" si="4"/>
        <v>602433</v>
      </c>
      <c r="B323" s="1">
        <v>363</v>
      </c>
      <c r="C323" s="1">
        <v>13</v>
      </c>
      <c r="D323" s="1">
        <v>6024</v>
      </c>
      <c r="E323" s="1" t="s">
        <v>71</v>
      </c>
      <c r="F323" s="1" t="s">
        <v>36</v>
      </c>
      <c r="G323" s="1" t="s">
        <v>114</v>
      </c>
      <c r="H323" s="1" t="s">
        <v>39</v>
      </c>
      <c r="I323" s="1" t="s">
        <v>52</v>
      </c>
      <c r="J323" s="1" t="s">
        <v>52</v>
      </c>
      <c r="K323" s="1">
        <v>2</v>
      </c>
      <c r="L323" s="1" t="s">
        <v>115</v>
      </c>
      <c r="M323" s="1" t="str">
        <f>VLOOKUP(D323,HORARIOS!B:H,7,0)</f>
        <v>Día 6</v>
      </c>
      <c r="N323" s="1">
        <f>VLOOKUP(D323,HORARIOS!B:I,8,0)</f>
        <v>33</v>
      </c>
      <c r="O323" s="9">
        <f>VLOOKUP(D323,HORARIOS!B:D,3,0)</f>
        <v>0.375</v>
      </c>
      <c r="P323" s="1" t="str">
        <f>VLOOKUP(A323,HORARIOS!A:E,5,0)</f>
        <v>13:00 hrs</v>
      </c>
    </row>
    <row r="324" spans="1:16" ht="15.75" customHeight="1" x14ac:dyDescent="0.25">
      <c r="A324" s="1" t="str">
        <f t="shared" si="4"/>
        <v>602433</v>
      </c>
      <c r="B324" s="1">
        <v>364</v>
      </c>
      <c r="C324" s="1">
        <v>13</v>
      </c>
      <c r="D324" s="1">
        <v>6024</v>
      </c>
      <c r="E324" s="1" t="s">
        <v>71</v>
      </c>
      <c r="F324" s="1" t="s">
        <v>36</v>
      </c>
      <c r="G324" s="1" t="s">
        <v>134</v>
      </c>
      <c r="H324" s="1" t="s">
        <v>135</v>
      </c>
      <c r="I324" s="1" t="s">
        <v>608</v>
      </c>
      <c r="J324" s="1" t="s">
        <v>609</v>
      </c>
      <c r="K324" s="1">
        <v>12</v>
      </c>
      <c r="L324" s="1" t="s">
        <v>138</v>
      </c>
      <c r="M324" s="1" t="str">
        <f>VLOOKUP(D324,HORARIOS!B:H,7,0)</f>
        <v>Día 6</v>
      </c>
      <c r="N324" s="1">
        <f>VLOOKUP(D324,HORARIOS!B:I,8,0)</f>
        <v>33</v>
      </c>
      <c r="O324" s="9">
        <f>VLOOKUP(D324,HORARIOS!B:D,3,0)</f>
        <v>0.375</v>
      </c>
      <c r="P324" s="1" t="str">
        <f>VLOOKUP(A324,HORARIOS!A:E,5,0)</f>
        <v>13:00 hrs</v>
      </c>
    </row>
    <row r="325" spans="1:16" ht="15.75" customHeight="1" x14ac:dyDescent="0.25">
      <c r="A325" s="1" t="str">
        <f t="shared" si="4"/>
        <v>602433</v>
      </c>
      <c r="B325" s="1">
        <v>365</v>
      </c>
      <c r="C325" s="1">
        <v>13</v>
      </c>
      <c r="D325" s="1">
        <v>6024</v>
      </c>
      <c r="E325" s="1" t="s">
        <v>71</v>
      </c>
      <c r="F325" s="1" t="s">
        <v>36</v>
      </c>
      <c r="G325" s="1" t="s">
        <v>145</v>
      </c>
      <c r="H325" s="1" t="s">
        <v>52</v>
      </c>
      <c r="I325" s="1" t="s">
        <v>610</v>
      </c>
      <c r="J325" s="1" t="s">
        <v>611</v>
      </c>
      <c r="K325" s="1">
        <v>12</v>
      </c>
      <c r="M325" s="1" t="str">
        <f>VLOOKUP(D325,HORARIOS!B:H,7,0)</f>
        <v>Día 6</v>
      </c>
      <c r="N325" s="1">
        <f>VLOOKUP(D325,HORARIOS!B:I,8,0)</f>
        <v>33</v>
      </c>
      <c r="O325" s="9">
        <f>VLOOKUP(D325,HORARIOS!B:D,3,0)</f>
        <v>0.375</v>
      </c>
      <c r="P325" s="1" t="str">
        <f>VLOOKUP(A325,HORARIOS!A:E,5,0)</f>
        <v>13:00 hrs</v>
      </c>
    </row>
    <row r="326" spans="1:16" ht="15.75" customHeight="1" x14ac:dyDescent="0.25">
      <c r="A326" s="1" t="str">
        <f t="shared" ref="A326:A389" si="5">D326&amp;N326</f>
        <v>602433</v>
      </c>
      <c r="B326" s="1">
        <v>366</v>
      </c>
      <c r="C326" s="1">
        <v>13</v>
      </c>
      <c r="D326" s="1">
        <v>6024</v>
      </c>
      <c r="E326" s="1" t="s">
        <v>71</v>
      </c>
      <c r="F326" s="1" t="s">
        <v>36</v>
      </c>
      <c r="G326" s="1" t="s">
        <v>159</v>
      </c>
      <c r="H326" s="1" t="s">
        <v>160</v>
      </c>
      <c r="I326" s="1" t="s">
        <v>612</v>
      </c>
      <c r="J326" s="1" t="s">
        <v>613</v>
      </c>
      <c r="K326" s="1">
        <v>12</v>
      </c>
      <c r="M326" s="1" t="str">
        <f>VLOOKUP(D326,HORARIOS!B:H,7,0)</f>
        <v>Día 6</v>
      </c>
      <c r="N326" s="1">
        <f>VLOOKUP(D326,HORARIOS!B:I,8,0)</f>
        <v>33</v>
      </c>
      <c r="O326" s="9">
        <f>VLOOKUP(D326,HORARIOS!B:D,3,0)</f>
        <v>0.375</v>
      </c>
      <c r="P326" s="1" t="str">
        <f>VLOOKUP(A326,HORARIOS!A:E,5,0)</f>
        <v>13:00 hrs</v>
      </c>
    </row>
    <row r="327" spans="1:16" ht="15.75" customHeight="1" x14ac:dyDescent="0.25">
      <c r="A327" s="1" t="str">
        <f t="shared" si="5"/>
        <v>602532</v>
      </c>
      <c r="B327" s="1">
        <v>367</v>
      </c>
      <c r="C327" s="1">
        <v>13</v>
      </c>
      <c r="D327" s="1">
        <v>6025</v>
      </c>
      <c r="E327" s="1" t="s">
        <v>71</v>
      </c>
      <c r="F327" s="1" t="s">
        <v>36</v>
      </c>
      <c r="G327" s="1" t="s">
        <v>37</v>
      </c>
      <c r="H327" s="1" t="s">
        <v>39</v>
      </c>
      <c r="I327" s="1" t="s">
        <v>614</v>
      </c>
      <c r="J327" s="1" t="s">
        <v>615</v>
      </c>
      <c r="K327" s="1">
        <v>12</v>
      </c>
      <c r="L327" s="1" t="s">
        <v>41</v>
      </c>
      <c r="M327" s="1" t="str">
        <f>VLOOKUP(D327,HORARIOS!B:H,7,0)</f>
        <v>Día 6</v>
      </c>
      <c r="N327" s="1">
        <f>VLOOKUP(D327,HORARIOS!B:I,8,0)</f>
        <v>32</v>
      </c>
      <c r="O327" s="9">
        <f>VLOOKUP(D327,HORARIOS!B:D,3,0)</f>
        <v>0.33333333333333331</v>
      </c>
      <c r="P327" s="9" t="str">
        <f>VLOOKUP(A327,HORARIOS!A:E,5,0)</f>
        <v>12:00 hrs</v>
      </c>
    </row>
    <row r="328" spans="1:16" ht="15.75" customHeight="1" x14ac:dyDescent="0.25">
      <c r="A328" s="1" t="str">
        <f t="shared" si="5"/>
        <v>602532</v>
      </c>
      <c r="B328" s="1">
        <v>368</v>
      </c>
      <c r="C328" s="1">
        <v>13</v>
      </c>
      <c r="D328" s="1">
        <v>6025</v>
      </c>
      <c r="E328" s="1" t="s">
        <v>71</v>
      </c>
      <c r="F328" s="1" t="s">
        <v>36</v>
      </c>
      <c r="G328" s="1" t="s">
        <v>51</v>
      </c>
      <c r="H328" s="1" t="s">
        <v>52</v>
      </c>
      <c r="I328" s="1" t="s">
        <v>616</v>
      </c>
      <c r="J328" s="1" t="s">
        <v>617</v>
      </c>
      <c r="K328" s="1">
        <v>12</v>
      </c>
      <c r="M328" s="1" t="str">
        <f>VLOOKUP(D328,HORARIOS!B:H,7,0)</f>
        <v>Día 6</v>
      </c>
      <c r="N328" s="1">
        <f>VLOOKUP(D328,HORARIOS!B:I,8,0)</f>
        <v>32</v>
      </c>
      <c r="O328" s="9">
        <f>VLOOKUP(D328,HORARIOS!B:D,3,0)</f>
        <v>0.33333333333333331</v>
      </c>
      <c r="P328" s="9" t="str">
        <f>VLOOKUP(A328,HORARIOS!A:E,5,0)</f>
        <v>12:00 hrs</v>
      </c>
    </row>
    <row r="329" spans="1:16" ht="15.75" customHeight="1" x14ac:dyDescent="0.25">
      <c r="A329" s="1" t="str">
        <f t="shared" si="5"/>
        <v>602532</v>
      </c>
      <c r="B329" s="1">
        <v>369</v>
      </c>
      <c r="C329" s="1">
        <v>13</v>
      </c>
      <c r="D329" s="1">
        <v>6025</v>
      </c>
      <c r="E329" s="1" t="s">
        <v>71</v>
      </c>
      <c r="F329" s="1" t="s">
        <v>36</v>
      </c>
      <c r="G329" s="1" t="s">
        <v>61</v>
      </c>
      <c r="H329" s="1" t="s">
        <v>62</v>
      </c>
      <c r="I329" s="1" t="s">
        <v>618</v>
      </c>
      <c r="J329" s="1" t="s">
        <v>618</v>
      </c>
      <c r="K329" s="1">
        <v>12</v>
      </c>
      <c r="L329" s="1" t="s">
        <v>64</v>
      </c>
      <c r="M329" s="1" t="str">
        <f>VLOOKUP(D329,HORARIOS!B:H,7,0)</f>
        <v>Día 6</v>
      </c>
      <c r="N329" s="1">
        <f>VLOOKUP(D329,HORARIOS!B:I,8,0)</f>
        <v>32</v>
      </c>
      <c r="O329" s="9">
        <f>VLOOKUP(D329,HORARIOS!B:D,3,0)</f>
        <v>0.33333333333333331</v>
      </c>
      <c r="P329" s="9" t="str">
        <f>VLOOKUP(A329,HORARIOS!A:E,5,0)</f>
        <v>12:00 hrs</v>
      </c>
    </row>
    <row r="330" spans="1:16" ht="15.75" customHeight="1" x14ac:dyDescent="0.25">
      <c r="A330" s="1" t="str">
        <f t="shared" si="5"/>
        <v>602532</v>
      </c>
      <c r="B330" s="1">
        <v>371</v>
      </c>
      <c r="C330" s="1">
        <v>13</v>
      </c>
      <c r="D330" s="1">
        <v>6025</v>
      </c>
      <c r="E330" s="1" t="s">
        <v>71</v>
      </c>
      <c r="F330" s="1" t="s">
        <v>36</v>
      </c>
      <c r="G330" s="1" t="s">
        <v>72</v>
      </c>
      <c r="H330" s="1" t="s">
        <v>73</v>
      </c>
      <c r="I330" s="1" t="s">
        <v>619</v>
      </c>
      <c r="J330" s="1" t="s">
        <v>620</v>
      </c>
      <c r="K330" s="1">
        <v>12</v>
      </c>
      <c r="M330" s="1" t="str">
        <f>VLOOKUP(D330,HORARIOS!B:H,7,0)</f>
        <v>Día 6</v>
      </c>
      <c r="N330" s="1">
        <f>VLOOKUP(D330,HORARIOS!B:I,8,0)</f>
        <v>32</v>
      </c>
      <c r="O330" s="9">
        <f>VLOOKUP(D330,HORARIOS!B:D,3,0)</f>
        <v>0.33333333333333331</v>
      </c>
      <c r="P330" s="9" t="str">
        <f>VLOOKUP(A330,HORARIOS!A:E,5,0)</f>
        <v>12:00 hrs</v>
      </c>
    </row>
    <row r="331" spans="1:16" ht="15.75" customHeight="1" x14ac:dyDescent="0.25">
      <c r="A331" s="1" t="str">
        <f t="shared" si="5"/>
        <v>602532</v>
      </c>
      <c r="B331" s="1">
        <v>372</v>
      </c>
      <c r="C331" s="1">
        <v>13</v>
      </c>
      <c r="D331" s="1">
        <v>6025</v>
      </c>
      <c r="E331" s="1" t="s">
        <v>71</v>
      </c>
      <c r="F331" s="1" t="s">
        <v>36</v>
      </c>
      <c r="G331" s="1" t="s">
        <v>88</v>
      </c>
      <c r="H331" s="1" t="s">
        <v>90</v>
      </c>
      <c r="I331" s="1" t="s">
        <v>621</v>
      </c>
      <c r="J331" s="1" t="s">
        <v>621</v>
      </c>
      <c r="K331" s="1">
        <v>12</v>
      </c>
      <c r="M331" s="1" t="str">
        <f>VLOOKUP(D331,HORARIOS!B:H,7,0)</f>
        <v>Día 6</v>
      </c>
      <c r="N331" s="1">
        <f>VLOOKUP(D331,HORARIOS!B:I,8,0)</f>
        <v>32</v>
      </c>
      <c r="O331" s="9">
        <f>VLOOKUP(D331,HORARIOS!B:D,3,0)</f>
        <v>0.33333333333333331</v>
      </c>
      <c r="P331" s="9" t="str">
        <f>VLOOKUP(A331,HORARIOS!A:E,5,0)</f>
        <v>12:00 hrs</v>
      </c>
    </row>
    <row r="332" spans="1:16" ht="15.75" customHeight="1" x14ac:dyDescent="0.25">
      <c r="A332" s="1" t="str">
        <f t="shared" si="5"/>
        <v>602532</v>
      </c>
      <c r="B332" s="1">
        <v>373</v>
      </c>
      <c r="C332" s="1">
        <v>13</v>
      </c>
      <c r="D332" s="1">
        <v>6025</v>
      </c>
      <c r="E332" s="1" t="s">
        <v>71</v>
      </c>
      <c r="F332" s="1" t="s">
        <v>36</v>
      </c>
      <c r="G332" s="1" t="s">
        <v>96</v>
      </c>
      <c r="H332" s="1" t="s">
        <v>62</v>
      </c>
      <c r="I332" s="1" t="s">
        <v>622</v>
      </c>
      <c r="J332" s="1" t="s">
        <v>622</v>
      </c>
      <c r="K332" s="1">
        <v>12</v>
      </c>
      <c r="M332" s="1" t="str">
        <f>VLOOKUP(D332,HORARIOS!B:H,7,0)</f>
        <v>Día 6</v>
      </c>
      <c r="N332" s="1">
        <f>VLOOKUP(D332,HORARIOS!B:I,8,0)</f>
        <v>32</v>
      </c>
      <c r="O332" s="9">
        <f>VLOOKUP(D332,HORARIOS!B:D,3,0)</f>
        <v>0.33333333333333331</v>
      </c>
      <c r="P332" s="9" t="str">
        <f>VLOOKUP(A332,HORARIOS!A:E,5,0)</f>
        <v>12:00 hrs</v>
      </c>
    </row>
    <row r="333" spans="1:16" ht="15.75" customHeight="1" x14ac:dyDescent="0.25">
      <c r="A333" s="1" t="str">
        <f t="shared" si="5"/>
        <v>602532</v>
      </c>
      <c r="B333" s="1">
        <v>374</v>
      </c>
      <c r="C333" s="1">
        <v>13</v>
      </c>
      <c r="D333" s="1">
        <v>6025</v>
      </c>
      <c r="E333" s="1" t="s">
        <v>71</v>
      </c>
      <c r="F333" s="1" t="s">
        <v>36</v>
      </c>
      <c r="G333" s="1" t="s">
        <v>98</v>
      </c>
      <c r="H333" s="1" t="s">
        <v>352</v>
      </c>
      <c r="I333" s="1" t="s">
        <v>623</v>
      </c>
      <c r="J333" s="1" t="s">
        <v>624</v>
      </c>
      <c r="K333" s="1">
        <v>12</v>
      </c>
      <c r="L333" s="1" t="s">
        <v>101</v>
      </c>
      <c r="M333" s="1" t="str">
        <f>VLOOKUP(D333,HORARIOS!B:H,7,0)</f>
        <v>Día 6</v>
      </c>
      <c r="N333" s="1">
        <f>VLOOKUP(D333,HORARIOS!B:I,8,0)</f>
        <v>32</v>
      </c>
      <c r="O333" s="9">
        <f>VLOOKUP(D333,HORARIOS!B:D,3,0)</f>
        <v>0.33333333333333331</v>
      </c>
      <c r="P333" s="9" t="str">
        <f>VLOOKUP(A333,HORARIOS!A:E,5,0)</f>
        <v>12:00 hrs</v>
      </c>
    </row>
    <row r="334" spans="1:16" ht="15.75" customHeight="1" x14ac:dyDescent="0.25">
      <c r="A334" s="1" t="str">
        <f t="shared" si="5"/>
        <v>602532</v>
      </c>
      <c r="B334" s="1">
        <v>375</v>
      </c>
      <c r="C334" s="1">
        <v>13</v>
      </c>
      <c r="D334" s="1">
        <v>6025</v>
      </c>
      <c r="E334" s="1" t="s">
        <v>71</v>
      </c>
      <c r="F334" s="1" t="s">
        <v>36</v>
      </c>
      <c r="G334" s="1" t="s">
        <v>98</v>
      </c>
      <c r="H334" s="1" t="s">
        <v>625</v>
      </c>
      <c r="I334" s="1" t="s">
        <v>626</v>
      </c>
      <c r="J334" s="1" t="s">
        <v>627</v>
      </c>
      <c r="K334" s="1">
        <v>12</v>
      </c>
      <c r="L334" s="1" t="s">
        <v>101</v>
      </c>
      <c r="M334" s="1" t="str">
        <f>VLOOKUP(D334,HORARIOS!B:H,7,0)</f>
        <v>Día 6</v>
      </c>
      <c r="N334" s="1">
        <f>VLOOKUP(D334,HORARIOS!B:I,8,0)</f>
        <v>32</v>
      </c>
      <c r="O334" s="9">
        <f>VLOOKUP(D334,HORARIOS!B:D,3,0)</f>
        <v>0.33333333333333331</v>
      </c>
      <c r="P334" s="9" t="str">
        <f>VLOOKUP(A334,HORARIOS!A:E,5,0)</f>
        <v>12:00 hrs</v>
      </c>
    </row>
    <row r="335" spans="1:16" ht="15.75" customHeight="1" x14ac:dyDescent="0.25">
      <c r="A335" s="1" t="str">
        <f t="shared" si="5"/>
        <v>602532</v>
      </c>
      <c r="B335" s="1">
        <v>376</v>
      </c>
      <c r="C335" s="1">
        <v>13</v>
      </c>
      <c r="D335" s="1">
        <v>6025</v>
      </c>
      <c r="E335" s="1" t="s">
        <v>71</v>
      </c>
      <c r="F335" s="1" t="s">
        <v>36</v>
      </c>
      <c r="G335" s="1" t="s">
        <v>98</v>
      </c>
      <c r="H335" s="1" t="s">
        <v>352</v>
      </c>
      <c r="I335" s="1" t="s">
        <v>628</v>
      </c>
      <c r="J335" s="1" t="s">
        <v>628</v>
      </c>
      <c r="K335" s="1">
        <v>12</v>
      </c>
      <c r="L335" s="1" t="s">
        <v>101</v>
      </c>
      <c r="M335" s="1" t="str">
        <f>VLOOKUP(D335,HORARIOS!B:H,7,0)</f>
        <v>Día 6</v>
      </c>
      <c r="N335" s="1">
        <f>VLOOKUP(D335,HORARIOS!B:I,8,0)</f>
        <v>32</v>
      </c>
      <c r="O335" s="9">
        <f>VLOOKUP(D335,HORARIOS!B:D,3,0)</f>
        <v>0.33333333333333331</v>
      </c>
      <c r="P335" s="9" t="str">
        <f>VLOOKUP(A335,HORARIOS!A:E,5,0)</f>
        <v>12:00 hrs</v>
      </c>
    </row>
    <row r="336" spans="1:16" ht="15.75" customHeight="1" x14ac:dyDescent="0.25">
      <c r="A336" s="1" t="str">
        <f t="shared" si="5"/>
        <v>602532</v>
      </c>
      <c r="B336" s="1">
        <v>377</v>
      </c>
      <c r="C336" s="1">
        <v>13</v>
      </c>
      <c r="D336" s="1">
        <v>6025</v>
      </c>
      <c r="E336" s="1" t="s">
        <v>71</v>
      </c>
      <c r="F336" s="1" t="s">
        <v>36</v>
      </c>
      <c r="G336" s="1" t="s">
        <v>114</v>
      </c>
      <c r="H336" s="1" t="s">
        <v>39</v>
      </c>
      <c r="I336" s="1" t="s">
        <v>52</v>
      </c>
      <c r="J336" s="1" t="s">
        <v>52</v>
      </c>
      <c r="K336" s="1">
        <v>2</v>
      </c>
      <c r="L336" s="1" t="s">
        <v>115</v>
      </c>
      <c r="M336" s="1" t="str">
        <f>VLOOKUP(D336,HORARIOS!B:H,7,0)</f>
        <v>Día 6</v>
      </c>
      <c r="N336" s="1">
        <f>VLOOKUP(D336,HORARIOS!B:I,8,0)</f>
        <v>32</v>
      </c>
      <c r="O336" s="9">
        <f>VLOOKUP(D336,HORARIOS!B:D,3,0)</f>
        <v>0.33333333333333331</v>
      </c>
      <c r="P336" s="9" t="str">
        <f>VLOOKUP(A336,HORARIOS!A:E,5,0)</f>
        <v>12:00 hrs</v>
      </c>
    </row>
    <row r="337" spans="1:16" ht="15.75" customHeight="1" x14ac:dyDescent="0.25">
      <c r="A337" s="1" t="str">
        <f t="shared" si="5"/>
        <v>602532</v>
      </c>
      <c r="B337" s="1">
        <v>378</v>
      </c>
      <c r="C337" s="1">
        <v>13</v>
      </c>
      <c r="D337" s="1">
        <v>6025</v>
      </c>
      <c r="E337" s="1" t="s">
        <v>71</v>
      </c>
      <c r="F337" s="1" t="s">
        <v>36</v>
      </c>
      <c r="G337" s="1" t="s">
        <v>134</v>
      </c>
      <c r="H337" s="1" t="s">
        <v>135</v>
      </c>
      <c r="I337" s="1" t="s">
        <v>629</v>
      </c>
      <c r="J337" s="1" t="s">
        <v>630</v>
      </c>
      <c r="K337" s="1">
        <v>12</v>
      </c>
      <c r="L337" s="1" t="s">
        <v>138</v>
      </c>
      <c r="M337" s="1" t="str">
        <f>VLOOKUP(D337,HORARIOS!B:H,7,0)</f>
        <v>Día 6</v>
      </c>
      <c r="N337" s="1">
        <f>VLOOKUP(D337,HORARIOS!B:I,8,0)</f>
        <v>32</v>
      </c>
      <c r="O337" s="9">
        <f>VLOOKUP(D337,HORARIOS!B:D,3,0)</f>
        <v>0.33333333333333331</v>
      </c>
      <c r="P337" s="9" t="str">
        <f>VLOOKUP(A337,HORARIOS!A:E,5,0)</f>
        <v>12:00 hrs</v>
      </c>
    </row>
    <row r="338" spans="1:16" ht="15.75" customHeight="1" x14ac:dyDescent="0.25">
      <c r="A338" s="1" t="str">
        <f t="shared" si="5"/>
        <v>602532</v>
      </c>
      <c r="B338" s="1">
        <v>380</v>
      </c>
      <c r="C338" s="1">
        <v>13</v>
      </c>
      <c r="D338" s="1">
        <v>6025</v>
      </c>
      <c r="E338" s="1" t="s">
        <v>71</v>
      </c>
      <c r="F338" s="1" t="s">
        <v>36</v>
      </c>
      <c r="G338" s="1" t="s">
        <v>145</v>
      </c>
      <c r="H338" s="1" t="s">
        <v>52</v>
      </c>
      <c r="I338" s="1" t="s">
        <v>631</v>
      </c>
      <c r="J338" s="1" t="s">
        <v>632</v>
      </c>
      <c r="K338" s="1">
        <v>12</v>
      </c>
      <c r="M338" s="1" t="str">
        <f>VLOOKUP(D338,HORARIOS!B:H,7,0)</f>
        <v>Día 6</v>
      </c>
      <c r="N338" s="1">
        <f>VLOOKUP(D338,HORARIOS!B:I,8,0)</f>
        <v>32</v>
      </c>
      <c r="O338" s="9">
        <f>VLOOKUP(D338,HORARIOS!B:D,3,0)</f>
        <v>0.33333333333333331</v>
      </c>
      <c r="P338" s="9" t="str">
        <f>VLOOKUP(A338,HORARIOS!A:E,5,0)</f>
        <v>12:00 hrs</v>
      </c>
    </row>
    <row r="339" spans="1:16" ht="15.75" customHeight="1" x14ac:dyDescent="0.25">
      <c r="A339" s="1" t="str">
        <f t="shared" si="5"/>
        <v>602532</v>
      </c>
      <c r="B339" s="1">
        <v>381</v>
      </c>
      <c r="C339" s="1">
        <v>13</v>
      </c>
      <c r="D339" s="1">
        <v>6025</v>
      </c>
      <c r="E339" s="1" t="s">
        <v>71</v>
      </c>
      <c r="F339" s="1" t="s">
        <v>36</v>
      </c>
      <c r="G339" s="1" t="s">
        <v>159</v>
      </c>
      <c r="H339" s="1" t="s">
        <v>160</v>
      </c>
      <c r="I339" s="1" t="s">
        <v>633</v>
      </c>
      <c r="J339" s="1" t="s">
        <v>634</v>
      </c>
      <c r="K339" s="1">
        <v>12</v>
      </c>
      <c r="M339" s="1" t="str">
        <f>VLOOKUP(D339,HORARIOS!B:H,7,0)</f>
        <v>Día 6</v>
      </c>
      <c r="N339" s="1">
        <f>VLOOKUP(D339,HORARIOS!B:I,8,0)</f>
        <v>32</v>
      </c>
      <c r="O339" s="9">
        <f>VLOOKUP(D339,HORARIOS!B:D,3,0)</f>
        <v>0.33333333333333331</v>
      </c>
      <c r="P339" s="9" t="str">
        <f>VLOOKUP(A339,HORARIOS!A:E,5,0)</f>
        <v>12:00 hrs</v>
      </c>
    </row>
    <row r="340" spans="1:16" ht="15.75" customHeight="1" x14ac:dyDescent="0.25">
      <c r="A340" s="1" t="str">
        <f t="shared" si="5"/>
        <v>602610</v>
      </c>
      <c r="B340" s="1">
        <v>382</v>
      </c>
      <c r="C340" s="1">
        <v>13</v>
      </c>
      <c r="D340" s="1">
        <v>6026</v>
      </c>
      <c r="E340" s="1" t="s">
        <v>75</v>
      </c>
      <c r="F340" s="1" t="s">
        <v>36</v>
      </c>
      <c r="G340" s="1" t="s">
        <v>37</v>
      </c>
      <c r="H340" s="1" t="s">
        <v>39</v>
      </c>
      <c r="I340" t="s">
        <v>653</v>
      </c>
      <c r="J340" t="s">
        <v>653</v>
      </c>
      <c r="K340" s="1">
        <v>12</v>
      </c>
      <c r="L340" s="1" t="s">
        <v>41</v>
      </c>
      <c r="M340" s="1" t="str">
        <f>VLOOKUP(D340,HORARIOS!B:H,7,0)</f>
        <v>Día 2</v>
      </c>
      <c r="N340" s="1">
        <f>VLOOKUP(D340,HORARIOS!B:I,8,0)</f>
        <v>10</v>
      </c>
      <c r="O340" s="9">
        <f>VLOOKUP(D340,HORARIOS!B:D,3,0)</f>
        <v>0.47916666666666669</v>
      </c>
      <c r="P340" s="9" t="str">
        <f>VLOOKUP(A340,HORARIOS!A:E,5,0)</f>
        <v>15:00 hrs</v>
      </c>
    </row>
    <row r="341" spans="1:16" ht="15.75" customHeight="1" x14ac:dyDescent="0.25">
      <c r="A341" s="1" t="str">
        <f t="shared" si="5"/>
        <v>602610</v>
      </c>
      <c r="B341" s="1">
        <v>383</v>
      </c>
      <c r="C341" s="1">
        <v>13</v>
      </c>
      <c r="D341" s="1">
        <v>6026</v>
      </c>
      <c r="E341" s="1" t="s">
        <v>75</v>
      </c>
      <c r="F341" s="1" t="s">
        <v>36</v>
      </c>
      <c r="G341" s="1" t="s">
        <v>51</v>
      </c>
      <c r="H341" s="1" t="s">
        <v>52</v>
      </c>
      <c r="I341" t="s">
        <v>654</v>
      </c>
      <c r="J341" t="s">
        <v>654</v>
      </c>
      <c r="K341" s="1">
        <v>12</v>
      </c>
      <c r="M341" s="1" t="str">
        <f>VLOOKUP(D341,HORARIOS!B:H,7,0)</f>
        <v>Día 2</v>
      </c>
      <c r="N341" s="1">
        <f>VLOOKUP(D341,HORARIOS!B:I,8,0)</f>
        <v>10</v>
      </c>
      <c r="O341" s="9">
        <f>VLOOKUP(D341,HORARIOS!B:D,3,0)</f>
        <v>0.47916666666666669</v>
      </c>
      <c r="P341" s="9" t="str">
        <f>VLOOKUP(A341,HORARIOS!A:E,5,0)</f>
        <v>15:00 hrs</v>
      </c>
    </row>
    <row r="342" spans="1:16" ht="15.75" customHeight="1" x14ac:dyDescent="0.25">
      <c r="A342" s="1" t="str">
        <f t="shared" si="5"/>
        <v>602610</v>
      </c>
      <c r="B342" s="1">
        <v>384</v>
      </c>
      <c r="C342" s="1">
        <v>13</v>
      </c>
      <c r="D342" s="1">
        <v>6026</v>
      </c>
      <c r="E342" s="1" t="s">
        <v>75</v>
      </c>
      <c r="F342" s="1" t="s">
        <v>36</v>
      </c>
      <c r="G342" s="1" t="s">
        <v>61</v>
      </c>
      <c r="H342" s="1" t="s">
        <v>62</v>
      </c>
      <c r="I342" t="s">
        <v>655</v>
      </c>
      <c r="J342" t="s">
        <v>656</v>
      </c>
      <c r="K342" s="1">
        <v>12</v>
      </c>
      <c r="L342" s="1" t="s">
        <v>64</v>
      </c>
      <c r="M342" s="1" t="str">
        <f>VLOOKUP(D342,HORARIOS!B:H,7,0)</f>
        <v>Día 2</v>
      </c>
      <c r="N342" s="1">
        <f>VLOOKUP(D342,HORARIOS!B:I,8,0)</f>
        <v>10</v>
      </c>
      <c r="O342" s="9">
        <f>VLOOKUP(D342,HORARIOS!B:D,3,0)</f>
        <v>0.47916666666666669</v>
      </c>
      <c r="P342" s="9" t="str">
        <f>VLOOKUP(A342,HORARIOS!A:E,5,0)</f>
        <v>15:00 hrs</v>
      </c>
    </row>
    <row r="343" spans="1:16" ht="15.75" customHeight="1" x14ac:dyDescent="0.25">
      <c r="A343" s="1" t="str">
        <f t="shared" si="5"/>
        <v>602610</v>
      </c>
      <c r="B343" s="1">
        <v>385</v>
      </c>
      <c r="C343" s="1">
        <v>13</v>
      </c>
      <c r="D343" s="1">
        <v>6026</v>
      </c>
      <c r="E343" s="1" t="s">
        <v>75</v>
      </c>
      <c r="F343" s="1" t="s">
        <v>36</v>
      </c>
      <c r="G343" s="1" t="s">
        <v>72</v>
      </c>
      <c r="H343" s="1" t="s">
        <v>73</v>
      </c>
      <c r="I343" t="s">
        <v>657</v>
      </c>
      <c r="J343" t="s">
        <v>657</v>
      </c>
      <c r="K343" s="1">
        <v>12</v>
      </c>
      <c r="M343" s="1" t="str">
        <f>VLOOKUP(D343,HORARIOS!B:H,7,0)</f>
        <v>Día 2</v>
      </c>
      <c r="N343" s="1">
        <f>VLOOKUP(D343,HORARIOS!B:I,8,0)</f>
        <v>10</v>
      </c>
      <c r="O343" s="9">
        <f>VLOOKUP(D343,HORARIOS!B:D,3,0)</f>
        <v>0.47916666666666669</v>
      </c>
      <c r="P343" s="9" t="str">
        <f>VLOOKUP(A343,HORARIOS!A:E,5,0)</f>
        <v>15:00 hrs</v>
      </c>
    </row>
    <row r="344" spans="1:16" ht="15.75" customHeight="1" x14ac:dyDescent="0.25">
      <c r="A344" s="1" t="str">
        <f t="shared" si="5"/>
        <v>602610</v>
      </c>
      <c r="B344" s="1">
        <v>386</v>
      </c>
      <c r="C344" s="1">
        <v>13</v>
      </c>
      <c r="D344" s="1">
        <v>6026</v>
      </c>
      <c r="E344" s="1" t="s">
        <v>75</v>
      </c>
      <c r="F344" s="1" t="s">
        <v>36</v>
      </c>
      <c r="G344" s="1" t="s">
        <v>88</v>
      </c>
      <c r="H344" s="1" t="s">
        <v>90</v>
      </c>
      <c r="I344" t="s">
        <v>658</v>
      </c>
      <c r="J344" t="s">
        <v>658</v>
      </c>
      <c r="K344" s="1">
        <v>12</v>
      </c>
      <c r="M344" s="1" t="str">
        <f>VLOOKUP(D344,HORARIOS!B:H,7,0)</f>
        <v>Día 2</v>
      </c>
      <c r="N344" s="1">
        <f>VLOOKUP(D344,HORARIOS!B:I,8,0)</f>
        <v>10</v>
      </c>
      <c r="O344" s="9">
        <f>VLOOKUP(D344,HORARIOS!B:D,3,0)</f>
        <v>0.47916666666666669</v>
      </c>
      <c r="P344" s="9" t="str">
        <f>VLOOKUP(A344,HORARIOS!A:E,5,0)</f>
        <v>15:00 hrs</v>
      </c>
    </row>
    <row r="345" spans="1:16" ht="15.75" customHeight="1" x14ac:dyDescent="0.25">
      <c r="A345" s="1" t="str">
        <f t="shared" si="5"/>
        <v>602610</v>
      </c>
      <c r="B345" s="1">
        <v>388</v>
      </c>
      <c r="C345" s="1">
        <v>13</v>
      </c>
      <c r="D345" s="1">
        <v>6026</v>
      </c>
      <c r="E345" s="1" t="s">
        <v>75</v>
      </c>
      <c r="F345" s="1" t="s">
        <v>36</v>
      </c>
      <c r="G345" s="1" t="s">
        <v>96</v>
      </c>
      <c r="H345" s="1" t="s">
        <v>62</v>
      </c>
      <c r="I345" t="s">
        <v>659</v>
      </c>
      <c r="J345" t="s">
        <v>660</v>
      </c>
      <c r="K345" s="1">
        <v>12</v>
      </c>
      <c r="M345" s="1" t="str">
        <f>VLOOKUP(D345,HORARIOS!B:H,7,0)</f>
        <v>Día 2</v>
      </c>
      <c r="N345" s="1">
        <f>VLOOKUP(D345,HORARIOS!B:I,8,0)</f>
        <v>10</v>
      </c>
      <c r="O345" s="9">
        <f>VLOOKUP(D345,HORARIOS!B:D,3,0)</f>
        <v>0.47916666666666669</v>
      </c>
      <c r="P345" s="9" t="str">
        <f>VLOOKUP(A345,HORARIOS!A:E,5,0)</f>
        <v>15:00 hrs</v>
      </c>
    </row>
    <row r="346" spans="1:16" ht="15.75" customHeight="1" x14ac:dyDescent="0.25">
      <c r="A346" s="1" t="str">
        <f t="shared" si="5"/>
        <v>602610</v>
      </c>
      <c r="B346" s="1">
        <v>389</v>
      </c>
      <c r="C346" s="1">
        <v>13</v>
      </c>
      <c r="D346" s="1">
        <v>6026</v>
      </c>
      <c r="E346" s="1" t="s">
        <v>75</v>
      </c>
      <c r="F346" s="1" t="s">
        <v>36</v>
      </c>
      <c r="G346" s="1" t="s">
        <v>98</v>
      </c>
      <c r="H346" s="1" t="s">
        <v>563</v>
      </c>
      <c r="I346" t="s">
        <v>661</v>
      </c>
      <c r="J346" t="s">
        <v>662</v>
      </c>
      <c r="K346" s="1">
        <v>12</v>
      </c>
      <c r="L346" s="1" t="s">
        <v>101</v>
      </c>
      <c r="M346" s="1" t="str">
        <f>VLOOKUP(D346,HORARIOS!B:H,7,0)</f>
        <v>Día 2</v>
      </c>
      <c r="N346" s="1">
        <f>VLOOKUP(D346,HORARIOS!B:I,8,0)</f>
        <v>10</v>
      </c>
      <c r="O346" s="9">
        <f>VLOOKUP(D346,HORARIOS!B:D,3,0)</f>
        <v>0.47916666666666669</v>
      </c>
      <c r="P346" s="9" t="str">
        <f>VLOOKUP(A346,HORARIOS!A:E,5,0)</f>
        <v>15:00 hrs</v>
      </c>
    </row>
    <row r="347" spans="1:16" ht="15.75" customHeight="1" x14ac:dyDescent="0.25">
      <c r="A347" s="1" t="str">
        <f t="shared" si="5"/>
        <v>602610</v>
      </c>
      <c r="B347" s="1">
        <v>390</v>
      </c>
      <c r="C347" s="1">
        <v>13</v>
      </c>
      <c r="D347" s="1">
        <v>6026</v>
      </c>
      <c r="E347" s="1" t="s">
        <v>75</v>
      </c>
      <c r="F347" s="1" t="s">
        <v>36</v>
      </c>
      <c r="G347" s="1" t="s">
        <v>98</v>
      </c>
      <c r="H347" s="1" t="s">
        <v>352</v>
      </c>
      <c r="I347" t="s">
        <v>663</v>
      </c>
      <c r="J347" t="s">
        <v>664</v>
      </c>
      <c r="K347" s="1">
        <v>12</v>
      </c>
      <c r="L347" s="1" t="s">
        <v>101</v>
      </c>
      <c r="M347" s="1" t="str">
        <f>VLOOKUP(D347,HORARIOS!B:H,7,0)</f>
        <v>Día 2</v>
      </c>
      <c r="N347" s="1">
        <f>VLOOKUP(D347,HORARIOS!B:I,8,0)</f>
        <v>10</v>
      </c>
      <c r="O347" s="9">
        <f>VLOOKUP(D347,HORARIOS!B:D,3,0)</f>
        <v>0.47916666666666669</v>
      </c>
      <c r="P347" s="9" t="str">
        <f>VLOOKUP(A347,HORARIOS!A:E,5,0)</f>
        <v>15:00 hrs</v>
      </c>
    </row>
    <row r="348" spans="1:16" ht="15.75" customHeight="1" x14ac:dyDescent="0.25">
      <c r="A348" s="1" t="str">
        <f t="shared" si="5"/>
        <v>602610</v>
      </c>
      <c r="B348" s="1">
        <v>391</v>
      </c>
      <c r="C348" s="1">
        <v>13</v>
      </c>
      <c r="D348" s="1">
        <v>6026</v>
      </c>
      <c r="E348" s="1" t="s">
        <v>75</v>
      </c>
      <c r="F348" s="1" t="s">
        <v>36</v>
      </c>
      <c r="G348" s="1" t="s">
        <v>98</v>
      </c>
      <c r="H348" s="1" t="s">
        <v>665</v>
      </c>
      <c r="I348" t="s">
        <v>666</v>
      </c>
      <c r="J348" t="s">
        <v>667</v>
      </c>
      <c r="K348" s="1">
        <v>12</v>
      </c>
      <c r="L348" s="1" t="s">
        <v>101</v>
      </c>
      <c r="M348" s="1" t="str">
        <f>VLOOKUP(D348,HORARIOS!B:H,7,0)</f>
        <v>Día 2</v>
      </c>
      <c r="N348" s="1">
        <f>VLOOKUP(D348,HORARIOS!B:I,8,0)</f>
        <v>10</v>
      </c>
      <c r="O348" s="9">
        <f>VLOOKUP(D348,HORARIOS!B:D,3,0)</f>
        <v>0.47916666666666669</v>
      </c>
      <c r="P348" s="9" t="str">
        <f>VLOOKUP(A348,HORARIOS!A:E,5,0)</f>
        <v>15:00 hrs</v>
      </c>
    </row>
    <row r="349" spans="1:16" ht="15.75" customHeight="1" x14ac:dyDescent="0.25">
      <c r="A349" s="1" t="str">
        <f t="shared" si="5"/>
        <v>602610</v>
      </c>
      <c r="B349" s="1">
        <v>392</v>
      </c>
      <c r="C349" s="1">
        <v>13</v>
      </c>
      <c r="D349" s="1">
        <v>6026</v>
      </c>
      <c r="E349" s="1" t="s">
        <v>75</v>
      </c>
      <c r="F349" s="1" t="s">
        <v>36</v>
      </c>
      <c r="G349" s="1" t="s">
        <v>114</v>
      </c>
      <c r="H349" s="1" t="s">
        <v>39</v>
      </c>
      <c r="I349" t="s">
        <v>52</v>
      </c>
      <c r="J349" t="s">
        <v>52</v>
      </c>
      <c r="K349" s="1">
        <v>2</v>
      </c>
      <c r="L349" s="1" t="s">
        <v>115</v>
      </c>
      <c r="M349" s="1" t="str">
        <f>VLOOKUP(D349,HORARIOS!B:H,7,0)</f>
        <v>Día 2</v>
      </c>
      <c r="N349" s="1">
        <f>VLOOKUP(D349,HORARIOS!B:I,8,0)</f>
        <v>10</v>
      </c>
      <c r="O349" s="9">
        <f>VLOOKUP(D349,HORARIOS!B:D,3,0)</f>
        <v>0.47916666666666669</v>
      </c>
      <c r="P349" s="9" t="str">
        <f>VLOOKUP(A349,HORARIOS!A:E,5,0)</f>
        <v>15:00 hrs</v>
      </c>
    </row>
    <row r="350" spans="1:16" ht="15.75" customHeight="1" x14ac:dyDescent="0.25">
      <c r="A350" s="1" t="str">
        <f t="shared" si="5"/>
        <v>602610</v>
      </c>
      <c r="B350" s="1">
        <v>393</v>
      </c>
      <c r="C350" s="1">
        <v>13</v>
      </c>
      <c r="D350" s="1">
        <v>6026</v>
      </c>
      <c r="E350" s="1" t="s">
        <v>75</v>
      </c>
      <c r="F350" s="1" t="s">
        <v>36</v>
      </c>
      <c r="G350" s="1" t="s">
        <v>134</v>
      </c>
      <c r="H350" s="1" t="s">
        <v>135</v>
      </c>
      <c r="I350" t="s">
        <v>668</v>
      </c>
      <c r="J350" t="s">
        <v>669</v>
      </c>
      <c r="K350" s="1">
        <v>12</v>
      </c>
      <c r="L350" s="1" t="s">
        <v>138</v>
      </c>
      <c r="M350" s="1" t="str">
        <f>VLOOKUP(D350,HORARIOS!B:H,7,0)</f>
        <v>Día 2</v>
      </c>
      <c r="N350" s="1">
        <f>VLOOKUP(D350,HORARIOS!B:I,8,0)</f>
        <v>10</v>
      </c>
      <c r="O350" s="9">
        <f>VLOOKUP(D350,HORARIOS!B:D,3,0)</f>
        <v>0.47916666666666669</v>
      </c>
      <c r="P350" s="9" t="str">
        <f>VLOOKUP(A350,HORARIOS!A:E,5,0)</f>
        <v>15:00 hrs</v>
      </c>
    </row>
    <row r="351" spans="1:16" ht="15.75" customHeight="1" x14ac:dyDescent="0.25">
      <c r="A351" s="1" t="str">
        <f t="shared" si="5"/>
        <v>602610</v>
      </c>
      <c r="B351" s="1">
        <v>394</v>
      </c>
      <c r="C351" s="1">
        <v>13</v>
      </c>
      <c r="D351" s="1">
        <v>6026</v>
      </c>
      <c r="E351" s="1" t="s">
        <v>75</v>
      </c>
      <c r="F351" s="1" t="s">
        <v>36</v>
      </c>
      <c r="G351" s="1" t="s">
        <v>145</v>
      </c>
      <c r="H351" s="1" t="s">
        <v>52</v>
      </c>
      <c r="I351" t="s">
        <v>670</v>
      </c>
      <c r="J351" t="s">
        <v>671</v>
      </c>
      <c r="K351" s="1">
        <v>12</v>
      </c>
      <c r="M351" s="1" t="str">
        <f>VLOOKUP(D351,HORARIOS!B:H,7,0)</f>
        <v>Día 2</v>
      </c>
      <c r="N351" s="1">
        <f>VLOOKUP(D351,HORARIOS!B:I,8,0)</f>
        <v>10</v>
      </c>
      <c r="O351" s="9">
        <f>VLOOKUP(D351,HORARIOS!B:D,3,0)</f>
        <v>0.47916666666666669</v>
      </c>
      <c r="P351" s="9" t="str">
        <f>VLOOKUP(A351,HORARIOS!A:E,5,0)</f>
        <v>15:00 hrs</v>
      </c>
    </row>
    <row r="352" spans="1:16" ht="15.75" customHeight="1" x14ac:dyDescent="0.25">
      <c r="A352" s="1" t="str">
        <f t="shared" si="5"/>
        <v>602610</v>
      </c>
      <c r="B352" s="1">
        <v>396</v>
      </c>
      <c r="C352" s="1">
        <v>13</v>
      </c>
      <c r="D352" s="1">
        <v>6026</v>
      </c>
      <c r="E352" s="1" t="s">
        <v>75</v>
      </c>
      <c r="F352" s="1" t="s">
        <v>36</v>
      </c>
      <c r="G352" s="1" t="s">
        <v>159</v>
      </c>
      <c r="H352" s="1" t="s">
        <v>160</v>
      </c>
      <c r="I352" t="s">
        <v>672</v>
      </c>
      <c r="J352" t="s">
        <v>673</v>
      </c>
      <c r="K352" s="1">
        <v>12</v>
      </c>
      <c r="M352" s="1" t="str">
        <f>VLOOKUP(D352,HORARIOS!B:H,7,0)</f>
        <v>Día 2</v>
      </c>
      <c r="N352" s="1">
        <f>VLOOKUP(D352,HORARIOS!B:I,8,0)</f>
        <v>10</v>
      </c>
      <c r="O352" s="9">
        <f>VLOOKUP(D352,HORARIOS!B:D,3,0)</f>
        <v>0.47916666666666669</v>
      </c>
      <c r="P352" s="9" t="str">
        <f>VLOOKUP(A352,HORARIOS!A:E,5,0)</f>
        <v>15:00 hrs</v>
      </c>
    </row>
    <row r="353" spans="1:16" ht="15.75" customHeight="1" x14ac:dyDescent="0.25">
      <c r="A353" s="1" t="str">
        <f t="shared" si="5"/>
        <v>602726</v>
      </c>
      <c r="B353" s="1">
        <v>397</v>
      </c>
      <c r="C353" s="1">
        <v>13</v>
      </c>
      <c r="D353" s="1">
        <v>6027</v>
      </c>
      <c r="E353" s="1" t="s">
        <v>77</v>
      </c>
      <c r="F353" s="1" t="s">
        <v>36</v>
      </c>
      <c r="G353" s="1" t="s">
        <v>37</v>
      </c>
      <c r="H353" s="1" t="s">
        <v>39</v>
      </c>
      <c r="I353" t="s">
        <v>674</v>
      </c>
      <c r="J353" t="s">
        <v>675</v>
      </c>
      <c r="K353" s="1">
        <v>12</v>
      </c>
      <c r="L353" s="1" t="s">
        <v>41</v>
      </c>
      <c r="M353" s="1" t="str">
        <f>VLOOKUP(D353,HORARIOS!B:H,7,0)</f>
        <v>Dia 5</v>
      </c>
      <c r="N353" s="1">
        <f>VLOOKUP(D353,HORARIOS!B:I,8,0)</f>
        <v>26</v>
      </c>
      <c r="O353" s="9">
        <f>VLOOKUP(D353,HORARIOS!B:D,3,0)</f>
        <v>0.375</v>
      </c>
      <c r="P353" s="9" t="str">
        <f>VLOOKUP(A353,HORARIOS!A:E,5,0)</f>
        <v>13:00 hrs</v>
      </c>
    </row>
    <row r="354" spans="1:16" ht="15.75" customHeight="1" x14ac:dyDescent="0.25">
      <c r="A354" s="1" t="str">
        <f t="shared" si="5"/>
        <v>602726</v>
      </c>
      <c r="B354" s="1">
        <v>398</v>
      </c>
      <c r="C354" s="1">
        <v>13</v>
      </c>
      <c r="D354" s="1">
        <v>6027</v>
      </c>
      <c r="E354" s="1" t="s">
        <v>77</v>
      </c>
      <c r="F354" s="1" t="s">
        <v>36</v>
      </c>
      <c r="G354" s="1" t="s">
        <v>51</v>
      </c>
      <c r="H354" s="1" t="s">
        <v>52</v>
      </c>
      <c r="I354" t="s">
        <v>676</v>
      </c>
      <c r="J354" t="s">
        <v>677</v>
      </c>
      <c r="K354" s="1">
        <v>12</v>
      </c>
      <c r="M354" s="1" t="str">
        <f>VLOOKUP(D354,HORARIOS!B:H,7,0)</f>
        <v>Dia 5</v>
      </c>
      <c r="N354" s="1">
        <f>VLOOKUP(D354,HORARIOS!B:I,8,0)</f>
        <v>26</v>
      </c>
      <c r="O354" s="9">
        <f>VLOOKUP(D354,HORARIOS!B:D,3,0)</f>
        <v>0.375</v>
      </c>
      <c r="P354" s="9" t="str">
        <f>VLOOKUP(A354,HORARIOS!A:E,5,0)</f>
        <v>13:00 hrs</v>
      </c>
    </row>
    <row r="355" spans="1:16" ht="15.75" customHeight="1" x14ac:dyDescent="0.25">
      <c r="A355" s="1" t="str">
        <f t="shared" si="5"/>
        <v>602726</v>
      </c>
      <c r="B355" s="1">
        <v>399</v>
      </c>
      <c r="C355" s="1">
        <v>13</v>
      </c>
      <c r="D355" s="1">
        <v>6027</v>
      </c>
      <c r="E355" s="1" t="s">
        <v>77</v>
      </c>
      <c r="F355" s="1" t="s">
        <v>36</v>
      </c>
      <c r="G355" s="1" t="s">
        <v>61</v>
      </c>
      <c r="H355" s="1" t="s">
        <v>62</v>
      </c>
      <c r="I355" t="s">
        <v>678</v>
      </c>
      <c r="J355" t="s">
        <v>678</v>
      </c>
      <c r="K355" s="1">
        <v>12</v>
      </c>
      <c r="L355" s="1" t="s">
        <v>64</v>
      </c>
      <c r="M355" s="1" t="str">
        <f>VLOOKUP(D355,HORARIOS!B:H,7,0)</f>
        <v>Dia 5</v>
      </c>
      <c r="N355" s="1">
        <f>VLOOKUP(D355,HORARIOS!B:I,8,0)</f>
        <v>26</v>
      </c>
      <c r="O355" s="9">
        <f>VLOOKUP(D355,HORARIOS!B:D,3,0)</f>
        <v>0.375</v>
      </c>
      <c r="P355" s="9" t="str">
        <f>VLOOKUP(A355,HORARIOS!A:E,5,0)</f>
        <v>13:00 hrs</v>
      </c>
    </row>
    <row r="356" spans="1:16" ht="15.75" customHeight="1" x14ac:dyDescent="0.25">
      <c r="A356" s="1" t="str">
        <f t="shared" si="5"/>
        <v>602726</v>
      </c>
      <c r="B356" s="1">
        <v>400</v>
      </c>
      <c r="C356" s="1">
        <v>13</v>
      </c>
      <c r="D356" s="1">
        <v>6027</v>
      </c>
      <c r="E356" s="1" t="s">
        <v>77</v>
      </c>
      <c r="F356" s="1" t="s">
        <v>36</v>
      </c>
      <c r="G356" s="1" t="s">
        <v>72</v>
      </c>
      <c r="H356" s="1" t="s">
        <v>73</v>
      </c>
      <c r="I356" t="s">
        <v>679</v>
      </c>
      <c r="J356" t="s">
        <v>680</v>
      </c>
      <c r="K356" s="1">
        <v>12</v>
      </c>
      <c r="M356" s="1" t="str">
        <f>VLOOKUP(D356,HORARIOS!B:H,7,0)</f>
        <v>Dia 5</v>
      </c>
      <c r="N356" s="1">
        <f>VLOOKUP(D356,HORARIOS!B:I,8,0)</f>
        <v>26</v>
      </c>
      <c r="O356" s="9">
        <f>VLOOKUP(D356,HORARIOS!B:D,3,0)</f>
        <v>0.375</v>
      </c>
      <c r="P356" s="9" t="str">
        <f>VLOOKUP(A356,HORARIOS!A:E,5,0)</f>
        <v>13:00 hrs</v>
      </c>
    </row>
    <row r="357" spans="1:16" ht="15.75" customHeight="1" x14ac:dyDescent="0.25">
      <c r="A357" s="1" t="str">
        <f t="shared" si="5"/>
        <v>602726</v>
      </c>
      <c r="B357" s="1">
        <v>401</v>
      </c>
      <c r="C357" s="1">
        <v>13</v>
      </c>
      <c r="D357" s="1">
        <v>6027</v>
      </c>
      <c r="E357" s="1" t="s">
        <v>77</v>
      </c>
      <c r="F357" s="1" t="s">
        <v>36</v>
      </c>
      <c r="G357" s="1" t="s">
        <v>88</v>
      </c>
      <c r="H357" s="1" t="s">
        <v>90</v>
      </c>
      <c r="I357" t="s">
        <v>681</v>
      </c>
      <c r="J357" t="s">
        <v>682</v>
      </c>
      <c r="K357" s="1">
        <v>12</v>
      </c>
      <c r="M357" s="1" t="str">
        <f>VLOOKUP(D357,HORARIOS!B:H,7,0)</f>
        <v>Dia 5</v>
      </c>
      <c r="N357" s="1">
        <f>VLOOKUP(D357,HORARIOS!B:I,8,0)</f>
        <v>26</v>
      </c>
      <c r="O357" s="9">
        <f>VLOOKUP(D357,HORARIOS!B:D,3,0)</f>
        <v>0.375</v>
      </c>
      <c r="P357" s="9" t="str">
        <f>VLOOKUP(A357,HORARIOS!A:E,5,0)</f>
        <v>13:00 hrs</v>
      </c>
    </row>
    <row r="358" spans="1:16" ht="15.75" customHeight="1" x14ac:dyDescent="0.25">
      <c r="A358" s="1" t="str">
        <f t="shared" si="5"/>
        <v>602726</v>
      </c>
      <c r="B358" s="1">
        <v>402</v>
      </c>
      <c r="C358" s="1">
        <v>13</v>
      </c>
      <c r="D358" s="1">
        <v>6027</v>
      </c>
      <c r="E358" s="1" t="s">
        <v>77</v>
      </c>
      <c r="F358" s="1" t="s">
        <v>36</v>
      </c>
      <c r="G358" s="1" t="s">
        <v>96</v>
      </c>
      <c r="H358" s="1" t="s">
        <v>62</v>
      </c>
      <c r="I358" t="s">
        <v>683</v>
      </c>
      <c r="J358" t="s">
        <v>683</v>
      </c>
      <c r="K358" s="1">
        <v>12</v>
      </c>
      <c r="M358" s="1" t="str">
        <f>VLOOKUP(D358,HORARIOS!B:H,7,0)</f>
        <v>Dia 5</v>
      </c>
      <c r="N358" s="1">
        <f>VLOOKUP(D358,HORARIOS!B:I,8,0)</f>
        <v>26</v>
      </c>
      <c r="O358" s="9">
        <f>VLOOKUP(D358,HORARIOS!B:D,3,0)</f>
        <v>0.375</v>
      </c>
      <c r="P358" s="9" t="str">
        <f>VLOOKUP(A358,HORARIOS!A:E,5,0)</f>
        <v>13:00 hrs</v>
      </c>
    </row>
    <row r="359" spans="1:16" ht="15.75" customHeight="1" x14ac:dyDescent="0.25">
      <c r="A359" s="1" t="str">
        <f t="shared" si="5"/>
        <v>602726</v>
      </c>
      <c r="B359" s="1">
        <v>404</v>
      </c>
      <c r="C359" s="1">
        <v>13</v>
      </c>
      <c r="D359" s="1">
        <v>6027</v>
      </c>
      <c r="E359" s="1" t="s">
        <v>77</v>
      </c>
      <c r="F359" s="1" t="s">
        <v>36</v>
      </c>
      <c r="G359" s="1" t="s">
        <v>98</v>
      </c>
      <c r="H359" s="1" t="s">
        <v>99</v>
      </c>
      <c r="I359" t="s">
        <v>52</v>
      </c>
      <c r="J359" t="s">
        <v>52</v>
      </c>
      <c r="K359" s="1">
        <v>2</v>
      </c>
      <c r="L359" s="1" t="s">
        <v>101</v>
      </c>
      <c r="M359" s="1" t="str">
        <f>VLOOKUP(D359,HORARIOS!B:H,7,0)</f>
        <v>Dia 5</v>
      </c>
      <c r="N359" s="1">
        <f>VLOOKUP(D359,HORARIOS!B:I,8,0)</f>
        <v>26</v>
      </c>
      <c r="O359" s="9">
        <f>VLOOKUP(D359,HORARIOS!B:D,3,0)</f>
        <v>0.375</v>
      </c>
      <c r="P359" s="9" t="str">
        <f>VLOOKUP(A359,HORARIOS!A:E,5,0)</f>
        <v>13:00 hrs</v>
      </c>
    </row>
    <row r="360" spans="1:16" ht="15.75" customHeight="1" x14ac:dyDescent="0.25">
      <c r="A360" s="1" t="str">
        <f t="shared" si="5"/>
        <v>602726</v>
      </c>
      <c r="B360" s="1">
        <v>405</v>
      </c>
      <c r="C360" s="1">
        <v>13</v>
      </c>
      <c r="D360" s="1">
        <v>6027</v>
      </c>
      <c r="E360" s="1" t="s">
        <v>77</v>
      </c>
      <c r="F360" s="1" t="s">
        <v>36</v>
      </c>
      <c r="G360" s="1" t="s">
        <v>98</v>
      </c>
      <c r="H360" s="1" t="s">
        <v>99</v>
      </c>
      <c r="I360" t="s">
        <v>52</v>
      </c>
      <c r="J360" t="s">
        <v>52</v>
      </c>
      <c r="K360" s="1">
        <v>2</v>
      </c>
      <c r="L360" s="1" t="s">
        <v>101</v>
      </c>
      <c r="M360" s="1" t="str">
        <f>VLOOKUP(D360,HORARIOS!B:H,7,0)</f>
        <v>Dia 5</v>
      </c>
      <c r="N360" s="1">
        <f>VLOOKUP(D360,HORARIOS!B:I,8,0)</f>
        <v>26</v>
      </c>
      <c r="O360" s="9">
        <f>VLOOKUP(D360,HORARIOS!B:D,3,0)</f>
        <v>0.375</v>
      </c>
      <c r="P360" s="9" t="str">
        <f>VLOOKUP(A360,HORARIOS!A:E,5,0)</f>
        <v>13:00 hrs</v>
      </c>
    </row>
    <row r="361" spans="1:16" ht="15.75" customHeight="1" x14ac:dyDescent="0.25">
      <c r="A361" s="1" t="str">
        <f t="shared" si="5"/>
        <v>602726</v>
      </c>
      <c r="B361" s="1">
        <v>406</v>
      </c>
      <c r="C361" s="1">
        <v>13</v>
      </c>
      <c r="D361" s="1">
        <v>6027</v>
      </c>
      <c r="E361" s="1" t="s">
        <v>77</v>
      </c>
      <c r="F361" s="1" t="s">
        <v>36</v>
      </c>
      <c r="G361" s="1" t="s">
        <v>98</v>
      </c>
      <c r="H361" s="1" t="s">
        <v>352</v>
      </c>
      <c r="I361" t="s">
        <v>52</v>
      </c>
      <c r="J361" t="s">
        <v>52</v>
      </c>
      <c r="K361" s="1">
        <v>2</v>
      </c>
      <c r="L361" s="1" t="s">
        <v>101</v>
      </c>
      <c r="M361" s="1" t="str">
        <f>VLOOKUP(D361,HORARIOS!B:H,7,0)</f>
        <v>Dia 5</v>
      </c>
      <c r="N361" s="1">
        <f>VLOOKUP(D361,HORARIOS!B:I,8,0)</f>
        <v>26</v>
      </c>
      <c r="O361" s="9">
        <f>VLOOKUP(D361,HORARIOS!B:D,3,0)</f>
        <v>0.375</v>
      </c>
      <c r="P361" s="9" t="str">
        <f>VLOOKUP(A361,HORARIOS!A:E,5,0)</f>
        <v>13:00 hrs</v>
      </c>
    </row>
    <row r="362" spans="1:16" ht="15.75" customHeight="1" x14ac:dyDescent="0.25">
      <c r="A362" s="1" t="str">
        <f t="shared" si="5"/>
        <v>602726</v>
      </c>
      <c r="B362" s="1">
        <v>407</v>
      </c>
      <c r="C362" s="1">
        <v>13</v>
      </c>
      <c r="D362" s="1">
        <v>6027</v>
      </c>
      <c r="E362" s="1" t="s">
        <v>77</v>
      </c>
      <c r="F362" s="1" t="s">
        <v>36</v>
      </c>
      <c r="G362" s="1" t="s">
        <v>114</v>
      </c>
      <c r="H362" s="1" t="s">
        <v>39</v>
      </c>
      <c r="I362" t="s">
        <v>52</v>
      </c>
      <c r="J362" t="s">
        <v>52</v>
      </c>
      <c r="K362" s="1">
        <v>2</v>
      </c>
      <c r="L362" s="1" t="s">
        <v>115</v>
      </c>
      <c r="M362" s="1" t="str">
        <f>VLOOKUP(D362,HORARIOS!B:H,7,0)</f>
        <v>Dia 5</v>
      </c>
      <c r="N362" s="1">
        <f>VLOOKUP(D362,HORARIOS!B:I,8,0)</f>
        <v>26</v>
      </c>
      <c r="O362" s="9">
        <f>VLOOKUP(D362,HORARIOS!B:D,3,0)</f>
        <v>0.375</v>
      </c>
      <c r="P362" s="9" t="str">
        <f>VLOOKUP(A362,HORARIOS!A:E,5,0)</f>
        <v>13:00 hrs</v>
      </c>
    </row>
    <row r="363" spans="1:16" ht="15.75" customHeight="1" x14ac:dyDescent="0.25">
      <c r="A363" s="1" t="str">
        <f t="shared" si="5"/>
        <v>602726</v>
      </c>
      <c r="B363" s="1">
        <v>408</v>
      </c>
      <c r="C363" s="1">
        <v>13</v>
      </c>
      <c r="D363" s="1">
        <v>6027</v>
      </c>
      <c r="E363" s="1" t="s">
        <v>77</v>
      </c>
      <c r="F363" s="1" t="s">
        <v>36</v>
      </c>
      <c r="G363" s="1" t="s">
        <v>134</v>
      </c>
      <c r="H363" s="1" t="s">
        <v>135</v>
      </c>
      <c r="I363" t="s">
        <v>684</v>
      </c>
      <c r="J363" t="s">
        <v>685</v>
      </c>
      <c r="K363" s="1">
        <v>12</v>
      </c>
      <c r="L363" s="1" t="s">
        <v>223</v>
      </c>
      <c r="M363" s="1" t="str">
        <f>VLOOKUP(D363,HORARIOS!B:H,7,0)</f>
        <v>Dia 5</v>
      </c>
      <c r="N363" s="1">
        <f>VLOOKUP(D363,HORARIOS!B:I,8,0)</f>
        <v>26</v>
      </c>
      <c r="O363" s="9">
        <f>VLOOKUP(D363,HORARIOS!B:D,3,0)</f>
        <v>0.375</v>
      </c>
      <c r="P363" s="9" t="str">
        <f>VLOOKUP(A363,HORARIOS!A:E,5,0)</f>
        <v>13:00 hrs</v>
      </c>
    </row>
    <row r="364" spans="1:16" ht="15.75" customHeight="1" x14ac:dyDescent="0.25">
      <c r="A364" s="1" t="str">
        <f t="shared" si="5"/>
        <v>602726</v>
      </c>
      <c r="B364" s="1">
        <v>409</v>
      </c>
      <c r="C364" s="1">
        <v>13</v>
      </c>
      <c r="D364" s="1">
        <v>6027</v>
      </c>
      <c r="E364" s="1" t="s">
        <v>77</v>
      </c>
      <c r="F364" s="1" t="s">
        <v>36</v>
      </c>
      <c r="G364" s="1" t="s">
        <v>145</v>
      </c>
      <c r="H364" s="1" t="s">
        <v>52</v>
      </c>
      <c r="I364" t="s">
        <v>686</v>
      </c>
      <c r="J364" t="s">
        <v>687</v>
      </c>
      <c r="K364" s="1">
        <v>12</v>
      </c>
      <c r="M364" s="1" t="str">
        <f>VLOOKUP(D364,HORARIOS!B:H,7,0)</f>
        <v>Dia 5</v>
      </c>
      <c r="N364" s="1">
        <f>VLOOKUP(D364,HORARIOS!B:I,8,0)</f>
        <v>26</v>
      </c>
      <c r="O364" s="9">
        <f>VLOOKUP(D364,HORARIOS!B:D,3,0)</f>
        <v>0.375</v>
      </c>
      <c r="P364" s="9" t="str">
        <f>VLOOKUP(A364,HORARIOS!A:E,5,0)</f>
        <v>13:00 hrs</v>
      </c>
    </row>
    <row r="365" spans="1:16" ht="15.75" customHeight="1" x14ac:dyDescent="0.25">
      <c r="A365" s="1" t="str">
        <f t="shared" si="5"/>
        <v>602726</v>
      </c>
      <c r="B365" s="1">
        <v>410</v>
      </c>
      <c r="C365" s="1">
        <v>13</v>
      </c>
      <c r="D365" s="1">
        <v>6027</v>
      </c>
      <c r="E365" s="1" t="s">
        <v>77</v>
      </c>
      <c r="F365" s="1" t="s">
        <v>36</v>
      </c>
      <c r="G365" s="1" t="s">
        <v>159</v>
      </c>
      <c r="H365" s="1" t="s">
        <v>160</v>
      </c>
      <c r="I365" t="s">
        <v>688</v>
      </c>
      <c r="J365" t="s">
        <v>689</v>
      </c>
      <c r="K365" s="1">
        <v>12</v>
      </c>
      <c r="M365" s="1" t="str">
        <f>VLOOKUP(D365,HORARIOS!B:H,7,0)</f>
        <v>Dia 5</v>
      </c>
      <c r="N365" s="1">
        <f>VLOOKUP(D365,HORARIOS!B:I,8,0)</f>
        <v>26</v>
      </c>
      <c r="O365" s="9">
        <f>VLOOKUP(D365,HORARIOS!B:D,3,0)</f>
        <v>0.375</v>
      </c>
      <c r="P365" s="9" t="str">
        <f>VLOOKUP(A365,HORARIOS!A:E,5,0)</f>
        <v>13:00 hrs</v>
      </c>
    </row>
    <row r="366" spans="1:16" ht="15.75" customHeight="1" x14ac:dyDescent="0.25">
      <c r="A366" s="1" t="str">
        <f t="shared" si="5"/>
        <v>60281</v>
      </c>
      <c r="B366" s="1">
        <v>412</v>
      </c>
      <c r="C366" s="1">
        <v>12</v>
      </c>
      <c r="D366" s="1">
        <v>6028</v>
      </c>
      <c r="E366" s="1" t="s">
        <v>78</v>
      </c>
      <c r="F366" s="1" t="s">
        <v>36</v>
      </c>
      <c r="G366" s="1" t="s">
        <v>37</v>
      </c>
      <c r="H366" s="1" t="s">
        <v>39</v>
      </c>
      <c r="I366" t="s">
        <v>690</v>
      </c>
      <c r="J366" t="s">
        <v>691</v>
      </c>
      <c r="K366" s="1">
        <v>12</v>
      </c>
      <c r="L366" s="1" t="s">
        <v>41</v>
      </c>
      <c r="M366" s="1" t="str">
        <f>VLOOKUP(D366,HORARIOS!B:H,7,0)</f>
        <v>Día 1</v>
      </c>
      <c r="N366" s="1">
        <f>VLOOKUP(D366,HORARIOS!B:I,8,0)</f>
        <v>1</v>
      </c>
      <c r="O366" s="9">
        <f>VLOOKUP(D366,HORARIOS!B:D,3,0)</f>
        <v>0.33333333333333331</v>
      </c>
      <c r="P366" s="9" t="str">
        <f>VLOOKUP(A366,HORARIOS!A:E,5,0)</f>
        <v>13:00 hrs</v>
      </c>
    </row>
    <row r="367" spans="1:16" ht="15.75" customHeight="1" x14ac:dyDescent="0.25">
      <c r="A367" s="1" t="str">
        <f t="shared" si="5"/>
        <v>60281</v>
      </c>
      <c r="B367" s="1">
        <v>413</v>
      </c>
      <c r="C367" s="1">
        <v>12</v>
      </c>
      <c r="D367" s="1">
        <v>6028</v>
      </c>
      <c r="E367" s="1" t="s">
        <v>78</v>
      </c>
      <c r="F367" s="1" t="s">
        <v>36</v>
      </c>
      <c r="G367" s="1" t="s">
        <v>51</v>
      </c>
      <c r="H367" s="1" t="s">
        <v>52</v>
      </c>
      <c r="I367" t="s">
        <v>692</v>
      </c>
      <c r="J367" t="s">
        <v>693</v>
      </c>
      <c r="K367" s="1">
        <v>12</v>
      </c>
      <c r="M367" s="1" t="str">
        <f>VLOOKUP(D367,HORARIOS!B:H,7,0)</f>
        <v>Día 1</v>
      </c>
      <c r="N367" s="1">
        <f>VLOOKUP(D367,HORARIOS!B:I,8,0)</f>
        <v>1</v>
      </c>
      <c r="O367" s="9">
        <f>VLOOKUP(D367,HORARIOS!B:D,3,0)</f>
        <v>0.33333333333333331</v>
      </c>
      <c r="P367" s="9" t="str">
        <f>VLOOKUP(A367,HORARIOS!A:E,5,0)</f>
        <v>13:00 hrs</v>
      </c>
    </row>
    <row r="368" spans="1:16" ht="15.75" customHeight="1" x14ac:dyDescent="0.25">
      <c r="A368" s="1" t="str">
        <f t="shared" si="5"/>
        <v>60281</v>
      </c>
      <c r="B368" s="1">
        <v>414</v>
      </c>
      <c r="C368" s="1">
        <v>12</v>
      </c>
      <c r="D368" s="1">
        <v>6028</v>
      </c>
      <c r="E368" s="1" t="s">
        <v>78</v>
      </c>
      <c r="F368" s="1" t="s">
        <v>36</v>
      </c>
      <c r="G368" s="1" t="s">
        <v>61</v>
      </c>
      <c r="H368" s="1" t="s">
        <v>62</v>
      </c>
      <c r="I368" t="s">
        <v>694</v>
      </c>
      <c r="J368" t="s">
        <v>694</v>
      </c>
      <c r="K368" s="1">
        <v>12</v>
      </c>
      <c r="L368" s="1" t="s">
        <v>64</v>
      </c>
      <c r="M368" s="1" t="str">
        <f>VLOOKUP(D368,HORARIOS!B:H,7,0)</f>
        <v>Día 1</v>
      </c>
      <c r="N368" s="1">
        <f>VLOOKUP(D368,HORARIOS!B:I,8,0)</f>
        <v>1</v>
      </c>
      <c r="O368" s="9">
        <f>VLOOKUP(D368,HORARIOS!B:D,3,0)</f>
        <v>0.33333333333333331</v>
      </c>
      <c r="P368" s="9" t="str">
        <f>VLOOKUP(A368,HORARIOS!A:E,5,0)</f>
        <v>13:00 hrs</v>
      </c>
    </row>
    <row r="369" spans="1:16" ht="15.75" customHeight="1" x14ac:dyDescent="0.25">
      <c r="A369" s="1" t="str">
        <f t="shared" si="5"/>
        <v>60281</v>
      </c>
      <c r="B369" s="1">
        <v>415</v>
      </c>
      <c r="C369" s="1">
        <v>12</v>
      </c>
      <c r="D369" s="1">
        <v>6028</v>
      </c>
      <c r="E369" s="1" t="s">
        <v>78</v>
      </c>
      <c r="F369" s="1" t="s">
        <v>36</v>
      </c>
      <c r="G369" s="1" t="s">
        <v>72</v>
      </c>
      <c r="H369" s="1" t="s">
        <v>73</v>
      </c>
      <c r="I369" t="s">
        <v>695</v>
      </c>
      <c r="J369" t="s">
        <v>696</v>
      </c>
      <c r="K369" s="1">
        <v>12</v>
      </c>
      <c r="M369" s="1" t="str">
        <f>VLOOKUP(D369,HORARIOS!B:H,7,0)</f>
        <v>Día 1</v>
      </c>
      <c r="N369" s="1">
        <f>VLOOKUP(D369,HORARIOS!B:I,8,0)</f>
        <v>1</v>
      </c>
      <c r="O369" s="9">
        <f>VLOOKUP(D369,HORARIOS!B:D,3,0)</f>
        <v>0.33333333333333331</v>
      </c>
      <c r="P369" s="9" t="str">
        <f>VLOOKUP(A369,HORARIOS!A:E,5,0)</f>
        <v>13:00 hrs</v>
      </c>
    </row>
    <row r="370" spans="1:16" ht="15.75" customHeight="1" x14ac:dyDescent="0.25">
      <c r="A370" s="1" t="str">
        <f t="shared" si="5"/>
        <v>60281</v>
      </c>
      <c r="B370" s="1">
        <v>416</v>
      </c>
      <c r="C370" s="1">
        <v>12</v>
      </c>
      <c r="D370" s="1">
        <v>6028</v>
      </c>
      <c r="E370" s="1" t="s">
        <v>78</v>
      </c>
      <c r="F370" s="1" t="s">
        <v>36</v>
      </c>
      <c r="G370" s="1" t="s">
        <v>88</v>
      </c>
      <c r="H370" s="1" t="s">
        <v>90</v>
      </c>
      <c r="I370" t="s">
        <v>697</v>
      </c>
      <c r="J370" t="s">
        <v>697</v>
      </c>
      <c r="K370" s="1">
        <v>12</v>
      </c>
      <c r="M370" s="1" t="str">
        <f>VLOOKUP(D370,HORARIOS!B:H,7,0)</f>
        <v>Día 1</v>
      </c>
      <c r="N370" s="1">
        <f>VLOOKUP(D370,HORARIOS!B:I,8,0)</f>
        <v>1</v>
      </c>
      <c r="O370" s="9">
        <f>VLOOKUP(D370,HORARIOS!B:D,3,0)</f>
        <v>0.33333333333333331</v>
      </c>
      <c r="P370" s="9" t="str">
        <f>VLOOKUP(A370,HORARIOS!A:E,5,0)</f>
        <v>13:00 hrs</v>
      </c>
    </row>
    <row r="371" spans="1:16" ht="15.75" customHeight="1" x14ac:dyDescent="0.25">
      <c r="A371" s="1" t="str">
        <f t="shared" si="5"/>
        <v>60281</v>
      </c>
      <c r="B371" s="1">
        <v>417</v>
      </c>
      <c r="C371" s="1">
        <v>12</v>
      </c>
      <c r="D371" s="1">
        <v>6028</v>
      </c>
      <c r="E371" s="1" t="s">
        <v>78</v>
      </c>
      <c r="F371" s="1" t="s">
        <v>36</v>
      </c>
      <c r="G371" s="1" t="s">
        <v>96</v>
      </c>
      <c r="H371" s="1" t="s">
        <v>62</v>
      </c>
      <c r="I371" t="s">
        <v>698</v>
      </c>
      <c r="J371" t="s">
        <v>698</v>
      </c>
      <c r="K371" s="1">
        <v>12</v>
      </c>
      <c r="M371" s="1" t="str">
        <f>VLOOKUP(D371,HORARIOS!B:H,7,0)</f>
        <v>Día 1</v>
      </c>
      <c r="N371" s="1">
        <f>VLOOKUP(D371,HORARIOS!B:I,8,0)</f>
        <v>1</v>
      </c>
      <c r="O371" s="9">
        <f>VLOOKUP(D371,HORARIOS!B:D,3,0)</f>
        <v>0.33333333333333331</v>
      </c>
      <c r="P371" s="9" t="str">
        <f>VLOOKUP(A371,HORARIOS!A:E,5,0)</f>
        <v>13:00 hrs</v>
      </c>
    </row>
    <row r="372" spans="1:16" ht="15.75" customHeight="1" x14ac:dyDescent="0.25">
      <c r="A372" s="1" t="str">
        <f t="shared" si="5"/>
        <v>60281</v>
      </c>
      <c r="B372" s="1">
        <v>418</v>
      </c>
      <c r="C372" s="1">
        <v>12</v>
      </c>
      <c r="D372" s="1">
        <v>6028</v>
      </c>
      <c r="E372" s="1" t="s">
        <v>78</v>
      </c>
      <c r="F372" s="1" t="s">
        <v>36</v>
      </c>
      <c r="G372" s="1" t="s">
        <v>98</v>
      </c>
      <c r="H372" s="1" t="s">
        <v>352</v>
      </c>
      <c r="I372" t="s">
        <v>52</v>
      </c>
      <c r="J372" t="s">
        <v>52</v>
      </c>
      <c r="K372" s="1">
        <v>2</v>
      </c>
      <c r="L372" s="1" t="s">
        <v>101</v>
      </c>
      <c r="M372" s="1" t="str">
        <f>VLOOKUP(D372,HORARIOS!B:H,7,0)</f>
        <v>Día 1</v>
      </c>
      <c r="N372" s="1">
        <f>VLOOKUP(D372,HORARIOS!B:I,8,0)</f>
        <v>1</v>
      </c>
      <c r="O372" s="9">
        <f>VLOOKUP(D372,HORARIOS!B:D,3,0)</f>
        <v>0.33333333333333331</v>
      </c>
      <c r="P372" s="9" t="str">
        <f>VLOOKUP(A372,HORARIOS!A:E,5,0)</f>
        <v>13:00 hrs</v>
      </c>
    </row>
    <row r="373" spans="1:16" ht="15.75" customHeight="1" x14ac:dyDescent="0.25">
      <c r="A373" s="1" t="str">
        <f t="shared" si="5"/>
        <v>60281</v>
      </c>
      <c r="B373" s="1">
        <v>420</v>
      </c>
      <c r="C373" s="1">
        <v>12</v>
      </c>
      <c r="D373" s="1">
        <v>6028</v>
      </c>
      <c r="E373" s="1" t="s">
        <v>78</v>
      </c>
      <c r="F373" s="1" t="s">
        <v>36</v>
      </c>
      <c r="G373" s="1" t="s">
        <v>98</v>
      </c>
      <c r="H373" s="1" t="s">
        <v>699</v>
      </c>
      <c r="I373" t="s">
        <v>700</v>
      </c>
      <c r="J373" t="s">
        <v>700</v>
      </c>
      <c r="K373" s="1">
        <v>11</v>
      </c>
      <c r="L373" s="1" t="s">
        <v>101</v>
      </c>
      <c r="M373" s="1" t="str">
        <f>VLOOKUP(D373,HORARIOS!B:H,7,0)</f>
        <v>Día 1</v>
      </c>
      <c r="N373" s="1">
        <f>VLOOKUP(D373,HORARIOS!B:I,8,0)</f>
        <v>1</v>
      </c>
      <c r="O373" s="9">
        <f>VLOOKUP(D373,HORARIOS!B:D,3,0)</f>
        <v>0.33333333333333331</v>
      </c>
      <c r="P373" s="9" t="str">
        <f>VLOOKUP(A373,HORARIOS!A:E,5,0)</f>
        <v>13:00 hrs</v>
      </c>
    </row>
    <row r="374" spans="1:16" ht="15.75" customHeight="1" x14ac:dyDescent="0.25">
      <c r="A374" s="1" t="str">
        <f t="shared" si="5"/>
        <v>60281</v>
      </c>
      <c r="B374" s="1">
        <v>421</v>
      </c>
      <c r="C374" s="1">
        <v>12</v>
      </c>
      <c r="D374" s="1">
        <v>6028</v>
      </c>
      <c r="E374" s="1" t="s">
        <v>78</v>
      </c>
      <c r="F374" s="1" t="s">
        <v>36</v>
      </c>
      <c r="G374" s="1" t="s">
        <v>114</v>
      </c>
      <c r="H374" s="1" t="s">
        <v>39</v>
      </c>
      <c r="I374" t="s">
        <v>52</v>
      </c>
      <c r="J374" t="s">
        <v>52</v>
      </c>
      <c r="K374" s="1">
        <v>2</v>
      </c>
      <c r="L374" s="1" t="s">
        <v>115</v>
      </c>
      <c r="M374" s="1" t="str">
        <f>VLOOKUP(D374,HORARIOS!B:H,7,0)</f>
        <v>Día 1</v>
      </c>
      <c r="N374" s="1">
        <f>VLOOKUP(D374,HORARIOS!B:I,8,0)</f>
        <v>1</v>
      </c>
      <c r="O374" s="9">
        <f>VLOOKUP(D374,HORARIOS!B:D,3,0)</f>
        <v>0.33333333333333331</v>
      </c>
      <c r="P374" s="9" t="str">
        <f>VLOOKUP(A374,HORARIOS!A:E,5,0)</f>
        <v>13:00 hrs</v>
      </c>
    </row>
    <row r="375" spans="1:16" ht="15.75" customHeight="1" x14ac:dyDescent="0.25">
      <c r="A375" s="1" t="str">
        <f t="shared" si="5"/>
        <v>60281</v>
      </c>
      <c r="B375" s="1">
        <v>422</v>
      </c>
      <c r="C375" s="1">
        <v>12</v>
      </c>
      <c r="D375" s="1">
        <v>6028</v>
      </c>
      <c r="E375" s="1" t="s">
        <v>78</v>
      </c>
      <c r="F375" s="1" t="s">
        <v>36</v>
      </c>
      <c r="G375" s="1" t="s">
        <v>134</v>
      </c>
      <c r="H375" s="1" t="s">
        <v>135</v>
      </c>
      <c r="I375" t="s">
        <v>701</v>
      </c>
      <c r="J375" t="s">
        <v>702</v>
      </c>
      <c r="K375" s="1">
        <v>12</v>
      </c>
      <c r="L375" s="1" t="s">
        <v>138</v>
      </c>
      <c r="M375" s="1" t="str">
        <f>VLOOKUP(D375,HORARIOS!B:H,7,0)</f>
        <v>Día 1</v>
      </c>
      <c r="N375" s="1">
        <f>VLOOKUP(D375,HORARIOS!B:I,8,0)</f>
        <v>1</v>
      </c>
      <c r="O375" s="9">
        <f>VLOOKUP(D375,HORARIOS!B:D,3,0)</f>
        <v>0.33333333333333331</v>
      </c>
      <c r="P375" s="9" t="str">
        <f>VLOOKUP(A375,HORARIOS!A:E,5,0)</f>
        <v>13:00 hrs</v>
      </c>
    </row>
    <row r="376" spans="1:16" ht="15.75" customHeight="1" x14ac:dyDescent="0.25">
      <c r="A376" s="1" t="str">
        <f t="shared" si="5"/>
        <v>60281</v>
      </c>
      <c r="B376" s="1">
        <v>423</v>
      </c>
      <c r="C376" s="1">
        <v>12</v>
      </c>
      <c r="D376" s="1">
        <v>6028</v>
      </c>
      <c r="E376" s="1" t="s">
        <v>78</v>
      </c>
      <c r="F376" s="1" t="s">
        <v>36</v>
      </c>
      <c r="G376" s="1" t="s">
        <v>145</v>
      </c>
      <c r="H376" s="1" t="s">
        <v>52</v>
      </c>
      <c r="I376" t="s">
        <v>703</v>
      </c>
      <c r="J376" t="s">
        <v>704</v>
      </c>
      <c r="K376" s="1">
        <v>12</v>
      </c>
      <c r="M376" s="1" t="str">
        <f>VLOOKUP(D376,HORARIOS!B:H,7,0)</f>
        <v>Día 1</v>
      </c>
      <c r="N376" s="1">
        <f>VLOOKUP(D376,HORARIOS!B:I,8,0)</f>
        <v>1</v>
      </c>
      <c r="O376" s="9">
        <f>VLOOKUP(D376,HORARIOS!B:D,3,0)</f>
        <v>0.33333333333333331</v>
      </c>
      <c r="P376" s="9" t="str">
        <f>VLOOKUP(A376,HORARIOS!A:E,5,0)</f>
        <v>13:00 hrs</v>
      </c>
    </row>
    <row r="377" spans="1:16" ht="15.75" customHeight="1" x14ac:dyDescent="0.25">
      <c r="A377" s="1" t="str">
        <f t="shared" si="5"/>
        <v>60281</v>
      </c>
      <c r="B377" s="1">
        <v>424</v>
      </c>
      <c r="C377" s="1">
        <v>12</v>
      </c>
      <c r="D377" s="1">
        <v>6028</v>
      </c>
      <c r="E377" s="1" t="s">
        <v>78</v>
      </c>
      <c r="F377" s="1" t="s">
        <v>36</v>
      </c>
      <c r="G377" s="1" t="s">
        <v>159</v>
      </c>
      <c r="H377" s="1" t="s">
        <v>160</v>
      </c>
      <c r="I377" t="s">
        <v>705</v>
      </c>
      <c r="J377" t="s">
        <v>706</v>
      </c>
      <c r="K377" s="1">
        <v>12</v>
      </c>
      <c r="M377" s="1" t="str">
        <f>VLOOKUP(D377,HORARIOS!B:H,7,0)</f>
        <v>Día 1</v>
      </c>
      <c r="N377" s="1">
        <f>VLOOKUP(D377,HORARIOS!B:I,8,0)</f>
        <v>1</v>
      </c>
      <c r="O377" s="9">
        <f>VLOOKUP(D377,HORARIOS!B:D,3,0)</f>
        <v>0.33333333333333331</v>
      </c>
      <c r="P377" s="9" t="str">
        <f>VLOOKUP(A377,HORARIOS!A:E,5,0)</f>
        <v>13:00 hrs</v>
      </c>
    </row>
    <row r="378" spans="1:16" ht="15.75" customHeight="1" x14ac:dyDescent="0.25">
      <c r="A378" s="1" t="str">
        <f t="shared" si="5"/>
        <v>602931</v>
      </c>
      <c r="B378" s="1">
        <v>425</v>
      </c>
      <c r="C378" s="1">
        <v>14</v>
      </c>
      <c r="D378" s="1">
        <v>6029</v>
      </c>
      <c r="E378" s="1" t="s">
        <v>79</v>
      </c>
      <c r="F378" s="1" t="s">
        <v>36</v>
      </c>
      <c r="G378" s="1" t="s">
        <v>37</v>
      </c>
      <c r="H378" s="1" t="s">
        <v>39</v>
      </c>
      <c r="I378" t="s">
        <v>707</v>
      </c>
      <c r="J378" t="s">
        <v>708</v>
      </c>
      <c r="K378" s="1">
        <v>12</v>
      </c>
      <c r="L378" s="1" t="s">
        <v>41</v>
      </c>
      <c r="M378" s="1" t="str">
        <f>VLOOKUP(D378,HORARIOS!B:H,7,0)</f>
        <v>Dia 5</v>
      </c>
      <c r="N378" s="1">
        <f>VLOOKUP(D378,HORARIOS!B:I,8,0)</f>
        <v>31</v>
      </c>
      <c r="O378" s="9">
        <f>VLOOKUP(D378,HORARIOS!B:D,3,0)</f>
        <v>0.66666666666666663</v>
      </c>
      <c r="P378" s="9" t="str">
        <f>VLOOKUP(A378,HORARIOS!A:E,5,0)</f>
        <v>21:30 hrs</v>
      </c>
    </row>
    <row r="379" spans="1:16" ht="15.75" customHeight="1" x14ac:dyDescent="0.25">
      <c r="A379" s="1" t="str">
        <f t="shared" si="5"/>
        <v>602931</v>
      </c>
      <c r="B379" s="1">
        <v>426</v>
      </c>
      <c r="C379" s="1">
        <v>14</v>
      </c>
      <c r="D379" s="1">
        <v>6029</v>
      </c>
      <c r="E379" s="1" t="s">
        <v>79</v>
      </c>
      <c r="F379" s="1" t="s">
        <v>36</v>
      </c>
      <c r="G379" s="1" t="s">
        <v>51</v>
      </c>
      <c r="H379" s="1" t="s">
        <v>52</v>
      </c>
      <c r="I379" t="s">
        <v>709</v>
      </c>
      <c r="J379" t="s">
        <v>710</v>
      </c>
      <c r="K379" s="1">
        <v>12</v>
      </c>
      <c r="M379" s="1" t="str">
        <f>VLOOKUP(D379,HORARIOS!B:H,7,0)</f>
        <v>Dia 5</v>
      </c>
      <c r="N379" s="1">
        <f>VLOOKUP(D379,HORARIOS!B:I,8,0)</f>
        <v>31</v>
      </c>
      <c r="O379" s="9">
        <f>VLOOKUP(D379,HORARIOS!B:D,3,0)</f>
        <v>0.66666666666666663</v>
      </c>
      <c r="P379" s="9" t="str">
        <f>VLOOKUP(A379,HORARIOS!A:E,5,0)</f>
        <v>21:30 hrs</v>
      </c>
    </row>
    <row r="380" spans="1:16" ht="15.75" customHeight="1" x14ac:dyDescent="0.25">
      <c r="A380" s="1" t="str">
        <f t="shared" si="5"/>
        <v>602931</v>
      </c>
      <c r="B380" s="1">
        <v>428</v>
      </c>
      <c r="C380" s="1">
        <v>14</v>
      </c>
      <c r="D380" s="1">
        <v>6029</v>
      </c>
      <c r="E380" s="1" t="s">
        <v>79</v>
      </c>
      <c r="F380" s="1" t="s">
        <v>36</v>
      </c>
      <c r="G380" s="1" t="s">
        <v>61</v>
      </c>
      <c r="H380" s="1" t="s">
        <v>62</v>
      </c>
      <c r="I380" t="s">
        <v>711</v>
      </c>
      <c r="J380" t="s">
        <v>711</v>
      </c>
      <c r="K380" s="1">
        <v>12</v>
      </c>
      <c r="L380" s="1" t="s">
        <v>64</v>
      </c>
      <c r="M380" s="1" t="str">
        <f>VLOOKUP(D380,HORARIOS!B:H,7,0)</f>
        <v>Dia 5</v>
      </c>
      <c r="N380" s="1">
        <f>VLOOKUP(D380,HORARIOS!B:I,8,0)</f>
        <v>31</v>
      </c>
      <c r="O380" s="9">
        <f>VLOOKUP(D380,HORARIOS!B:D,3,0)</f>
        <v>0.66666666666666663</v>
      </c>
      <c r="P380" s="9" t="str">
        <f>VLOOKUP(A380,HORARIOS!A:E,5,0)</f>
        <v>21:30 hrs</v>
      </c>
    </row>
    <row r="381" spans="1:16" ht="15.75" customHeight="1" x14ac:dyDescent="0.25">
      <c r="A381" s="1" t="str">
        <f t="shared" si="5"/>
        <v>602931</v>
      </c>
      <c r="B381" s="1">
        <v>429</v>
      </c>
      <c r="C381" s="1">
        <v>14</v>
      </c>
      <c r="D381" s="1">
        <v>6029</v>
      </c>
      <c r="E381" s="1" t="s">
        <v>79</v>
      </c>
      <c r="F381" s="1" t="s">
        <v>36</v>
      </c>
      <c r="G381" s="1" t="s">
        <v>72</v>
      </c>
      <c r="H381" s="1" t="s">
        <v>73</v>
      </c>
      <c r="I381" t="s">
        <v>712</v>
      </c>
      <c r="J381" t="s">
        <v>713</v>
      </c>
      <c r="K381" s="1">
        <v>12</v>
      </c>
      <c r="M381" s="1" t="str">
        <f>VLOOKUP(D381,HORARIOS!B:H,7,0)</f>
        <v>Dia 5</v>
      </c>
      <c r="N381" s="1">
        <f>VLOOKUP(D381,HORARIOS!B:I,8,0)</f>
        <v>31</v>
      </c>
      <c r="O381" s="9">
        <f>VLOOKUP(D381,HORARIOS!B:D,3,0)</f>
        <v>0.66666666666666663</v>
      </c>
      <c r="P381" s="9" t="str">
        <f>VLOOKUP(A381,HORARIOS!A:E,5,0)</f>
        <v>21:30 hrs</v>
      </c>
    </row>
    <row r="382" spans="1:16" ht="15.75" customHeight="1" x14ac:dyDescent="0.25">
      <c r="A382" s="1" t="str">
        <f t="shared" si="5"/>
        <v>602931</v>
      </c>
      <c r="B382" s="1">
        <v>430</v>
      </c>
      <c r="C382" s="1">
        <v>14</v>
      </c>
      <c r="D382" s="1">
        <v>6029</v>
      </c>
      <c r="E382" s="1" t="s">
        <v>79</v>
      </c>
      <c r="F382" s="1" t="s">
        <v>36</v>
      </c>
      <c r="G382" s="1" t="s">
        <v>88</v>
      </c>
      <c r="H382" s="1" t="s">
        <v>90</v>
      </c>
      <c r="I382" t="s">
        <v>714</v>
      </c>
      <c r="J382" t="s">
        <v>715</v>
      </c>
      <c r="K382" s="1">
        <v>12</v>
      </c>
      <c r="M382" s="1" t="str">
        <f>VLOOKUP(D382,HORARIOS!B:H,7,0)</f>
        <v>Dia 5</v>
      </c>
      <c r="N382" s="1">
        <f>VLOOKUP(D382,HORARIOS!B:I,8,0)</f>
        <v>31</v>
      </c>
      <c r="O382" s="9">
        <f>VLOOKUP(D382,HORARIOS!B:D,3,0)</f>
        <v>0.66666666666666663</v>
      </c>
      <c r="P382" s="9" t="str">
        <f>VLOOKUP(A382,HORARIOS!A:E,5,0)</f>
        <v>21:30 hrs</v>
      </c>
    </row>
    <row r="383" spans="1:16" ht="15.75" customHeight="1" x14ac:dyDescent="0.25">
      <c r="A383" s="1" t="str">
        <f t="shared" si="5"/>
        <v>602931</v>
      </c>
      <c r="B383" s="1">
        <v>431</v>
      </c>
      <c r="C383" s="1">
        <v>14</v>
      </c>
      <c r="D383" s="1">
        <v>6029</v>
      </c>
      <c r="E383" s="1" t="s">
        <v>79</v>
      </c>
      <c r="F383" s="1" t="s">
        <v>36</v>
      </c>
      <c r="G383" s="1" t="s">
        <v>96</v>
      </c>
      <c r="H383" s="1" t="s">
        <v>62</v>
      </c>
      <c r="I383" t="s">
        <v>716</v>
      </c>
      <c r="J383" t="s">
        <v>716</v>
      </c>
      <c r="K383" s="1">
        <v>12</v>
      </c>
      <c r="M383" s="1" t="str">
        <f>VLOOKUP(D383,HORARIOS!B:H,7,0)</f>
        <v>Dia 5</v>
      </c>
      <c r="N383" s="1">
        <f>VLOOKUP(D383,HORARIOS!B:I,8,0)</f>
        <v>31</v>
      </c>
      <c r="O383" s="9">
        <f>VLOOKUP(D383,HORARIOS!B:D,3,0)</f>
        <v>0.66666666666666663</v>
      </c>
      <c r="P383" s="9" t="str">
        <f>VLOOKUP(A383,HORARIOS!A:E,5,0)</f>
        <v>21:30 hrs</v>
      </c>
    </row>
    <row r="384" spans="1:16" ht="15.75" customHeight="1" x14ac:dyDescent="0.25">
      <c r="A384" s="1" t="str">
        <f t="shared" si="5"/>
        <v>602931</v>
      </c>
      <c r="B384" s="1">
        <v>432</v>
      </c>
      <c r="C384" s="1">
        <v>14</v>
      </c>
      <c r="D384" s="1">
        <v>6029</v>
      </c>
      <c r="E384" s="1" t="s">
        <v>79</v>
      </c>
      <c r="F384" s="1" t="s">
        <v>36</v>
      </c>
      <c r="G384" s="1" t="s">
        <v>98</v>
      </c>
      <c r="H384" s="1" t="s">
        <v>99</v>
      </c>
      <c r="I384" t="s">
        <v>52</v>
      </c>
      <c r="J384" t="s">
        <v>52</v>
      </c>
      <c r="K384" s="1">
        <v>2</v>
      </c>
      <c r="L384" s="1" t="s">
        <v>101</v>
      </c>
      <c r="M384" s="1" t="str">
        <f>VLOOKUP(D384,HORARIOS!B:H,7,0)</f>
        <v>Dia 5</v>
      </c>
      <c r="N384" s="1">
        <f>VLOOKUP(D384,HORARIOS!B:I,8,0)</f>
        <v>31</v>
      </c>
      <c r="O384" s="9">
        <f>VLOOKUP(D384,HORARIOS!B:D,3,0)</f>
        <v>0.66666666666666663</v>
      </c>
      <c r="P384" s="9" t="str">
        <f>VLOOKUP(A384,HORARIOS!A:E,5,0)</f>
        <v>21:30 hrs</v>
      </c>
    </row>
    <row r="385" spans="1:16" ht="15.75" customHeight="1" x14ac:dyDescent="0.25">
      <c r="A385" s="1" t="str">
        <f t="shared" si="5"/>
        <v>602931</v>
      </c>
      <c r="B385" s="1">
        <v>433</v>
      </c>
      <c r="C385" s="1">
        <v>14</v>
      </c>
      <c r="D385" s="1">
        <v>6029</v>
      </c>
      <c r="E385" s="1" t="s">
        <v>79</v>
      </c>
      <c r="F385" s="1" t="s">
        <v>36</v>
      </c>
      <c r="G385" s="1" t="s">
        <v>98</v>
      </c>
      <c r="H385" s="1" t="s">
        <v>99</v>
      </c>
      <c r="I385" t="s">
        <v>52</v>
      </c>
      <c r="J385" t="s">
        <v>52</v>
      </c>
      <c r="K385" s="1">
        <v>2</v>
      </c>
      <c r="L385" s="1" t="s">
        <v>101</v>
      </c>
      <c r="M385" s="1" t="str">
        <f>VLOOKUP(D385,HORARIOS!B:H,7,0)</f>
        <v>Dia 5</v>
      </c>
      <c r="N385" s="1">
        <f>VLOOKUP(D385,HORARIOS!B:I,8,0)</f>
        <v>31</v>
      </c>
      <c r="O385" s="9">
        <f>VLOOKUP(D385,HORARIOS!B:D,3,0)</f>
        <v>0.66666666666666663</v>
      </c>
      <c r="P385" s="9" t="str">
        <f>VLOOKUP(A385,HORARIOS!A:E,5,0)</f>
        <v>21:30 hrs</v>
      </c>
    </row>
    <row r="386" spans="1:16" ht="15.75" customHeight="1" x14ac:dyDescent="0.25">
      <c r="A386" s="1" t="str">
        <f t="shared" si="5"/>
        <v>602931</v>
      </c>
      <c r="B386" s="1">
        <v>434</v>
      </c>
      <c r="C386" s="1">
        <v>14</v>
      </c>
      <c r="D386" s="1">
        <v>6029</v>
      </c>
      <c r="E386" s="1" t="s">
        <v>79</v>
      </c>
      <c r="F386" s="1" t="s">
        <v>36</v>
      </c>
      <c r="G386" s="1" t="s">
        <v>98</v>
      </c>
      <c r="H386" s="1" t="s">
        <v>99</v>
      </c>
      <c r="I386" t="s">
        <v>52</v>
      </c>
      <c r="J386" t="s">
        <v>52</v>
      </c>
      <c r="K386" s="1">
        <v>2</v>
      </c>
      <c r="L386" s="1" t="s">
        <v>101</v>
      </c>
      <c r="M386" s="1" t="str">
        <f>VLOOKUP(D386,HORARIOS!B:H,7,0)</f>
        <v>Dia 5</v>
      </c>
      <c r="N386" s="1">
        <f>VLOOKUP(D386,HORARIOS!B:I,8,0)</f>
        <v>31</v>
      </c>
      <c r="O386" s="9">
        <f>VLOOKUP(D386,HORARIOS!B:D,3,0)</f>
        <v>0.66666666666666663</v>
      </c>
      <c r="P386" s="9" t="str">
        <f>VLOOKUP(A386,HORARIOS!A:E,5,0)</f>
        <v>21:30 hrs</v>
      </c>
    </row>
    <row r="387" spans="1:16" ht="15.75" customHeight="1" x14ac:dyDescent="0.25">
      <c r="A387" s="1" t="str">
        <f t="shared" si="5"/>
        <v>602931</v>
      </c>
      <c r="B387" s="1">
        <v>436</v>
      </c>
      <c r="C387" s="1">
        <v>14</v>
      </c>
      <c r="D387" s="1">
        <v>6029</v>
      </c>
      <c r="E387" s="1" t="s">
        <v>79</v>
      </c>
      <c r="F387" s="1" t="s">
        <v>36</v>
      </c>
      <c r="G387" s="1" t="s">
        <v>98</v>
      </c>
      <c r="H387" s="1" t="s">
        <v>99</v>
      </c>
      <c r="I387" t="s">
        <v>52</v>
      </c>
      <c r="J387" t="s">
        <v>52</v>
      </c>
      <c r="K387" s="1">
        <v>2</v>
      </c>
      <c r="L387" s="1" t="s">
        <v>101</v>
      </c>
      <c r="M387" s="1" t="str">
        <f>VLOOKUP(D387,HORARIOS!B:H,7,0)</f>
        <v>Dia 5</v>
      </c>
      <c r="N387" s="1">
        <f>VLOOKUP(D387,HORARIOS!B:I,8,0)</f>
        <v>31</v>
      </c>
      <c r="O387" s="9">
        <f>VLOOKUP(D387,HORARIOS!B:D,3,0)</f>
        <v>0.66666666666666663</v>
      </c>
      <c r="P387" s="9" t="str">
        <f>VLOOKUP(A387,HORARIOS!A:E,5,0)</f>
        <v>21:30 hrs</v>
      </c>
    </row>
    <row r="388" spans="1:16" ht="15.75" customHeight="1" x14ac:dyDescent="0.25">
      <c r="A388" s="1" t="str">
        <f t="shared" si="5"/>
        <v>602931</v>
      </c>
      <c r="B388" s="1">
        <v>437</v>
      </c>
      <c r="C388" s="1">
        <v>14</v>
      </c>
      <c r="D388" s="1">
        <v>6029</v>
      </c>
      <c r="E388" s="1" t="s">
        <v>79</v>
      </c>
      <c r="F388" s="1" t="s">
        <v>36</v>
      </c>
      <c r="G388" s="1" t="s">
        <v>114</v>
      </c>
      <c r="H388" s="1" t="s">
        <v>39</v>
      </c>
      <c r="I388" t="s">
        <v>52</v>
      </c>
      <c r="J388" t="s">
        <v>52</v>
      </c>
      <c r="K388" s="1">
        <v>2</v>
      </c>
      <c r="L388" s="1" t="s">
        <v>115</v>
      </c>
      <c r="M388" s="1" t="str">
        <f>VLOOKUP(D388,HORARIOS!B:H,7,0)</f>
        <v>Dia 5</v>
      </c>
      <c r="N388" s="1">
        <f>VLOOKUP(D388,HORARIOS!B:I,8,0)</f>
        <v>31</v>
      </c>
      <c r="O388" s="9">
        <f>VLOOKUP(D388,HORARIOS!B:D,3,0)</f>
        <v>0.66666666666666663</v>
      </c>
      <c r="P388" s="9" t="str">
        <f>VLOOKUP(A388,HORARIOS!A:E,5,0)</f>
        <v>21:30 hrs</v>
      </c>
    </row>
    <row r="389" spans="1:16" ht="15.75" customHeight="1" x14ac:dyDescent="0.25">
      <c r="A389" s="1" t="str">
        <f t="shared" si="5"/>
        <v>602931</v>
      </c>
      <c r="B389" s="1">
        <v>438</v>
      </c>
      <c r="C389" s="1">
        <v>14</v>
      </c>
      <c r="D389" s="1">
        <v>6029</v>
      </c>
      <c r="E389" s="1" t="s">
        <v>79</v>
      </c>
      <c r="F389" s="1" t="s">
        <v>36</v>
      </c>
      <c r="G389" s="1" t="s">
        <v>134</v>
      </c>
      <c r="H389" s="1" t="s">
        <v>135</v>
      </c>
      <c r="I389" t="s">
        <v>717</v>
      </c>
      <c r="J389" t="s">
        <v>718</v>
      </c>
      <c r="K389" s="1">
        <v>12</v>
      </c>
      <c r="L389" s="1" t="s">
        <v>138</v>
      </c>
      <c r="M389" s="1" t="str">
        <f>VLOOKUP(D389,HORARIOS!B:H,7,0)</f>
        <v>Dia 5</v>
      </c>
      <c r="N389" s="1">
        <f>VLOOKUP(D389,HORARIOS!B:I,8,0)</f>
        <v>31</v>
      </c>
      <c r="O389" s="9">
        <f>VLOOKUP(D389,HORARIOS!B:D,3,0)</f>
        <v>0.66666666666666663</v>
      </c>
      <c r="P389" s="9" t="str">
        <f>VLOOKUP(A389,HORARIOS!A:E,5,0)</f>
        <v>21:30 hrs</v>
      </c>
    </row>
    <row r="390" spans="1:16" ht="15.75" customHeight="1" x14ac:dyDescent="0.25">
      <c r="A390" s="1" t="str">
        <f t="shared" ref="A390:A453" si="6">D390&amp;N390</f>
        <v>602931</v>
      </c>
      <c r="B390" s="1">
        <v>439</v>
      </c>
      <c r="C390" s="1">
        <v>14</v>
      </c>
      <c r="D390" s="1">
        <v>6029</v>
      </c>
      <c r="E390" s="1" t="s">
        <v>79</v>
      </c>
      <c r="F390" s="1" t="s">
        <v>36</v>
      </c>
      <c r="G390" s="1" t="s">
        <v>145</v>
      </c>
      <c r="H390" s="1" t="s">
        <v>52</v>
      </c>
      <c r="I390" t="s">
        <v>719</v>
      </c>
      <c r="J390" t="s">
        <v>720</v>
      </c>
      <c r="K390" s="1">
        <v>12</v>
      </c>
      <c r="M390" s="1" t="str">
        <f>VLOOKUP(D390,HORARIOS!B:H,7,0)</f>
        <v>Dia 5</v>
      </c>
      <c r="N390" s="1">
        <f>VLOOKUP(D390,HORARIOS!B:I,8,0)</f>
        <v>31</v>
      </c>
      <c r="O390" s="9">
        <f>VLOOKUP(D390,HORARIOS!B:D,3,0)</f>
        <v>0.66666666666666663</v>
      </c>
      <c r="P390" s="9" t="str">
        <f>VLOOKUP(A390,HORARIOS!A:E,5,0)</f>
        <v>21:30 hrs</v>
      </c>
    </row>
    <row r="391" spans="1:16" ht="15.75" customHeight="1" x14ac:dyDescent="0.25">
      <c r="A391" s="1" t="str">
        <f t="shared" si="6"/>
        <v>602931</v>
      </c>
      <c r="B391" s="1">
        <v>440</v>
      </c>
      <c r="C391" s="1">
        <v>14</v>
      </c>
      <c r="D391" s="1">
        <v>6029</v>
      </c>
      <c r="E391" s="1" t="s">
        <v>79</v>
      </c>
      <c r="F391" s="1" t="s">
        <v>36</v>
      </c>
      <c r="G391" s="1" t="s">
        <v>159</v>
      </c>
      <c r="H391" s="1" t="s">
        <v>160</v>
      </c>
      <c r="I391" t="s">
        <v>721</v>
      </c>
      <c r="J391" t="s">
        <v>722</v>
      </c>
      <c r="K391" s="1">
        <v>12</v>
      </c>
      <c r="M391" s="1" t="str">
        <f>VLOOKUP(D391,HORARIOS!B:H,7,0)</f>
        <v>Dia 5</v>
      </c>
      <c r="N391" s="1">
        <f>VLOOKUP(D391,HORARIOS!B:I,8,0)</f>
        <v>31</v>
      </c>
      <c r="O391" s="9">
        <f>VLOOKUP(D391,HORARIOS!B:D,3,0)</f>
        <v>0.66666666666666663</v>
      </c>
      <c r="P391" s="9" t="str">
        <f>VLOOKUP(A391,HORARIOS!A:E,5,0)</f>
        <v>21:30 hrs</v>
      </c>
    </row>
    <row r="392" spans="1:16" ht="15.75" customHeight="1" x14ac:dyDescent="0.25">
      <c r="A392" s="1" t="str">
        <f t="shared" si="6"/>
        <v>60306</v>
      </c>
      <c r="B392" s="1">
        <v>441</v>
      </c>
      <c r="C392" s="1">
        <v>12</v>
      </c>
      <c r="D392" s="1">
        <v>6030</v>
      </c>
      <c r="E392" s="1" t="s">
        <v>80</v>
      </c>
      <c r="F392" s="1" t="s">
        <v>36</v>
      </c>
      <c r="G392" s="1" t="s">
        <v>37</v>
      </c>
      <c r="H392" s="1" t="s">
        <v>39</v>
      </c>
      <c r="I392" t="s">
        <v>723</v>
      </c>
      <c r="J392" t="s">
        <v>724</v>
      </c>
      <c r="K392" s="1">
        <v>12</v>
      </c>
      <c r="L392" s="1" t="s">
        <v>41</v>
      </c>
      <c r="M392" s="1" t="str">
        <f>VLOOKUP(D392,HORARIOS!B:H,7,0)</f>
        <v>Día 1</v>
      </c>
      <c r="N392" s="1">
        <f>VLOOKUP(D392,HORARIOS!B:I,8,0)</f>
        <v>6</v>
      </c>
      <c r="O392" s="9">
        <f>VLOOKUP(D392,HORARIOS!B:D,3,0)</f>
        <v>0.60416666666666663</v>
      </c>
      <c r="P392" s="9" t="str">
        <f>VLOOKUP(A392,HORARIOS!A:E,5,0)</f>
        <v>18:0 hrs</v>
      </c>
    </row>
    <row r="393" spans="1:16" ht="15.75" customHeight="1" x14ac:dyDescent="0.25">
      <c r="A393" s="1" t="str">
        <f t="shared" si="6"/>
        <v>60306</v>
      </c>
      <c r="B393" s="1">
        <v>442</v>
      </c>
      <c r="C393" s="1">
        <v>12</v>
      </c>
      <c r="D393" s="1">
        <v>6030</v>
      </c>
      <c r="E393" s="1" t="s">
        <v>80</v>
      </c>
      <c r="F393" s="1" t="s">
        <v>36</v>
      </c>
      <c r="G393" s="1" t="s">
        <v>51</v>
      </c>
      <c r="H393" s="1" t="s">
        <v>52</v>
      </c>
      <c r="I393" t="s">
        <v>725</v>
      </c>
      <c r="J393" t="s">
        <v>726</v>
      </c>
      <c r="K393" s="1">
        <v>12</v>
      </c>
      <c r="M393" s="1" t="str">
        <f>VLOOKUP(D393,HORARIOS!B:H,7,0)</f>
        <v>Día 1</v>
      </c>
      <c r="N393" s="1">
        <f>VLOOKUP(D393,HORARIOS!B:I,8,0)</f>
        <v>6</v>
      </c>
      <c r="O393" s="9">
        <f>VLOOKUP(D393,HORARIOS!B:D,3,0)</f>
        <v>0.60416666666666663</v>
      </c>
      <c r="P393" s="9" t="str">
        <f>VLOOKUP(A393,HORARIOS!A:E,5,0)</f>
        <v>18:0 hrs</v>
      </c>
    </row>
    <row r="394" spans="1:16" ht="15.75" customHeight="1" x14ac:dyDescent="0.25">
      <c r="A394" s="1" t="str">
        <f t="shared" si="6"/>
        <v>60306</v>
      </c>
      <c r="B394" s="1">
        <v>444</v>
      </c>
      <c r="C394" s="1">
        <v>12</v>
      </c>
      <c r="D394" s="1">
        <v>6030</v>
      </c>
      <c r="E394" s="1" t="s">
        <v>80</v>
      </c>
      <c r="F394" s="1" t="s">
        <v>36</v>
      </c>
      <c r="G394" s="1" t="s">
        <v>61</v>
      </c>
      <c r="H394" s="1" t="s">
        <v>62</v>
      </c>
      <c r="I394" t="s">
        <v>727</v>
      </c>
      <c r="J394" t="s">
        <v>727</v>
      </c>
      <c r="K394" s="1">
        <v>12</v>
      </c>
      <c r="L394" s="1" t="s">
        <v>64</v>
      </c>
      <c r="M394" s="1" t="str">
        <f>VLOOKUP(D394,HORARIOS!B:H,7,0)</f>
        <v>Día 1</v>
      </c>
      <c r="N394" s="1">
        <f>VLOOKUP(D394,HORARIOS!B:I,8,0)</f>
        <v>6</v>
      </c>
      <c r="O394" s="9">
        <f>VLOOKUP(D394,HORARIOS!B:D,3,0)</f>
        <v>0.60416666666666663</v>
      </c>
      <c r="P394" s="9" t="str">
        <f>VLOOKUP(A394,HORARIOS!A:E,5,0)</f>
        <v>18:0 hrs</v>
      </c>
    </row>
    <row r="395" spans="1:16" ht="15.75" customHeight="1" x14ac:dyDescent="0.25">
      <c r="A395" s="1" t="str">
        <f t="shared" si="6"/>
        <v>60306</v>
      </c>
      <c r="B395" s="1">
        <v>445</v>
      </c>
      <c r="C395" s="1">
        <v>12</v>
      </c>
      <c r="D395" s="1">
        <v>6030</v>
      </c>
      <c r="E395" s="1" t="s">
        <v>80</v>
      </c>
      <c r="F395" s="1" t="s">
        <v>36</v>
      </c>
      <c r="G395" s="1" t="s">
        <v>72</v>
      </c>
      <c r="H395" s="1" t="s">
        <v>73</v>
      </c>
      <c r="I395" t="s">
        <v>728</v>
      </c>
      <c r="J395" t="s">
        <v>729</v>
      </c>
      <c r="K395" s="1">
        <v>12</v>
      </c>
      <c r="M395" s="1" t="str">
        <f>VLOOKUP(D395,HORARIOS!B:H,7,0)</f>
        <v>Día 1</v>
      </c>
      <c r="N395" s="1">
        <f>VLOOKUP(D395,HORARIOS!B:I,8,0)</f>
        <v>6</v>
      </c>
      <c r="O395" s="9">
        <f>VLOOKUP(D395,HORARIOS!B:D,3,0)</f>
        <v>0.60416666666666663</v>
      </c>
      <c r="P395" s="9" t="str">
        <f>VLOOKUP(A395,HORARIOS!A:E,5,0)</f>
        <v>18:0 hrs</v>
      </c>
    </row>
    <row r="396" spans="1:16" ht="15.75" customHeight="1" x14ac:dyDescent="0.25">
      <c r="A396" s="1" t="str">
        <f t="shared" si="6"/>
        <v>60306</v>
      </c>
      <c r="B396" s="1">
        <v>446</v>
      </c>
      <c r="C396" s="1">
        <v>12</v>
      </c>
      <c r="D396" s="1">
        <v>6030</v>
      </c>
      <c r="E396" s="1" t="s">
        <v>80</v>
      </c>
      <c r="F396" s="1" t="s">
        <v>36</v>
      </c>
      <c r="G396" s="1" t="s">
        <v>88</v>
      </c>
      <c r="H396" s="1" t="s">
        <v>90</v>
      </c>
      <c r="I396" t="s">
        <v>730</v>
      </c>
      <c r="J396" t="s">
        <v>731</v>
      </c>
      <c r="K396" s="1">
        <v>12</v>
      </c>
      <c r="M396" s="1" t="str">
        <f>VLOOKUP(D396,HORARIOS!B:H,7,0)</f>
        <v>Día 1</v>
      </c>
      <c r="N396" s="1">
        <f>VLOOKUP(D396,HORARIOS!B:I,8,0)</f>
        <v>6</v>
      </c>
      <c r="O396" s="9">
        <f>VLOOKUP(D396,HORARIOS!B:D,3,0)</f>
        <v>0.60416666666666663</v>
      </c>
      <c r="P396" s="9" t="str">
        <f>VLOOKUP(A396,HORARIOS!A:E,5,0)</f>
        <v>18:0 hrs</v>
      </c>
    </row>
    <row r="397" spans="1:16" ht="15.75" customHeight="1" x14ac:dyDescent="0.25">
      <c r="A397" s="1" t="str">
        <f t="shared" si="6"/>
        <v>60306</v>
      </c>
      <c r="B397" s="1">
        <v>447</v>
      </c>
      <c r="C397" s="1">
        <v>12</v>
      </c>
      <c r="D397" s="1">
        <v>6030</v>
      </c>
      <c r="E397" s="1" t="s">
        <v>80</v>
      </c>
      <c r="F397" s="1" t="s">
        <v>36</v>
      </c>
      <c r="G397" s="1" t="s">
        <v>96</v>
      </c>
      <c r="H397" s="1" t="s">
        <v>62</v>
      </c>
      <c r="I397" t="s">
        <v>732</v>
      </c>
      <c r="J397" t="s">
        <v>732</v>
      </c>
      <c r="K397" s="1">
        <v>12</v>
      </c>
      <c r="M397" s="1" t="str">
        <f>VLOOKUP(D397,HORARIOS!B:H,7,0)</f>
        <v>Día 1</v>
      </c>
      <c r="N397" s="1">
        <f>VLOOKUP(D397,HORARIOS!B:I,8,0)</f>
        <v>6</v>
      </c>
      <c r="O397" s="9">
        <f>VLOOKUP(D397,HORARIOS!B:D,3,0)</f>
        <v>0.60416666666666663</v>
      </c>
      <c r="P397" s="9" t="str">
        <f>VLOOKUP(A397,HORARIOS!A:E,5,0)</f>
        <v>18:0 hrs</v>
      </c>
    </row>
    <row r="398" spans="1:16" ht="15.75" customHeight="1" x14ac:dyDescent="0.25">
      <c r="A398" s="1" t="str">
        <f t="shared" si="6"/>
        <v>60306</v>
      </c>
      <c r="B398" s="1">
        <v>448</v>
      </c>
      <c r="C398" s="1">
        <v>12</v>
      </c>
      <c r="D398" s="1">
        <v>6030</v>
      </c>
      <c r="E398" s="1" t="s">
        <v>80</v>
      </c>
      <c r="F398" s="1" t="s">
        <v>36</v>
      </c>
      <c r="G398" s="1" t="s">
        <v>98</v>
      </c>
      <c r="H398" s="1" t="s">
        <v>39</v>
      </c>
      <c r="I398" t="s">
        <v>52</v>
      </c>
      <c r="J398" t="s">
        <v>52</v>
      </c>
      <c r="K398" s="1">
        <v>2</v>
      </c>
      <c r="L398" s="1" t="s">
        <v>101</v>
      </c>
      <c r="M398" s="1" t="str">
        <f>VLOOKUP(D398,HORARIOS!B:H,7,0)</f>
        <v>Día 1</v>
      </c>
      <c r="N398" s="1">
        <f>VLOOKUP(D398,HORARIOS!B:I,8,0)</f>
        <v>6</v>
      </c>
      <c r="O398" s="9">
        <f>VLOOKUP(D398,HORARIOS!B:D,3,0)</f>
        <v>0.60416666666666663</v>
      </c>
      <c r="P398" s="9" t="str">
        <f>VLOOKUP(A398,HORARIOS!A:E,5,0)</f>
        <v>18:0 hrs</v>
      </c>
    </row>
    <row r="399" spans="1:16" ht="15.75" customHeight="1" x14ac:dyDescent="0.25">
      <c r="A399" s="1" t="str">
        <f t="shared" si="6"/>
        <v>60306</v>
      </c>
      <c r="B399" s="1">
        <v>449</v>
      </c>
      <c r="C399" s="1">
        <v>12</v>
      </c>
      <c r="D399" s="1">
        <v>6030</v>
      </c>
      <c r="E399" s="1" t="s">
        <v>80</v>
      </c>
      <c r="F399" s="1" t="s">
        <v>36</v>
      </c>
      <c r="G399" s="1" t="s">
        <v>98</v>
      </c>
      <c r="H399" s="1" t="s">
        <v>39</v>
      </c>
      <c r="I399" t="s">
        <v>52</v>
      </c>
      <c r="J399" t="s">
        <v>52</v>
      </c>
      <c r="K399" s="1">
        <v>2</v>
      </c>
      <c r="L399" s="1" t="s">
        <v>101</v>
      </c>
      <c r="M399" s="1" t="str">
        <f>VLOOKUP(D399,HORARIOS!B:H,7,0)</f>
        <v>Día 1</v>
      </c>
      <c r="N399" s="1">
        <f>VLOOKUP(D399,HORARIOS!B:I,8,0)</f>
        <v>6</v>
      </c>
      <c r="O399" s="9">
        <f>VLOOKUP(D399,HORARIOS!B:D,3,0)</f>
        <v>0.60416666666666663</v>
      </c>
      <c r="P399" s="9" t="str">
        <f>VLOOKUP(A399,HORARIOS!A:E,5,0)</f>
        <v>18:0 hrs</v>
      </c>
    </row>
    <row r="400" spans="1:16" ht="15.75" customHeight="1" x14ac:dyDescent="0.25">
      <c r="A400" s="1" t="str">
        <f t="shared" si="6"/>
        <v>60306</v>
      </c>
      <c r="B400" s="1">
        <v>450</v>
      </c>
      <c r="C400" s="1">
        <v>12</v>
      </c>
      <c r="D400" s="1">
        <v>6030</v>
      </c>
      <c r="E400" s="1" t="s">
        <v>80</v>
      </c>
      <c r="F400" s="1" t="s">
        <v>36</v>
      </c>
      <c r="G400" s="1" t="s">
        <v>114</v>
      </c>
      <c r="H400" s="1" t="s">
        <v>39</v>
      </c>
      <c r="I400" t="s">
        <v>52</v>
      </c>
      <c r="J400" t="s">
        <v>52</v>
      </c>
      <c r="K400" s="1">
        <v>2</v>
      </c>
      <c r="L400" s="1" t="s">
        <v>115</v>
      </c>
      <c r="M400" s="1" t="str">
        <f>VLOOKUP(D400,HORARIOS!B:H,7,0)</f>
        <v>Día 1</v>
      </c>
      <c r="N400" s="1">
        <f>VLOOKUP(D400,HORARIOS!B:I,8,0)</f>
        <v>6</v>
      </c>
      <c r="O400" s="9">
        <f>VLOOKUP(D400,HORARIOS!B:D,3,0)</f>
        <v>0.60416666666666663</v>
      </c>
      <c r="P400" s="9" t="str">
        <f>VLOOKUP(A400,HORARIOS!A:E,5,0)</f>
        <v>18:0 hrs</v>
      </c>
    </row>
    <row r="401" spans="1:16" ht="15.75" customHeight="1" x14ac:dyDescent="0.25">
      <c r="A401" s="1" t="str">
        <f t="shared" si="6"/>
        <v>60306</v>
      </c>
      <c r="B401" s="1">
        <v>452</v>
      </c>
      <c r="C401" s="1">
        <v>12</v>
      </c>
      <c r="D401" s="1">
        <v>6030</v>
      </c>
      <c r="E401" s="1" t="s">
        <v>80</v>
      </c>
      <c r="F401" s="1" t="s">
        <v>36</v>
      </c>
      <c r="G401" s="1" t="s">
        <v>134</v>
      </c>
      <c r="H401" s="1" t="s">
        <v>135</v>
      </c>
      <c r="I401" t="s">
        <v>733</v>
      </c>
      <c r="J401" t="s">
        <v>734</v>
      </c>
      <c r="K401" s="1">
        <v>12</v>
      </c>
      <c r="L401" s="1" t="s">
        <v>138</v>
      </c>
      <c r="M401" s="1" t="str">
        <f>VLOOKUP(D401,HORARIOS!B:H,7,0)</f>
        <v>Día 1</v>
      </c>
      <c r="N401" s="1">
        <f>VLOOKUP(D401,HORARIOS!B:I,8,0)</f>
        <v>6</v>
      </c>
      <c r="O401" s="9">
        <f>VLOOKUP(D401,HORARIOS!B:D,3,0)</f>
        <v>0.60416666666666663</v>
      </c>
      <c r="P401" s="9" t="str">
        <f>VLOOKUP(A401,HORARIOS!A:E,5,0)</f>
        <v>18:0 hrs</v>
      </c>
    </row>
    <row r="402" spans="1:16" ht="15.75" customHeight="1" x14ac:dyDescent="0.25">
      <c r="A402" s="1" t="str">
        <f t="shared" si="6"/>
        <v>60306</v>
      </c>
      <c r="B402" s="1">
        <v>453</v>
      </c>
      <c r="C402" s="1">
        <v>12</v>
      </c>
      <c r="D402" s="1">
        <v>6030</v>
      </c>
      <c r="E402" s="1" t="s">
        <v>80</v>
      </c>
      <c r="F402" s="1" t="s">
        <v>36</v>
      </c>
      <c r="G402" s="1" t="s">
        <v>145</v>
      </c>
      <c r="H402" s="1" t="s">
        <v>52</v>
      </c>
      <c r="I402" t="s">
        <v>735</v>
      </c>
      <c r="J402" t="s">
        <v>736</v>
      </c>
      <c r="K402" s="1">
        <v>12</v>
      </c>
      <c r="M402" s="1" t="str">
        <f>VLOOKUP(D402,HORARIOS!B:H,7,0)</f>
        <v>Día 1</v>
      </c>
      <c r="N402" s="1">
        <f>VLOOKUP(D402,HORARIOS!B:I,8,0)</f>
        <v>6</v>
      </c>
      <c r="O402" s="9">
        <f>VLOOKUP(D402,HORARIOS!B:D,3,0)</f>
        <v>0.60416666666666663</v>
      </c>
      <c r="P402" s="9" t="str">
        <f>VLOOKUP(A402,HORARIOS!A:E,5,0)</f>
        <v>18:0 hrs</v>
      </c>
    </row>
    <row r="403" spans="1:16" ht="15.75" customHeight="1" x14ac:dyDescent="0.25">
      <c r="A403" s="1" t="str">
        <f t="shared" si="6"/>
        <v>60306</v>
      </c>
      <c r="B403" s="1">
        <v>454</v>
      </c>
      <c r="C403" s="1">
        <v>12</v>
      </c>
      <c r="D403" s="1">
        <v>6030</v>
      </c>
      <c r="E403" s="1" t="s">
        <v>80</v>
      </c>
      <c r="F403" s="1" t="s">
        <v>36</v>
      </c>
      <c r="G403" s="1" t="s">
        <v>159</v>
      </c>
      <c r="H403" s="1" t="s">
        <v>160</v>
      </c>
      <c r="I403" t="s">
        <v>737</v>
      </c>
      <c r="J403" t="s">
        <v>738</v>
      </c>
      <c r="K403" s="1">
        <v>12</v>
      </c>
      <c r="M403" s="1" t="str">
        <f>VLOOKUP(D403,HORARIOS!B:H,7,0)</f>
        <v>Día 1</v>
      </c>
      <c r="N403" s="1">
        <f>VLOOKUP(D403,HORARIOS!B:I,8,0)</f>
        <v>6</v>
      </c>
      <c r="O403" s="9">
        <f>VLOOKUP(D403,HORARIOS!B:D,3,0)</f>
        <v>0.60416666666666663</v>
      </c>
      <c r="P403" s="9" t="str">
        <f>VLOOKUP(A403,HORARIOS!A:E,5,0)</f>
        <v>18:0 hrs</v>
      </c>
    </row>
    <row r="404" spans="1:16" ht="15.75" customHeight="1" x14ac:dyDescent="0.25">
      <c r="A404" s="1" t="str">
        <f t="shared" si="6"/>
        <v>60314</v>
      </c>
      <c r="B404" s="1">
        <v>455</v>
      </c>
      <c r="C404" s="1">
        <v>17</v>
      </c>
      <c r="D404" s="1">
        <v>6031</v>
      </c>
      <c r="E404" s="1" t="s">
        <v>635</v>
      </c>
      <c r="F404" s="1" t="s">
        <v>36</v>
      </c>
      <c r="G404" s="1" t="s">
        <v>37</v>
      </c>
      <c r="H404" s="1" t="s">
        <v>39</v>
      </c>
      <c r="I404" t="s">
        <v>739</v>
      </c>
      <c r="J404" t="s">
        <v>740</v>
      </c>
      <c r="K404" s="1">
        <v>12</v>
      </c>
      <c r="L404" s="1" t="s">
        <v>41</v>
      </c>
      <c r="M404" s="1" t="str">
        <f>VLOOKUP(D404,HORARIOS!B:H,7,0)</f>
        <v>Día 1</v>
      </c>
      <c r="N404" s="1">
        <f>VLOOKUP(D404,HORARIOS!B:I,8,0)</f>
        <v>4</v>
      </c>
      <c r="O404" s="9">
        <f>VLOOKUP(D404,HORARIOS!B:D,3,0)</f>
        <v>0.47916666666666669</v>
      </c>
      <c r="P404" s="9" t="str">
        <f>VLOOKUP(A404,HORARIOS!A:E,5,0)</f>
        <v>16:00 hrs</v>
      </c>
    </row>
    <row r="405" spans="1:16" ht="15.75" customHeight="1" x14ac:dyDescent="0.25">
      <c r="A405" s="1" t="str">
        <f t="shared" si="6"/>
        <v>60314</v>
      </c>
      <c r="B405" s="1">
        <v>456</v>
      </c>
      <c r="C405" s="1">
        <v>17</v>
      </c>
      <c r="D405" s="1">
        <v>6031</v>
      </c>
      <c r="E405" s="1" t="s">
        <v>635</v>
      </c>
      <c r="F405" s="1" t="s">
        <v>36</v>
      </c>
      <c r="G405" s="1" t="s">
        <v>51</v>
      </c>
      <c r="H405" s="1" t="s">
        <v>52</v>
      </c>
      <c r="I405" t="s">
        <v>741</v>
      </c>
      <c r="J405" t="s">
        <v>742</v>
      </c>
      <c r="K405" s="1">
        <v>12</v>
      </c>
      <c r="M405" s="1" t="str">
        <f>VLOOKUP(D405,HORARIOS!B:H,7,0)</f>
        <v>Día 1</v>
      </c>
      <c r="N405" s="1">
        <f>VLOOKUP(D405,HORARIOS!B:I,8,0)</f>
        <v>4</v>
      </c>
      <c r="O405" s="9">
        <f>VLOOKUP(D405,HORARIOS!B:D,3,0)</f>
        <v>0.47916666666666669</v>
      </c>
      <c r="P405" s="9" t="str">
        <f>VLOOKUP(A405,HORARIOS!A:E,5,0)</f>
        <v>16:00 hrs</v>
      </c>
    </row>
    <row r="406" spans="1:16" ht="15.75" customHeight="1" x14ac:dyDescent="0.25">
      <c r="A406" s="1" t="str">
        <f t="shared" si="6"/>
        <v>60314</v>
      </c>
      <c r="B406" s="1">
        <v>457</v>
      </c>
      <c r="C406" s="1">
        <v>17</v>
      </c>
      <c r="D406" s="1">
        <v>6031</v>
      </c>
      <c r="E406" s="1" t="s">
        <v>635</v>
      </c>
      <c r="F406" s="1" t="s">
        <v>36</v>
      </c>
      <c r="G406" s="1" t="s">
        <v>61</v>
      </c>
      <c r="H406" s="1" t="s">
        <v>62</v>
      </c>
      <c r="I406" t="s">
        <v>743</v>
      </c>
      <c r="J406" t="s">
        <v>743</v>
      </c>
      <c r="K406" s="1">
        <v>12</v>
      </c>
      <c r="L406" s="1" t="s">
        <v>64</v>
      </c>
      <c r="M406" s="1" t="str">
        <f>VLOOKUP(D406,HORARIOS!B:H,7,0)</f>
        <v>Día 1</v>
      </c>
      <c r="N406" s="1">
        <f>VLOOKUP(D406,HORARIOS!B:I,8,0)</f>
        <v>4</v>
      </c>
      <c r="O406" s="9">
        <f>VLOOKUP(D406,HORARIOS!B:D,3,0)</f>
        <v>0.47916666666666669</v>
      </c>
      <c r="P406" s="9" t="str">
        <f>VLOOKUP(A406,HORARIOS!A:E,5,0)</f>
        <v>16:00 hrs</v>
      </c>
    </row>
    <row r="407" spans="1:16" ht="15.75" customHeight="1" x14ac:dyDescent="0.25">
      <c r="A407" s="1" t="str">
        <f t="shared" si="6"/>
        <v>60314</v>
      </c>
      <c r="B407" s="1">
        <v>458</v>
      </c>
      <c r="C407" s="1">
        <v>17</v>
      </c>
      <c r="D407" s="1">
        <v>6031</v>
      </c>
      <c r="E407" s="1" t="s">
        <v>635</v>
      </c>
      <c r="F407" s="1" t="s">
        <v>36</v>
      </c>
      <c r="G407" s="1" t="s">
        <v>72</v>
      </c>
      <c r="H407" s="1" t="s">
        <v>73</v>
      </c>
      <c r="I407" t="s">
        <v>744</v>
      </c>
      <c r="J407" t="s">
        <v>745</v>
      </c>
      <c r="K407" s="1">
        <v>12</v>
      </c>
      <c r="M407" s="1" t="str">
        <f>VLOOKUP(D407,HORARIOS!B:H,7,0)</f>
        <v>Día 1</v>
      </c>
      <c r="N407" s="1">
        <f>VLOOKUP(D407,HORARIOS!B:I,8,0)</f>
        <v>4</v>
      </c>
      <c r="O407" s="9">
        <f>VLOOKUP(D407,HORARIOS!B:D,3,0)</f>
        <v>0.47916666666666669</v>
      </c>
      <c r="P407" s="9" t="str">
        <f>VLOOKUP(A407,HORARIOS!A:E,5,0)</f>
        <v>16:00 hrs</v>
      </c>
    </row>
    <row r="408" spans="1:16" ht="15.75" customHeight="1" x14ac:dyDescent="0.25">
      <c r="A408" s="1" t="str">
        <f t="shared" si="6"/>
        <v>60314</v>
      </c>
      <c r="B408" s="1">
        <v>460</v>
      </c>
      <c r="C408" s="1">
        <v>17</v>
      </c>
      <c r="D408" s="1">
        <v>6031</v>
      </c>
      <c r="E408" s="1" t="s">
        <v>635</v>
      </c>
      <c r="F408" s="1" t="s">
        <v>36</v>
      </c>
      <c r="G408" s="1" t="s">
        <v>88</v>
      </c>
      <c r="H408" s="1" t="s">
        <v>90</v>
      </c>
      <c r="I408" t="s">
        <v>746</v>
      </c>
      <c r="J408" t="s">
        <v>747</v>
      </c>
      <c r="K408" s="1">
        <v>12</v>
      </c>
      <c r="M408" s="1" t="str">
        <f>VLOOKUP(D408,HORARIOS!B:H,7,0)</f>
        <v>Día 1</v>
      </c>
      <c r="N408" s="1">
        <f>VLOOKUP(D408,HORARIOS!B:I,8,0)</f>
        <v>4</v>
      </c>
      <c r="O408" s="9">
        <f>VLOOKUP(D408,HORARIOS!B:D,3,0)</f>
        <v>0.47916666666666669</v>
      </c>
      <c r="P408" s="9" t="str">
        <f>VLOOKUP(A408,HORARIOS!A:E,5,0)</f>
        <v>16:00 hrs</v>
      </c>
    </row>
    <row r="409" spans="1:16" ht="15.75" customHeight="1" x14ac:dyDescent="0.25">
      <c r="A409" s="1" t="str">
        <f t="shared" si="6"/>
        <v>60314</v>
      </c>
      <c r="B409" s="1">
        <v>461</v>
      </c>
      <c r="C409" s="1">
        <v>17</v>
      </c>
      <c r="D409" s="1">
        <v>6031</v>
      </c>
      <c r="E409" s="1" t="s">
        <v>635</v>
      </c>
      <c r="F409" s="1" t="s">
        <v>36</v>
      </c>
      <c r="G409" s="1" t="s">
        <v>96</v>
      </c>
      <c r="H409" s="1" t="s">
        <v>62</v>
      </c>
      <c r="I409" t="s">
        <v>748</v>
      </c>
      <c r="J409" t="s">
        <v>748</v>
      </c>
      <c r="K409" s="1">
        <v>12</v>
      </c>
      <c r="M409" s="1" t="str">
        <f>VLOOKUP(D409,HORARIOS!B:H,7,0)</f>
        <v>Día 1</v>
      </c>
      <c r="N409" s="1">
        <f>VLOOKUP(D409,HORARIOS!B:I,8,0)</f>
        <v>4</v>
      </c>
      <c r="O409" s="9">
        <f>VLOOKUP(D409,HORARIOS!B:D,3,0)</f>
        <v>0.47916666666666669</v>
      </c>
      <c r="P409" s="9" t="str">
        <f>VLOOKUP(A409,HORARIOS!A:E,5,0)</f>
        <v>16:00 hrs</v>
      </c>
    </row>
    <row r="410" spans="1:16" ht="15.75" customHeight="1" x14ac:dyDescent="0.25">
      <c r="A410" s="1" t="str">
        <f t="shared" si="6"/>
        <v>60314</v>
      </c>
      <c r="B410" s="1">
        <v>462</v>
      </c>
      <c r="C410" s="1">
        <v>17</v>
      </c>
      <c r="D410" s="1">
        <v>6031</v>
      </c>
      <c r="E410" s="1" t="s">
        <v>635</v>
      </c>
      <c r="F410" s="1" t="s">
        <v>36</v>
      </c>
      <c r="G410" s="1" t="s">
        <v>98</v>
      </c>
      <c r="H410" s="1" t="s">
        <v>39</v>
      </c>
      <c r="I410" t="s">
        <v>52</v>
      </c>
      <c r="J410" t="s">
        <v>52</v>
      </c>
      <c r="K410" s="1">
        <v>2</v>
      </c>
      <c r="L410" s="1" t="s">
        <v>101</v>
      </c>
      <c r="M410" s="1" t="str">
        <f>VLOOKUP(D410,HORARIOS!B:H,7,0)</f>
        <v>Día 1</v>
      </c>
      <c r="N410" s="1">
        <f>VLOOKUP(D410,HORARIOS!B:I,8,0)</f>
        <v>4</v>
      </c>
      <c r="O410" s="9">
        <f>VLOOKUP(D410,HORARIOS!B:D,3,0)</f>
        <v>0.47916666666666669</v>
      </c>
      <c r="P410" s="9" t="str">
        <f>VLOOKUP(A410,HORARIOS!A:E,5,0)</f>
        <v>16:00 hrs</v>
      </c>
    </row>
    <row r="411" spans="1:16" ht="15.75" customHeight="1" x14ac:dyDescent="0.25">
      <c r="A411" s="1" t="str">
        <f t="shared" si="6"/>
        <v>60314</v>
      </c>
      <c r="B411" s="1">
        <v>463</v>
      </c>
      <c r="C411" s="1">
        <v>17</v>
      </c>
      <c r="D411" s="1">
        <v>6031</v>
      </c>
      <c r="E411" s="1" t="s">
        <v>635</v>
      </c>
      <c r="F411" s="1" t="s">
        <v>36</v>
      </c>
      <c r="G411" s="1" t="s">
        <v>98</v>
      </c>
      <c r="H411" s="1" t="s">
        <v>39</v>
      </c>
      <c r="I411" t="s">
        <v>52</v>
      </c>
      <c r="J411" t="s">
        <v>52</v>
      </c>
      <c r="K411" s="1">
        <v>2</v>
      </c>
      <c r="L411" s="1" t="s">
        <v>101</v>
      </c>
      <c r="M411" s="1" t="str">
        <f>VLOOKUP(D411,HORARIOS!B:H,7,0)</f>
        <v>Día 1</v>
      </c>
      <c r="N411" s="1">
        <f>VLOOKUP(D411,HORARIOS!B:I,8,0)</f>
        <v>4</v>
      </c>
      <c r="O411" s="9">
        <f>VLOOKUP(D411,HORARIOS!B:D,3,0)</f>
        <v>0.47916666666666669</v>
      </c>
      <c r="P411" s="9" t="str">
        <f>VLOOKUP(A411,HORARIOS!A:E,5,0)</f>
        <v>16:00 hrs</v>
      </c>
    </row>
    <row r="412" spans="1:16" ht="15.75" customHeight="1" x14ac:dyDescent="0.25">
      <c r="A412" s="1" t="str">
        <f t="shared" si="6"/>
        <v>60314</v>
      </c>
      <c r="B412" s="1">
        <v>464</v>
      </c>
      <c r="C412" s="1">
        <v>17</v>
      </c>
      <c r="D412" s="1">
        <v>6031</v>
      </c>
      <c r="E412" s="1" t="s">
        <v>635</v>
      </c>
      <c r="F412" s="1" t="s">
        <v>36</v>
      </c>
      <c r="G412" s="1" t="s">
        <v>98</v>
      </c>
      <c r="H412" s="1" t="s">
        <v>39</v>
      </c>
      <c r="I412" t="s">
        <v>52</v>
      </c>
      <c r="J412" t="s">
        <v>52</v>
      </c>
      <c r="K412" s="1">
        <v>2</v>
      </c>
      <c r="L412" s="1" t="s">
        <v>101</v>
      </c>
      <c r="M412" s="1" t="str">
        <f>VLOOKUP(D412,HORARIOS!B:H,7,0)</f>
        <v>Día 1</v>
      </c>
      <c r="N412" s="1">
        <f>VLOOKUP(D412,HORARIOS!B:I,8,0)</f>
        <v>4</v>
      </c>
      <c r="O412" s="9">
        <f>VLOOKUP(D412,HORARIOS!B:D,3,0)</f>
        <v>0.47916666666666669</v>
      </c>
      <c r="P412" s="9" t="str">
        <f>VLOOKUP(A412,HORARIOS!A:E,5,0)</f>
        <v>16:00 hrs</v>
      </c>
    </row>
    <row r="413" spans="1:16" ht="15.75" customHeight="1" x14ac:dyDescent="0.25">
      <c r="A413" s="1" t="str">
        <f t="shared" si="6"/>
        <v>60314</v>
      </c>
      <c r="B413" s="1">
        <v>465</v>
      </c>
      <c r="C413" s="1">
        <v>17</v>
      </c>
      <c r="D413" s="1">
        <v>6031</v>
      </c>
      <c r="E413" s="1" t="s">
        <v>635</v>
      </c>
      <c r="F413" s="1" t="s">
        <v>36</v>
      </c>
      <c r="G413" s="1" t="s">
        <v>98</v>
      </c>
      <c r="H413" s="1" t="s">
        <v>563</v>
      </c>
      <c r="I413" t="s">
        <v>52</v>
      </c>
      <c r="J413" t="s">
        <v>52</v>
      </c>
      <c r="K413" s="1">
        <v>2</v>
      </c>
      <c r="L413" s="1" t="s">
        <v>101</v>
      </c>
      <c r="M413" s="1" t="str">
        <f>VLOOKUP(D413,HORARIOS!B:H,7,0)</f>
        <v>Día 1</v>
      </c>
      <c r="N413" s="1">
        <f>VLOOKUP(D413,HORARIOS!B:I,8,0)</f>
        <v>4</v>
      </c>
      <c r="O413" s="9">
        <f>VLOOKUP(D413,HORARIOS!B:D,3,0)</f>
        <v>0.47916666666666669</v>
      </c>
      <c r="P413" s="9" t="str">
        <f>VLOOKUP(A413,HORARIOS!A:E,5,0)</f>
        <v>16:00 hrs</v>
      </c>
    </row>
    <row r="414" spans="1:16" ht="15.75" customHeight="1" x14ac:dyDescent="0.25">
      <c r="A414" s="1" t="str">
        <f t="shared" si="6"/>
        <v>60314</v>
      </c>
      <c r="B414" s="1">
        <v>466</v>
      </c>
      <c r="C414" s="1">
        <v>17</v>
      </c>
      <c r="D414" s="1">
        <v>6031</v>
      </c>
      <c r="E414" s="1" t="s">
        <v>635</v>
      </c>
      <c r="F414" s="1" t="s">
        <v>36</v>
      </c>
      <c r="G414" s="1" t="s">
        <v>98</v>
      </c>
      <c r="H414" s="1" t="s">
        <v>563</v>
      </c>
      <c r="I414" t="s">
        <v>52</v>
      </c>
      <c r="J414" t="s">
        <v>52</v>
      </c>
      <c r="K414" s="1">
        <v>2</v>
      </c>
      <c r="L414" s="1" t="s">
        <v>101</v>
      </c>
      <c r="M414" s="1" t="str">
        <f>VLOOKUP(D414,HORARIOS!B:H,7,0)</f>
        <v>Día 1</v>
      </c>
      <c r="N414" s="1">
        <f>VLOOKUP(D414,HORARIOS!B:I,8,0)</f>
        <v>4</v>
      </c>
      <c r="O414" s="9">
        <f>VLOOKUP(D414,HORARIOS!B:D,3,0)</f>
        <v>0.47916666666666669</v>
      </c>
      <c r="P414" s="9" t="str">
        <f>VLOOKUP(A414,HORARIOS!A:E,5,0)</f>
        <v>16:00 hrs</v>
      </c>
    </row>
    <row r="415" spans="1:16" ht="15.75" customHeight="1" x14ac:dyDescent="0.25">
      <c r="A415" s="1" t="str">
        <f t="shared" si="6"/>
        <v>60314</v>
      </c>
      <c r="B415" s="1">
        <v>467</v>
      </c>
      <c r="C415" s="1">
        <v>17</v>
      </c>
      <c r="D415" s="1">
        <v>6031</v>
      </c>
      <c r="E415" s="1" t="s">
        <v>635</v>
      </c>
      <c r="F415" s="1" t="s">
        <v>36</v>
      </c>
      <c r="G415" s="1" t="s">
        <v>98</v>
      </c>
      <c r="H415" s="1" t="s">
        <v>563</v>
      </c>
      <c r="I415" t="s">
        <v>52</v>
      </c>
      <c r="J415" t="s">
        <v>52</v>
      </c>
      <c r="K415" s="1">
        <v>2</v>
      </c>
      <c r="L415" s="1" t="s">
        <v>101</v>
      </c>
      <c r="M415" s="1" t="str">
        <f>VLOOKUP(D415,HORARIOS!B:H,7,0)</f>
        <v>Día 1</v>
      </c>
      <c r="N415" s="1">
        <f>VLOOKUP(D415,HORARIOS!B:I,8,0)</f>
        <v>4</v>
      </c>
      <c r="O415" s="9">
        <f>VLOOKUP(D415,HORARIOS!B:D,3,0)</f>
        <v>0.47916666666666669</v>
      </c>
      <c r="P415" s="9" t="str">
        <f>VLOOKUP(A415,HORARIOS!A:E,5,0)</f>
        <v>16:00 hrs</v>
      </c>
    </row>
    <row r="416" spans="1:16" ht="15.75" customHeight="1" x14ac:dyDescent="0.25">
      <c r="A416" s="1" t="str">
        <f t="shared" si="6"/>
        <v>60314</v>
      </c>
      <c r="B416" s="1">
        <v>469</v>
      </c>
      <c r="C416" s="1">
        <v>17</v>
      </c>
      <c r="D416" s="1">
        <v>6031</v>
      </c>
      <c r="E416" s="1" t="s">
        <v>635</v>
      </c>
      <c r="F416" s="1" t="s">
        <v>36</v>
      </c>
      <c r="G416" s="1" t="s">
        <v>98</v>
      </c>
      <c r="H416" s="1" t="s">
        <v>352</v>
      </c>
      <c r="I416" t="s">
        <v>52</v>
      </c>
      <c r="J416" t="s">
        <v>52</v>
      </c>
      <c r="K416" s="1">
        <v>2</v>
      </c>
      <c r="L416" s="1" t="s">
        <v>101</v>
      </c>
      <c r="M416" s="1" t="str">
        <f>VLOOKUP(D416,HORARIOS!B:H,7,0)</f>
        <v>Día 1</v>
      </c>
      <c r="N416" s="1">
        <f>VLOOKUP(D416,HORARIOS!B:I,8,0)</f>
        <v>4</v>
      </c>
      <c r="O416" s="9">
        <f>VLOOKUP(D416,HORARIOS!B:D,3,0)</f>
        <v>0.47916666666666669</v>
      </c>
      <c r="P416" s="9" t="str">
        <f>VLOOKUP(A416,HORARIOS!A:E,5,0)</f>
        <v>16:00 hrs</v>
      </c>
    </row>
    <row r="417" spans="1:16" ht="15.75" customHeight="1" x14ac:dyDescent="0.25">
      <c r="A417" s="1" t="str">
        <f t="shared" si="6"/>
        <v>60314</v>
      </c>
      <c r="B417" s="1">
        <v>470</v>
      </c>
      <c r="C417" s="1">
        <v>17</v>
      </c>
      <c r="D417" s="1">
        <v>6031</v>
      </c>
      <c r="E417" s="1" t="s">
        <v>635</v>
      </c>
      <c r="F417" s="1" t="s">
        <v>36</v>
      </c>
      <c r="G417" s="1" t="s">
        <v>114</v>
      </c>
      <c r="H417" s="1" t="s">
        <v>39</v>
      </c>
      <c r="I417" t="s">
        <v>52</v>
      </c>
      <c r="J417" t="s">
        <v>52</v>
      </c>
      <c r="K417" s="1">
        <v>2</v>
      </c>
      <c r="L417" s="1" t="s">
        <v>115</v>
      </c>
      <c r="M417" s="1" t="str">
        <f>VLOOKUP(D417,HORARIOS!B:H,7,0)</f>
        <v>Día 1</v>
      </c>
      <c r="N417" s="1">
        <f>VLOOKUP(D417,HORARIOS!B:I,8,0)</f>
        <v>4</v>
      </c>
      <c r="O417" s="9">
        <f>VLOOKUP(D417,HORARIOS!B:D,3,0)</f>
        <v>0.47916666666666669</v>
      </c>
      <c r="P417" s="9" t="str">
        <f>VLOOKUP(A417,HORARIOS!A:E,5,0)</f>
        <v>16:00 hrs</v>
      </c>
    </row>
    <row r="418" spans="1:16" ht="15.75" customHeight="1" x14ac:dyDescent="0.25">
      <c r="A418" s="1" t="str">
        <f t="shared" si="6"/>
        <v>60314</v>
      </c>
      <c r="B418" s="1">
        <v>471</v>
      </c>
      <c r="C418" s="1">
        <v>17</v>
      </c>
      <c r="D418" s="1">
        <v>6031</v>
      </c>
      <c r="E418" s="1" t="s">
        <v>635</v>
      </c>
      <c r="F418" s="1" t="s">
        <v>36</v>
      </c>
      <c r="G418" s="1" t="s">
        <v>134</v>
      </c>
      <c r="H418" s="1" t="s">
        <v>135</v>
      </c>
      <c r="I418" t="s">
        <v>749</v>
      </c>
      <c r="J418" t="s">
        <v>750</v>
      </c>
      <c r="K418" s="1">
        <v>12</v>
      </c>
      <c r="L418" s="1" t="s">
        <v>138</v>
      </c>
      <c r="M418" s="1" t="str">
        <f>VLOOKUP(D418,HORARIOS!B:H,7,0)</f>
        <v>Día 1</v>
      </c>
      <c r="N418" s="1">
        <f>VLOOKUP(D418,HORARIOS!B:I,8,0)</f>
        <v>4</v>
      </c>
      <c r="O418" s="9">
        <f>VLOOKUP(D418,HORARIOS!B:D,3,0)</f>
        <v>0.47916666666666669</v>
      </c>
      <c r="P418" s="9" t="str">
        <f>VLOOKUP(A418,HORARIOS!A:E,5,0)</f>
        <v>16:00 hrs</v>
      </c>
    </row>
    <row r="419" spans="1:16" ht="15.75" customHeight="1" x14ac:dyDescent="0.25">
      <c r="A419" s="1" t="str">
        <f t="shared" si="6"/>
        <v>60314</v>
      </c>
      <c r="B419" s="1">
        <v>472</v>
      </c>
      <c r="C419" s="1">
        <v>17</v>
      </c>
      <c r="D419" s="1">
        <v>6031</v>
      </c>
      <c r="E419" s="1" t="s">
        <v>635</v>
      </c>
      <c r="F419" s="1" t="s">
        <v>36</v>
      </c>
      <c r="G419" s="1" t="s">
        <v>145</v>
      </c>
      <c r="H419" s="1" t="s">
        <v>52</v>
      </c>
      <c r="I419" t="s">
        <v>751</v>
      </c>
      <c r="J419" t="s">
        <v>752</v>
      </c>
      <c r="K419" s="1">
        <v>12</v>
      </c>
      <c r="M419" s="1" t="str">
        <f>VLOOKUP(D419,HORARIOS!B:H,7,0)</f>
        <v>Día 1</v>
      </c>
      <c r="N419" s="1">
        <f>VLOOKUP(D419,HORARIOS!B:I,8,0)</f>
        <v>4</v>
      </c>
      <c r="O419" s="9">
        <f>VLOOKUP(D419,HORARIOS!B:D,3,0)</f>
        <v>0.47916666666666669</v>
      </c>
      <c r="P419" s="9" t="str">
        <f>VLOOKUP(A419,HORARIOS!A:E,5,0)</f>
        <v>16:00 hrs</v>
      </c>
    </row>
    <row r="420" spans="1:16" ht="15.75" customHeight="1" x14ac:dyDescent="0.25">
      <c r="A420" s="1" t="str">
        <f t="shared" si="6"/>
        <v>60314</v>
      </c>
      <c r="B420" s="1">
        <v>473</v>
      </c>
      <c r="C420" s="1">
        <v>17</v>
      </c>
      <c r="D420" s="1">
        <v>6031</v>
      </c>
      <c r="E420" s="1" t="s">
        <v>635</v>
      </c>
      <c r="F420" s="1" t="s">
        <v>36</v>
      </c>
      <c r="G420" s="1" t="s">
        <v>159</v>
      </c>
      <c r="H420" s="1" t="s">
        <v>160</v>
      </c>
      <c r="I420" t="s">
        <v>753</v>
      </c>
      <c r="J420" t="s">
        <v>754</v>
      </c>
      <c r="K420" s="1">
        <v>12</v>
      </c>
      <c r="M420" s="1" t="str">
        <f>VLOOKUP(D420,HORARIOS!B:H,7,0)</f>
        <v>Día 1</v>
      </c>
      <c r="N420" s="1">
        <f>VLOOKUP(D420,HORARIOS!B:I,8,0)</f>
        <v>4</v>
      </c>
      <c r="O420" s="9">
        <f>VLOOKUP(D420,HORARIOS!B:D,3,0)</f>
        <v>0.47916666666666669</v>
      </c>
      <c r="P420" s="9" t="str">
        <f>VLOOKUP(A420,HORARIOS!A:E,5,0)</f>
        <v>16:00 hrs</v>
      </c>
    </row>
    <row r="421" spans="1:16" ht="15.75" customHeight="1" x14ac:dyDescent="0.25">
      <c r="A421" s="1" t="str">
        <f t="shared" si="6"/>
        <v>60325</v>
      </c>
      <c r="B421" s="1">
        <v>474</v>
      </c>
      <c r="C421" s="1">
        <v>12</v>
      </c>
      <c r="D421" s="1">
        <v>6032</v>
      </c>
      <c r="E421" s="1" t="s">
        <v>80</v>
      </c>
      <c r="F421" s="1" t="s">
        <v>36</v>
      </c>
      <c r="G421" s="1" t="s">
        <v>37</v>
      </c>
      <c r="H421" s="1" t="s">
        <v>39</v>
      </c>
      <c r="I421" t="s">
        <v>755</v>
      </c>
      <c r="J421" t="s">
        <v>755</v>
      </c>
      <c r="K421" s="1">
        <v>13</v>
      </c>
      <c r="L421" s="1" t="s">
        <v>41</v>
      </c>
      <c r="M421" s="1" t="str">
        <f>VLOOKUP(D421,HORARIOS!B:H,7,0)</f>
        <v>Día 1</v>
      </c>
      <c r="N421" s="1">
        <f>VLOOKUP(D421,HORARIOS!B:I,8,0)</f>
        <v>5</v>
      </c>
      <c r="O421" s="9">
        <f>VLOOKUP(D421,HORARIOS!B:D,3,0)</f>
        <v>0.5625</v>
      </c>
      <c r="P421" s="9" t="str">
        <f>VLOOKUP(A421,HORARIOS!A:E,5,0)</f>
        <v>17:00 hrs</v>
      </c>
    </row>
    <row r="422" spans="1:16" ht="15.75" customHeight="1" x14ac:dyDescent="0.25">
      <c r="A422" s="1" t="str">
        <f t="shared" si="6"/>
        <v>60325</v>
      </c>
      <c r="B422" s="1">
        <v>475</v>
      </c>
      <c r="C422" s="1">
        <v>12</v>
      </c>
      <c r="D422" s="1">
        <v>6032</v>
      </c>
      <c r="E422" s="1" t="s">
        <v>80</v>
      </c>
      <c r="F422" s="1" t="s">
        <v>36</v>
      </c>
      <c r="G422" s="1" t="s">
        <v>51</v>
      </c>
      <c r="H422" s="1" t="s">
        <v>52</v>
      </c>
      <c r="I422" t="s">
        <v>756</v>
      </c>
      <c r="J422" t="s">
        <v>756</v>
      </c>
      <c r="K422" s="1">
        <v>12</v>
      </c>
      <c r="M422" s="1" t="str">
        <f>VLOOKUP(D422,HORARIOS!B:H,7,0)</f>
        <v>Día 1</v>
      </c>
      <c r="N422" s="1">
        <f>VLOOKUP(D422,HORARIOS!B:I,8,0)</f>
        <v>5</v>
      </c>
      <c r="O422" s="9">
        <f>VLOOKUP(D422,HORARIOS!B:D,3,0)</f>
        <v>0.5625</v>
      </c>
      <c r="P422" s="9" t="str">
        <f>VLOOKUP(A422,HORARIOS!A:E,5,0)</f>
        <v>17:00 hrs</v>
      </c>
    </row>
    <row r="423" spans="1:16" ht="15.75" customHeight="1" x14ac:dyDescent="0.25">
      <c r="A423" s="1" t="str">
        <f t="shared" si="6"/>
        <v>60325</v>
      </c>
      <c r="B423" s="1">
        <v>477</v>
      </c>
      <c r="C423" s="1">
        <v>12</v>
      </c>
      <c r="D423" s="1">
        <v>6032</v>
      </c>
      <c r="E423" s="1" t="s">
        <v>80</v>
      </c>
      <c r="F423" s="1" t="s">
        <v>36</v>
      </c>
      <c r="G423" s="1" t="s">
        <v>61</v>
      </c>
      <c r="H423" s="1" t="s">
        <v>62</v>
      </c>
      <c r="I423" t="s">
        <v>757</v>
      </c>
      <c r="J423" t="s">
        <v>758</v>
      </c>
      <c r="K423" s="1">
        <v>12</v>
      </c>
      <c r="L423" s="1" t="s">
        <v>64</v>
      </c>
      <c r="M423" s="1" t="str">
        <f>VLOOKUP(D423,HORARIOS!B:H,7,0)</f>
        <v>Día 1</v>
      </c>
      <c r="N423" s="1">
        <f>VLOOKUP(D423,HORARIOS!B:I,8,0)</f>
        <v>5</v>
      </c>
      <c r="O423" s="9">
        <f>VLOOKUP(D423,HORARIOS!B:D,3,0)</f>
        <v>0.5625</v>
      </c>
      <c r="P423" s="9" t="str">
        <f>VLOOKUP(A423,HORARIOS!A:E,5,0)</f>
        <v>17:00 hrs</v>
      </c>
    </row>
    <row r="424" spans="1:16" ht="15.75" customHeight="1" x14ac:dyDescent="0.25">
      <c r="A424" s="1" t="str">
        <f t="shared" si="6"/>
        <v>60325</v>
      </c>
      <c r="B424" s="1">
        <v>478</v>
      </c>
      <c r="C424" s="1">
        <v>12</v>
      </c>
      <c r="D424" s="1">
        <v>6032</v>
      </c>
      <c r="E424" s="1" t="s">
        <v>80</v>
      </c>
      <c r="F424" s="1" t="s">
        <v>36</v>
      </c>
      <c r="G424" s="1" t="s">
        <v>72</v>
      </c>
      <c r="H424" s="1" t="s">
        <v>73</v>
      </c>
      <c r="I424" t="s">
        <v>759</v>
      </c>
      <c r="J424" t="s">
        <v>759</v>
      </c>
      <c r="K424" s="1">
        <v>12</v>
      </c>
      <c r="M424" s="1" t="str">
        <f>VLOOKUP(D424,HORARIOS!B:H,7,0)</f>
        <v>Día 1</v>
      </c>
      <c r="N424" s="1">
        <f>VLOOKUP(D424,HORARIOS!B:I,8,0)</f>
        <v>5</v>
      </c>
      <c r="O424" s="9">
        <f>VLOOKUP(D424,HORARIOS!B:D,3,0)</f>
        <v>0.5625</v>
      </c>
      <c r="P424" s="9" t="str">
        <f>VLOOKUP(A424,HORARIOS!A:E,5,0)</f>
        <v>17:00 hrs</v>
      </c>
    </row>
    <row r="425" spans="1:16" ht="15.75" customHeight="1" x14ac:dyDescent="0.25">
      <c r="A425" s="1" t="str">
        <f t="shared" si="6"/>
        <v>60325</v>
      </c>
      <c r="B425" s="1">
        <v>479</v>
      </c>
      <c r="C425" s="1">
        <v>12</v>
      </c>
      <c r="D425" s="1">
        <v>6032</v>
      </c>
      <c r="E425" s="1" t="s">
        <v>80</v>
      </c>
      <c r="F425" s="1" t="s">
        <v>36</v>
      </c>
      <c r="G425" s="1" t="s">
        <v>88</v>
      </c>
      <c r="H425" s="1" t="s">
        <v>90</v>
      </c>
      <c r="I425" t="s">
        <v>760</v>
      </c>
      <c r="J425" t="s">
        <v>761</v>
      </c>
      <c r="K425" s="1">
        <v>12</v>
      </c>
      <c r="M425" s="1" t="str">
        <f>VLOOKUP(D425,HORARIOS!B:H,7,0)</f>
        <v>Día 1</v>
      </c>
      <c r="N425" s="1">
        <f>VLOOKUP(D425,HORARIOS!B:I,8,0)</f>
        <v>5</v>
      </c>
      <c r="O425" s="9">
        <f>VLOOKUP(D425,HORARIOS!B:D,3,0)</f>
        <v>0.5625</v>
      </c>
      <c r="P425" s="9" t="str">
        <f>VLOOKUP(A425,HORARIOS!A:E,5,0)</f>
        <v>17:00 hrs</v>
      </c>
    </row>
    <row r="426" spans="1:16" ht="15.75" customHeight="1" x14ac:dyDescent="0.25">
      <c r="A426" s="1" t="str">
        <f t="shared" si="6"/>
        <v>60325</v>
      </c>
      <c r="B426" s="1">
        <v>480</v>
      </c>
      <c r="C426" s="1">
        <v>12</v>
      </c>
      <c r="D426" s="1">
        <v>6032</v>
      </c>
      <c r="E426" s="1" t="s">
        <v>80</v>
      </c>
      <c r="F426" s="1" t="s">
        <v>36</v>
      </c>
      <c r="G426" s="1" t="s">
        <v>96</v>
      </c>
      <c r="H426" s="1" t="s">
        <v>62</v>
      </c>
      <c r="I426" t="s">
        <v>762</v>
      </c>
      <c r="J426" t="s">
        <v>763</v>
      </c>
      <c r="K426" s="1">
        <v>12</v>
      </c>
      <c r="M426" s="1" t="str">
        <f>VLOOKUP(D426,HORARIOS!B:H,7,0)</f>
        <v>Día 1</v>
      </c>
      <c r="N426" s="1">
        <f>VLOOKUP(D426,HORARIOS!B:I,8,0)</f>
        <v>5</v>
      </c>
      <c r="O426" s="9">
        <f>VLOOKUP(D426,HORARIOS!B:D,3,0)</f>
        <v>0.5625</v>
      </c>
      <c r="P426" s="9" t="str">
        <f>VLOOKUP(A426,HORARIOS!A:E,5,0)</f>
        <v>17:00 hrs</v>
      </c>
    </row>
    <row r="427" spans="1:16" ht="15.75" customHeight="1" x14ac:dyDescent="0.25">
      <c r="A427" s="1" t="str">
        <f t="shared" si="6"/>
        <v>60325</v>
      </c>
      <c r="B427" s="1">
        <v>481</v>
      </c>
      <c r="C427" s="1">
        <v>12</v>
      </c>
      <c r="D427" s="1">
        <v>6032</v>
      </c>
      <c r="E427" s="1" t="s">
        <v>80</v>
      </c>
      <c r="F427" s="1" t="s">
        <v>36</v>
      </c>
      <c r="G427" s="1" t="s">
        <v>98</v>
      </c>
      <c r="H427" s="1" t="s">
        <v>39</v>
      </c>
      <c r="I427" t="s">
        <v>52</v>
      </c>
      <c r="J427" t="s">
        <v>52</v>
      </c>
      <c r="K427" s="1">
        <v>2</v>
      </c>
      <c r="L427" s="1" t="s">
        <v>101</v>
      </c>
      <c r="M427" s="1" t="str">
        <f>VLOOKUP(D427,HORARIOS!B:H,7,0)</f>
        <v>Día 1</v>
      </c>
      <c r="N427" s="1">
        <f>VLOOKUP(D427,HORARIOS!B:I,8,0)</f>
        <v>5</v>
      </c>
      <c r="O427" s="9">
        <f>VLOOKUP(D427,HORARIOS!B:D,3,0)</f>
        <v>0.5625</v>
      </c>
      <c r="P427" s="9" t="str">
        <f>VLOOKUP(A427,HORARIOS!A:E,5,0)</f>
        <v>17:00 hrs</v>
      </c>
    </row>
    <row r="428" spans="1:16" ht="15.75" customHeight="1" x14ac:dyDescent="0.25">
      <c r="A428" s="1" t="str">
        <f t="shared" si="6"/>
        <v>60325</v>
      </c>
      <c r="B428" s="1">
        <v>482</v>
      </c>
      <c r="C428" s="1">
        <v>12</v>
      </c>
      <c r="D428" s="1">
        <v>6032</v>
      </c>
      <c r="E428" s="1" t="s">
        <v>80</v>
      </c>
      <c r="F428" s="1" t="s">
        <v>36</v>
      </c>
      <c r="G428" s="1" t="s">
        <v>98</v>
      </c>
      <c r="H428" s="1" t="s">
        <v>39</v>
      </c>
      <c r="I428" t="s">
        <v>52</v>
      </c>
      <c r="J428" t="s">
        <v>52</v>
      </c>
      <c r="K428" s="1">
        <v>2</v>
      </c>
      <c r="L428" s="1" t="s">
        <v>101</v>
      </c>
      <c r="M428" s="1" t="str">
        <f>VLOOKUP(D428,HORARIOS!B:H,7,0)</f>
        <v>Día 1</v>
      </c>
      <c r="N428" s="1">
        <f>VLOOKUP(D428,HORARIOS!B:I,8,0)</f>
        <v>5</v>
      </c>
      <c r="O428" s="9">
        <f>VLOOKUP(D428,HORARIOS!B:D,3,0)</f>
        <v>0.5625</v>
      </c>
      <c r="P428" s="9" t="str">
        <f>VLOOKUP(A428,HORARIOS!A:E,5,0)</f>
        <v>17:00 hrs</v>
      </c>
    </row>
    <row r="429" spans="1:16" ht="15.75" customHeight="1" x14ac:dyDescent="0.25">
      <c r="A429" s="1" t="str">
        <f t="shared" si="6"/>
        <v>60325</v>
      </c>
      <c r="B429" s="1">
        <v>483</v>
      </c>
      <c r="C429" s="1">
        <v>12</v>
      </c>
      <c r="D429" s="1">
        <v>6032</v>
      </c>
      <c r="E429" s="1" t="s">
        <v>80</v>
      </c>
      <c r="F429" s="1" t="s">
        <v>36</v>
      </c>
      <c r="G429" s="1" t="s">
        <v>114</v>
      </c>
      <c r="H429" s="1" t="s">
        <v>39</v>
      </c>
      <c r="I429" t="s">
        <v>52</v>
      </c>
      <c r="J429" t="s">
        <v>52</v>
      </c>
      <c r="K429" s="1">
        <v>2</v>
      </c>
      <c r="L429" s="1" t="s">
        <v>115</v>
      </c>
      <c r="M429" s="1" t="str">
        <f>VLOOKUP(D429,HORARIOS!B:H,7,0)</f>
        <v>Día 1</v>
      </c>
      <c r="N429" s="1">
        <f>VLOOKUP(D429,HORARIOS!B:I,8,0)</f>
        <v>5</v>
      </c>
      <c r="O429" s="9">
        <f>VLOOKUP(D429,HORARIOS!B:D,3,0)</f>
        <v>0.5625</v>
      </c>
      <c r="P429" s="9" t="str">
        <f>VLOOKUP(A429,HORARIOS!A:E,5,0)</f>
        <v>17:00 hrs</v>
      </c>
    </row>
    <row r="430" spans="1:16" ht="15.75" customHeight="1" x14ac:dyDescent="0.25">
      <c r="A430" s="1" t="str">
        <f t="shared" si="6"/>
        <v>60325</v>
      </c>
      <c r="B430" s="1">
        <v>485</v>
      </c>
      <c r="C430" s="1">
        <v>12</v>
      </c>
      <c r="D430" s="1">
        <v>6032</v>
      </c>
      <c r="E430" s="1" t="s">
        <v>80</v>
      </c>
      <c r="F430" s="1" t="s">
        <v>36</v>
      </c>
      <c r="G430" s="1" t="s">
        <v>134</v>
      </c>
      <c r="H430" s="1" t="s">
        <v>135</v>
      </c>
      <c r="I430" t="s">
        <v>764</v>
      </c>
      <c r="J430" t="s">
        <v>765</v>
      </c>
      <c r="K430" s="1">
        <v>12</v>
      </c>
      <c r="L430" s="1" t="s">
        <v>138</v>
      </c>
      <c r="M430" s="1" t="str">
        <f>VLOOKUP(D430,HORARIOS!B:H,7,0)</f>
        <v>Día 1</v>
      </c>
      <c r="N430" s="1">
        <f>VLOOKUP(D430,HORARIOS!B:I,8,0)</f>
        <v>5</v>
      </c>
      <c r="O430" s="9">
        <f>VLOOKUP(D430,HORARIOS!B:D,3,0)</f>
        <v>0.5625</v>
      </c>
      <c r="P430" s="9" t="str">
        <f>VLOOKUP(A430,HORARIOS!A:E,5,0)</f>
        <v>17:00 hrs</v>
      </c>
    </row>
    <row r="431" spans="1:16" ht="15.75" customHeight="1" x14ac:dyDescent="0.25">
      <c r="A431" s="1" t="str">
        <f t="shared" si="6"/>
        <v>60325</v>
      </c>
      <c r="B431" s="1">
        <v>486</v>
      </c>
      <c r="C431" s="1">
        <v>12</v>
      </c>
      <c r="D431" s="1">
        <v>6032</v>
      </c>
      <c r="E431" s="1" t="s">
        <v>80</v>
      </c>
      <c r="F431" s="1" t="s">
        <v>36</v>
      </c>
      <c r="G431" s="1" t="s">
        <v>145</v>
      </c>
      <c r="H431" s="1" t="s">
        <v>52</v>
      </c>
      <c r="I431" t="s">
        <v>766</v>
      </c>
      <c r="J431" t="s">
        <v>767</v>
      </c>
      <c r="K431" s="1">
        <v>12</v>
      </c>
      <c r="M431" s="1" t="str">
        <f>VLOOKUP(D431,HORARIOS!B:H,7,0)</f>
        <v>Día 1</v>
      </c>
      <c r="N431" s="1">
        <f>VLOOKUP(D431,HORARIOS!B:I,8,0)</f>
        <v>5</v>
      </c>
      <c r="O431" s="9">
        <f>VLOOKUP(D431,HORARIOS!B:D,3,0)</f>
        <v>0.5625</v>
      </c>
      <c r="P431" s="9" t="str">
        <f>VLOOKUP(A431,HORARIOS!A:E,5,0)</f>
        <v>17:00 hrs</v>
      </c>
    </row>
    <row r="432" spans="1:16" ht="15.75" customHeight="1" x14ac:dyDescent="0.25">
      <c r="A432" s="1" t="str">
        <f t="shared" si="6"/>
        <v>60325</v>
      </c>
      <c r="B432" s="1">
        <v>487</v>
      </c>
      <c r="C432" s="1">
        <v>12</v>
      </c>
      <c r="D432" s="1">
        <v>6032</v>
      </c>
      <c r="E432" s="1" t="s">
        <v>80</v>
      </c>
      <c r="F432" s="1" t="s">
        <v>36</v>
      </c>
      <c r="G432" s="1" t="s">
        <v>159</v>
      </c>
      <c r="H432" s="1" t="s">
        <v>160</v>
      </c>
      <c r="I432" t="s">
        <v>768</v>
      </c>
      <c r="J432" t="s">
        <v>769</v>
      </c>
      <c r="K432" s="1">
        <v>12</v>
      </c>
      <c r="M432" s="1" t="str">
        <f>VLOOKUP(D432,HORARIOS!B:H,7,0)</f>
        <v>Día 1</v>
      </c>
      <c r="N432" s="1">
        <f>VLOOKUP(D432,HORARIOS!B:I,8,0)</f>
        <v>5</v>
      </c>
      <c r="O432" s="9">
        <f>VLOOKUP(D432,HORARIOS!B:D,3,0)</f>
        <v>0.5625</v>
      </c>
      <c r="P432" s="9" t="str">
        <f>VLOOKUP(A432,HORARIOS!A:E,5,0)</f>
        <v>17:00 hrs</v>
      </c>
    </row>
    <row r="433" spans="1:16" ht="15.75" customHeight="1" x14ac:dyDescent="0.25">
      <c r="A433" s="1" t="str">
        <f t="shared" si="6"/>
        <v>603315</v>
      </c>
      <c r="B433" s="1">
        <v>488</v>
      </c>
      <c r="C433" s="1">
        <v>13</v>
      </c>
      <c r="D433" s="1">
        <v>6033</v>
      </c>
      <c r="E433" s="1" t="s">
        <v>82</v>
      </c>
      <c r="F433" s="1" t="s">
        <v>36</v>
      </c>
      <c r="G433" s="1" t="s">
        <v>37</v>
      </c>
      <c r="H433" s="1" t="s">
        <v>39</v>
      </c>
      <c r="I433" t="s">
        <v>770</v>
      </c>
      <c r="J433" t="s">
        <v>771</v>
      </c>
      <c r="K433" s="1">
        <v>12</v>
      </c>
      <c r="L433" s="1" t="s">
        <v>41</v>
      </c>
      <c r="M433" s="1" t="str">
        <f>VLOOKUP(D433,HORARIOS!B:H,7,0)</f>
        <v>Día 3</v>
      </c>
      <c r="N433" s="1">
        <f>VLOOKUP(D433,HORARIOS!B:I,8,0)</f>
        <v>15</v>
      </c>
      <c r="O433" s="9">
        <f>VLOOKUP(D433,HORARIOS!B:D,3,0)</f>
        <v>0.375</v>
      </c>
      <c r="P433" s="9" t="str">
        <f>VLOOKUP(A433,HORARIOS!A:E,5,0)</f>
        <v>13:00 hrs</v>
      </c>
    </row>
    <row r="434" spans="1:16" ht="15.75" customHeight="1" x14ac:dyDescent="0.25">
      <c r="A434" s="1" t="str">
        <f t="shared" si="6"/>
        <v>603315</v>
      </c>
      <c r="B434" s="1">
        <v>489</v>
      </c>
      <c r="C434" s="1">
        <v>13</v>
      </c>
      <c r="D434" s="1">
        <v>6033</v>
      </c>
      <c r="E434" s="1" t="s">
        <v>82</v>
      </c>
      <c r="F434" s="1" t="s">
        <v>36</v>
      </c>
      <c r="G434" s="1" t="s">
        <v>51</v>
      </c>
      <c r="H434" s="1" t="s">
        <v>52</v>
      </c>
      <c r="I434" t="s">
        <v>772</v>
      </c>
      <c r="J434" t="s">
        <v>773</v>
      </c>
      <c r="K434" s="1">
        <v>12</v>
      </c>
      <c r="M434" s="1" t="str">
        <f>VLOOKUP(D434,HORARIOS!B:H,7,0)</f>
        <v>Día 3</v>
      </c>
      <c r="N434" s="1">
        <f>VLOOKUP(D434,HORARIOS!B:I,8,0)</f>
        <v>15</v>
      </c>
      <c r="O434" s="9">
        <f>VLOOKUP(D434,HORARIOS!B:D,3,0)</f>
        <v>0.375</v>
      </c>
      <c r="P434" s="9" t="str">
        <f>VLOOKUP(A434,HORARIOS!A:E,5,0)</f>
        <v>13:00 hrs</v>
      </c>
    </row>
    <row r="435" spans="1:16" ht="15.75" customHeight="1" x14ac:dyDescent="0.25">
      <c r="A435" s="1" t="str">
        <f t="shared" si="6"/>
        <v>603315</v>
      </c>
      <c r="B435" s="1">
        <v>490</v>
      </c>
      <c r="C435" s="1">
        <v>13</v>
      </c>
      <c r="D435" s="1">
        <v>6033</v>
      </c>
      <c r="E435" s="1" t="s">
        <v>82</v>
      </c>
      <c r="F435" s="1" t="s">
        <v>36</v>
      </c>
      <c r="G435" s="1" t="s">
        <v>61</v>
      </c>
      <c r="H435" s="1" t="s">
        <v>62</v>
      </c>
      <c r="I435" t="s">
        <v>774</v>
      </c>
      <c r="J435" t="s">
        <v>774</v>
      </c>
      <c r="K435" s="1">
        <v>12</v>
      </c>
      <c r="L435" s="1" t="s">
        <v>64</v>
      </c>
      <c r="M435" s="1" t="str">
        <f>VLOOKUP(D435,HORARIOS!B:H,7,0)</f>
        <v>Día 3</v>
      </c>
      <c r="N435" s="1">
        <f>VLOOKUP(D435,HORARIOS!B:I,8,0)</f>
        <v>15</v>
      </c>
      <c r="O435" s="9">
        <f>VLOOKUP(D435,HORARIOS!B:D,3,0)</f>
        <v>0.375</v>
      </c>
      <c r="P435" s="9" t="str">
        <f>VLOOKUP(A435,HORARIOS!A:E,5,0)</f>
        <v>13:00 hrs</v>
      </c>
    </row>
    <row r="436" spans="1:16" ht="15.75" customHeight="1" x14ac:dyDescent="0.25">
      <c r="A436" s="1" t="str">
        <f t="shared" si="6"/>
        <v>603315</v>
      </c>
      <c r="B436" s="1">
        <v>491</v>
      </c>
      <c r="C436" s="1">
        <v>13</v>
      </c>
      <c r="D436" s="1">
        <v>6033</v>
      </c>
      <c r="E436" s="1" t="s">
        <v>82</v>
      </c>
      <c r="F436" s="1" t="s">
        <v>36</v>
      </c>
      <c r="G436" s="1" t="s">
        <v>72</v>
      </c>
      <c r="H436" s="1" t="s">
        <v>73</v>
      </c>
      <c r="I436" t="s">
        <v>775</v>
      </c>
      <c r="J436" t="s">
        <v>776</v>
      </c>
      <c r="K436" s="1">
        <v>12</v>
      </c>
      <c r="M436" s="1" t="str">
        <f>VLOOKUP(D436,HORARIOS!B:H,7,0)</f>
        <v>Día 3</v>
      </c>
      <c r="N436" s="1">
        <f>VLOOKUP(D436,HORARIOS!B:I,8,0)</f>
        <v>15</v>
      </c>
      <c r="O436" s="9">
        <f>VLOOKUP(D436,HORARIOS!B:D,3,0)</f>
        <v>0.375</v>
      </c>
      <c r="P436" s="9" t="str">
        <f>VLOOKUP(A436,HORARIOS!A:E,5,0)</f>
        <v>13:00 hrs</v>
      </c>
    </row>
    <row r="437" spans="1:16" ht="15.75" customHeight="1" x14ac:dyDescent="0.25">
      <c r="A437" s="1" t="str">
        <f t="shared" si="6"/>
        <v>603315</v>
      </c>
      <c r="B437" s="1">
        <v>493</v>
      </c>
      <c r="C437" s="1">
        <v>13</v>
      </c>
      <c r="D437" s="1">
        <v>6033</v>
      </c>
      <c r="E437" s="1" t="s">
        <v>82</v>
      </c>
      <c r="F437" s="1" t="s">
        <v>36</v>
      </c>
      <c r="G437" s="1" t="s">
        <v>88</v>
      </c>
      <c r="H437" s="1" t="s">
        <v>90</v>
      </c>
      <c r="I437" t="s">
        <v>777</v>
      </c>
      <c r="J437" t="s">
        <v>778</v>
      </c>
      <c r="K437" s="1">
        <v>12</v>
      </c>
      <c r="M437" s="1" t="str">
        <f>VLOOKUP(D437,HORARIOS!B:H,7,0)</f>
        <v>Día 3</v>
      </c>
      <c r="N437" s="1">
        <f>VLOOKUP(D437,HORARIOS!B:I,8,0)</f>
        <v>15</v>
      </c>
      <c r="O437" s="9">
        <f>VLOOKUP(D437,HORARIOS!B:D,3,0)</f>
        <v>0.375</v>
      </c>
      <c r="P437" s="9" t="str">
        <f>VLOOKUP(A437,HORARIOS!A:E,5,0)</f>
        <v>13:00 hrs</v>
      </c>
    </row>
    <row r="438" spans="1:16" ht="15.75" customHeight="1" x14ac:dyDescent="0.25">
      <c r="A438" s="1" t="str">
        <f t="shared" si="6"/>
        <v>603315</v>
      </c>
      <c r="B438" s="1">
        <v>494</v>
      </c>
      <c r="C438" s="1">
        <v>13</v>
      </c>
      <c r="D438" s="1">
        <v>6033</v>
      </c>
      <c r="E438" s="1" t="s">
        <v>82</v>
      </c>
      <c r="F438" s="1" t="s">
        <v>36</v>
      </c>
      <c r="G438" s="1" t="s">
        <v>96</v>
      </c>
      <c r="H438" s="1" t="s">
        <v>62</v>
      </c>
      <c r="I438" t="s">
        <v>779</v>
      </c>
      <c r="J438" t="s">
        <v>779</v>
      </c>
      <c r="K438" s="1">
        <v>12</v>
      </c>
      <c r="M438" s="1" t="str">
        <f>VLOOKUP(D438,HORARIOS!B:H,7,0)</f>
        <v>Día 3</v>
      </c>
      <c r="N438" s="1">
        <f>VLOOKUP(D438,HORARIOS!B:I,8,0)</f>
        <v>15</v>
      </c>
      <c r="O438" s="9">
        <f>VLOOKUP(D438,HORARIOS!B:D,3,0)</f>
        <v>0.375</v>
      </c>
      <c r="P438" s="9" t="str">
        <f>VLOOKUP(A438,HORARIOS!A:E,5,0)</f>
        <v>13:00 hrs</v>
      </c>
    </row>
    <row r="439" spans="1:16" ht="15.75" customHeight="1" x14ac:dyDescent="0.25">
      <c r="A439" s="1" t="str">
        <f t="shared" si="6"/>
        <v>603315</v>
      </c>
      <c r="B439" s="1">
        <v>495</v>
      </c>
      <c r="C439" s="1">
        <v>13</v>
      </c>
      <c r="D439" s="1">
        <v>6033</v>
      </c>
      <c r="E439" s="1" t="s">
        <v>82</v>
      </c>
      <c r="F439" s="1" t="s">
        <v>36</v>
      </c>
      <c r="G439" s="1" t="s">
        <v>98</v>
      </c>
      <c r="H439" s="1" t="s">
        <v>39</v>
      </c>
      <c r="I439" t="s">
        <v>52</v>
      </c>
      <c r="J439" t="s">
        <v>52</v>
      </c>
      <c r="K439" s="1">
        <v>2</v>
      </c>
      <c r="L439" s="1" t="s">
        <v>101</v>
      </c>
      <c r="M439" s="1" t="str">
        <f>VLOOKUP(D439,HORARIOS!B:H,7,0)</f>
        <v>Día 3</v>
      </c>
      <c r="N439" s="1">
        <f>VLOOKUP(D439,HORARIOS!B:I,8,0)</f>
        <v>15</v>
      </c>
      <c r="O439" s="9">
        <f>VLOOKUP(D439,HORARIOS!B:D,3,0)</f>
        <v>0.375</v>
      </c>
      <c r="P439" s="9" t="str">
        <f>VLOOKUP(A439,HORARIOS!A:E,5,0)</f>
        <v>13:00 hrs</v>
      </c>
    </row>
    <row r="440" spans="1:16" ht="15.75" customHeight="1" x14ac:dyDescent="0.25">
      <c r="A440" s="1" t="str">
        <f t="shared" si="6"/>
        <v>603315</v>
      </c>
      <c r="B440" s="1">
        <v>496</v>
      </c>
      <c r="C440" s="1">
        <v>13</v>
      </c>
      <c r="D440" s="1">
        <v>6033</v>
      </c>
      <c r="E440" s="1" t="s">
        <v>82</v>
      </c>
      <c r="F440" s="1" t="s">
        <v>36</v>
      </c>
      <c r="G440" s="1" t="s">
        <v>98</v>
      </c>
      <c r="H440" s="1" t="s">
        <v>39</v>
      </c>
      <c r="I440" t="s">
        <v>52</v>
      </c>
      <c r="J440" t="s">
        <v>52</v>
      </c>
      <c r="K440" s="1">
        <v>2</v>
      </c>
      <c r="L440" s="1" t="s">
        <v>101</v>
      </c>
      <c r="M440" s="1" t="str">
        <f>VLOOKUP(D440,HORARIOS!B:H,7,0)</f>
        <v>Día 3</v>
      </c>
      <c r="N440" s="1">
        <f>VLOOKUP(D440,HORARIOS!B:I,8,0)</f>
        <v>15</v>
      </c>
      <c r="O440" s="9">
        <f>VLOOKUP(D440,HORARIOS!B:D,3,0)</f>
        <v>0.375</v>
      </c>
      <c r="P440" s="9" t="str">
        <f>VLOOKUP(A440,HORARIOS!A:E,5,0)</f>
        <v>13:00 hrs</v>
      </c>
    </row>
    <row r="441" spans="1:16" ht="15.75" customHeight="1" x14ac:dyDescent="0.25">
      <c r="A441" s="1" t="str">
        <f t="shared" si="6"/>
        <v>603315</v>
      </c>
      <c r="B441" s="1">
        <v>497</v>
      </c>
      <c r="C441" s="1">
        <v>13</v>
      </c>
      <c r="D441" s="1">
        <v>6033</v>
      </c>
      <c r="E441" s="1" t="s">
        <v>82</v>
      </c>
      <c r="F441" s="1" t="s">
        <v>36</v>
      </c>
      <c r="G441" s="1" t="s">
        <v>98</v>
      </c>
      <c r="H441" s="1" t="s">
        <v>625</v>
      </c>
      <c r="I441" t="s">
        <v>52</v>
      </c>
      <c r="J441" t="s">
        <v>52</v>
      </c>
      <c r="K441" s="1">
        <v>2</v>
      </c>
      <c r="L441" s="1" t="s">
        <v>101</v>
      </c>
      <c r="M441" s="1" t="str">
        <f>VLOOKUP(D441,HORARIOS!B:H,7,0)</f>
        <v>Día 3</v>
      </c>
      <c r="N441" s="1">
        <f>VLOOKUP(D441,HORARIOS!B:I,8,0)</f>
        <v>15</v>
      </c>
      <c r="O441" s="9">
        <f>VLOOKUP(D441,HORARIOS!B:D,3,0)</f>
        <v>0.375</v>
      </c>
      <c r="P441" s="9" t="str">
        <f>VLOOKUP(A441,HORARIOS!A:E,5,0)</f>
        <v>13:00 hrs</v>
      </c>
    </row>
    <row r="442" spans="1:16" ht="15.75" customHeight="1" x14ac:dyDescent="0.25">
      <c r="A442" s="1" t="str">
        <f t="shared" si="6"/>
        <v>603315</v>
      </c>
      <c r="B442" s="1">
        <v>498</v>
      </c>
      <c r="C442" s="1">
        <v>13</v>
      </c>
      <c r="D442" s="1">
        <v>6033</v>
      </c>
      <c r="E442" s="1" t="s">
        <v>82</v>
      </c>
      <c r="F442" s="1" t="s">
        <v>36</v>
      </c>
      <c r="G442" s="1" t="s">
        <v>114</v>
      </c>
      <c r="H442" s="1" t="s">
        <v>39</v>
      </c>
      <c r="I442" t="s">
        <v>52</v>
      </c>
      <c r="J442" t="s">
        <v>52</v>
      </c>
      <c r="K442" s="1">
        <v>2</v>
      </c>
      <c r="L442" s="1" t="s">
        <v>115</v>
      </c>
      <c r="M442" s="1" t="str">
        <f>VLOOKUP(D442,HORARIOS!B:H,7,0)</f>
        <v>Día 3</v>
      </c>
      <c r="N442" s="1">
        <f>VLOOKUP(D442,HORARIOS!B:I,8,0)</f>
        <v>15</v>
      </c>
      <c r="O442" s="9">
        <f>VLOOKUP(D442,HORARIOS!B:D,3,0)</f>
        <v>0.375</v>
      </c>
      <c r="P442" s="9" t="str">
        <f>VLOOKUP(A442,HORARIOS!A:E,5,0)</f>
        <v>13:00 hrs</v>
      </c>
    </row>
    <row r="443" spans="1:16" ht="15.75" customHeight="1" x14ac:dyDescent="0.25">
      <c r="A443" s="1" t="str">
        <f t="shared" si="6"/>
        <v>603315</v>
      </c>
      <c r="B443" s="1">
        <v>499</v>
      </c>
      <c r="C443" s="1">
        <v>13</v>
      </c>
      <c r="D443" s="1">
        <v>6033</v>
      </c>
      <c r="E443" s="1" t="s">
        <v>82</v>
      </c>
      <c r="F443" s="1" t="s">
        <v>36</v>
      </c>
      <c r="G443" s="1" t="s">
        <v>134</v>
      </c>
      <c r="H443" s="1" t="s">
        <v>135</v>
      </c>
      <c r="I443" t="s">
        <v>780</v>
      </c>
      <c r="J443" t="s">
        <v>781</v>
      </c>
      <c r="K443" s="1">
        <v>12</v>
      </c>
      <c r="L443" s="1" t="s">
        <v>138</v>
      </c>
      <c r="M443" s="1" t="str">
        <f>VLOOKUP(D443,HORARIOS!B:H,7,0)</f>
        <v>Día 3</v>
      </c>
      <c r="N443" s="1">
        <f>VLOOKUP(D443,HORARIOS!B:I,8,0)</f>
        <v>15</v>
      </c>
      <c r="O443" s="9">
        <f>VLOOKUP(D443,HORARIOS!B:D,3,0)</f>
        <v>0.375</v>
      </c>
      <c r="P443" s="9" t="str">
        <f>VLOOKUP(A443,HORARIOS!A:E,5,0)</f>
        <v>13:00 hrs</v>
      </c>
    </row>
    <row r="444" spans="1:16" ht="15.75" customHeight="1" x14ac:dyDescent="0.25">
      <c r="A444" s="1" t="str">
        <f t="shared" si="6"/>
        <v>603315</v>
      </c>
      <c r="B444" s="1">
        <v>501</v>
      </c>
      <c r="C444" s="1">
        <v>13</v>
      </c>
      <c r="D444" s="1">
        <v>6033</v>
      </c>
      <c r="E444" s="1" t="s">
        <v>82</v>
      </c>
      <c r="F444" s="1" t="s">
        <v>36</v>
      </c>
      <c r="G444" s="1" t="s">
        <v>145</v>
      </c>
      <c r="H444" s="1" t="s">
        <v>52</v>
      </c>
      <c r="I444" t="s">
        <v>782</v>
      </c>
      <c r="J444" t="s">
        <v>783</v>
      </c>
      <c r="K444" s="1">
        <v>12</v>
      </c>
      <c r="M444" s="1" t="str">
        <f>VLOOKUP(D444,HORARIOS!B:H,7,0)</f>
        <v>Día 3</v>
      </c>
      <c r="N444" s="1">
        <f>VLOOKUP(D444,HORARIOS!B:I,8,0)</f>
        <v>15</v>
      </c>
      <c r="O444" s="9">
        <f>VLOOKUP(D444,HORARIOS!B:D,3,0)</f>
        <v>0.375</v>
      </c>
      <c r="P444" s="9" t="str">
        <f>VLOOKUP(A444,HORARIOS!A:E,5,0)</f>
        <v>13:00 hrs</v>
      </c>
    </row>
    <row r="445" spans="1:16" ht="15.75" customHeight="1" x14ac:dyDescent="0.25">
      <c r="A445" s="1" t="str">
        <f t="shared" si="6"/>
        <v>603315</v>
      </c>
      <c r="B445" s="1">
        <v>502</v>
      </c>
      <c r="C445" s="1">
        <v>13</v>
      </c>
      <c r="D445" s="1">
        <v>6033</v>
      </c>
      <c r="E445" s="1" t="s">
        <v>82</v>
      </c>
      <c r="F445" s="1" t="s">
        <v>36</v>
      </c>
      <c r="G445" s="1" t="s">
        <v>159</v>
      </c>
      <c r="H445" s="1" t="s">
        <v>160</v>
      </c>
      <c r="I445" t="s">
        <v>784</v>
      </c>
      <c r="J445" t="s">
        <v>785</v>
      </c>
      <c r="K445" s="1">
        <v>12</v>
      </c>
      <c r="M445" s="1" t="str">
        <f>VLOOKUP(D445,HORARIOS!B:H,7,0)</f>
        <v>Día 3</v>
      </c>
      <c r="N445" s="1">
        <f>VLOOKUP(D445,HORARIOS!B:I,8,0)</f>
        <v>15</v>
      </c>
      <c r="O445" s="9">
        <f>VLOOKUP(D445,HORARIOS!B:D,3,0)</f>
        <v>0.375</v>
      </c>
      <c r="P445" s="9" t="str">
        <f>VLOOKUP(A445,HORARIOS!A:E,5,0)</f>
        <v>13:00 hrs</v>
      </c>
    </row>
    <row r="446" spans="1:16" ht="15.75" customHeight="1" x14ac:dyDescent="0.25">
      <c r="A446" s="1" t="str">
        <f t="shared" si="6"/>
        <v>603413</v>
      </c>
      <c r="B446" s="1">
        <v>503</v>
      </c>
      <c r="C446" s="1">
        <v>13</v>
      </c>
      <c r="D446" s="1">
        <v>6034</v>
      </c>
      <c r="E446" s="1" t="s">
        <v>83</v>
      </c>
      <c r="F446" s="1" t="s">
        <v>36</v>
      </c>
      <c r="G446" s="1" t="s">
        <v>37</v>
      </c>
      <c r="H446" s="1" t="s">
        <v>39</v>
      </c>
      <c r="I446" t="s">
        <v>786</v>
      </c>
      <c r="J446" t="s">
        <v>787</v>
      </c>
      <c r="K446" s="1">
        <v>12</v>
      </c>
      <c r="L446" s="1" t="s">
        <v>41</v>
      </c>
      <c r="M446" s="1" t="str">
        <f>VLOOKUP(D446,HORARIOS!B:H,7,0)</f>
        <v>Día 2</v>
      </c>
      <c r="N446" s="1">
        <f>VLOOKUP(D446,HORARIOS!B:I,8,0)</f>
        <v>13</v>
      </c>
      <c r="O446" s="9">
        <f>VLOOKUP(D446,HORARIOS!B:D,3,0)</f>
        <v>0.64583333333333337</v>
      </c>
      <c r="P446" s="9" t="str">
        <f>VLOOKUP(A446,HORARIOS!A:E,5,0)</f>
        <v>18:30 hrs</v>
      </c>
    </row>
    <row r="447" spans="1:16" ht="15.75" customHeight="1" x14ac:dyDescent="0.25">
      <c r="A447" s="1" t="str">
        <f t="shared" si="6"/>
        <v>603413</v>
      </c>
      <c r="B447" s="1">
        <v>504</v>
      </c>
      <c r="C447" s="1">
        <v>13</v>
      </c>
      <c r="D447" s="1">
        <v>6034</v>
      </c>
      <c r="E447" s="1" t="s">
        <v>83</v>
      </c>
      <c r="F447" s="1" t="s">
        <v>36</v>
      </c>
      <c r="G447" s="1" t="s">
        <v>51</v>
      </c>
      <c r="H447" s="1" t="s">
        <v>52</v>
      </c>
      <c r="I447" t="s">
        <v>788</v>
      </c>
      <c r="J447" t="s">
        <v>789</v>
      </c>
      <c r="K447" s="1">
        <v>12</v>
      </c>
      <c r="M447" s="1" t="str">
        <f>VLOOKUP(D447,HORARIOS!B:H,7,0)</f>
        <v>Día 2</v>
      </c>
      <c r="N447" s="1">
        <f>VLOOKUP(D447,HORARIOS!B:I,8,0)</f>
        <v>13</v>
      </c>
      <c r="O447" s="9">
        <f>VLOOKUP(D447,HORARIOS!B:D,3,0)</f>
        <v>0.64583333333333337</v>
      </c>
      <c r="P447" s="9" t="str">
        <f>VLOOKUP(A447,HORARIOS!A:E,5,0)</f>
        <v>18:30 hrs</v>
      </c>
    </row>
    <row r="448" spans="1:16" ht="15.75" customHeight="1" x14ac:dyDescent="0.25">
      <c r="A448" s="1" t="str">
        <f t="shared" si="6"/>
        <v>603413</v>
      </c>
      <c r="B448" s="1">
        <v>505</v>
      </c>
      <c r="C448" s="1">
        <v>13</v>
      </c>
      <c r="D448" s="1">
        <v>6034</v>
      </c>
      <c r="E448" s="1" t="s">
        <v>83</v>
      </c>
      <c r="F448" s="1" t="s">
        <v>36</v>
      </c>
      <c r="G448" s="1" t="s">
        <v>61</v>
      </c>
      <c r="H448" s="1" t="s">
        <v>62</v>
      </c>
      <c r="I448" t="s">
        <v>790</v>
      </c>
      <c r="J448" t="s">
        <v>790</v>
      </c>
      <c r="K448" s="1">
        <v>12</v>
      </c>
      <c r="L448" s="1" t="s">
        <v>64</v>
      </c>
      <c r="M448" s="1" t="str">
        <f>VLOOKUP(D448,HORARIOS!B:H,7,0)</f>
        <v>Día 2</v>
      </c>
      <c r="N448" s="1">
        <f>VLOOKUP(D448,HORARIOS!B:I,8,0)</f>
        <v>13</v>
      </c>
      <c r="O448" s="9">
        <f>VLOOKUP(D448,HORARIOS!B:D,3,0)</f>
        <v>0.64583333333333337</v>
      </c>
      <c r="P448" s="9" t="str">
        <f>VLOOKUP(A448,HORARIOS!A:E,5,0)</f>
        <v>18:30 hrs</v>
      </c>
    </row>
    <row r="449" spans="1:16" ht="15.75" customHeight="1" x14ac:dyDescent="0.25">
      <c r="A449" s="1" t="str">
        <f t="shared" si="6"/>
        <v>603413</v>
      </c>
      <c r="B449" s="1">
        <v>506</v>
      </c>
      <c r="C449" s="1">
        <v>13</v>
      </c>
      <c r="D449" s="1">
        <v>6034</v>
      </c>
      <c r="E449" s="1" t="s">
        <v>83</v>
      </c>
      <c r="F449" s="1" t="s">
        <v>36</v>
      </c>
      <c r="G449" s="1" t="s">
        <v>72</v>
      </c>
      <c r="H449" s="1" t="s">
        <v>73</v>
      </c>
      <c r="I449" t="s">
        <v>791</v>
      </c>
      <c r="J449" t="s">
        <v>792</v>
      </c>
      <c r="K449" s="1">
        <v>12</v>
      </c>
      <c r="M449" s="1" t="str">
        <f>VLOOKUP(D449,HORARIOS!B:H,7,0)</f>
        <v>Día 2</v>
      </c>
      <c r="N449" s="1">
        <f>VLOOKUP(D449,HORARIOS!B:I,8,0)</f>
        <v>13</v>
      </c>
      <c r="O449" s="9">
        <f>VLOOKUP(D449,HORARIOS!B:D,3,0)</f>
        <v>0.64583333333333337</v>
      </c>
      <c r="P449" s="9" t="str">
        <f>VLOOKUP(A449,HORARIOS!A:E,5,0)</f>
        <v>18:30 hrs</v>
      </c>
    </row>
    <row r="450" spans="1:16" ht="15.75" customHeight="1" x14ac:dyDescent="0.25">
      <c r="A450" s="1" t="str">
        <f t="shared" si="6"/>
        <v>603413</v>
      </c>
      <c r="B450" s="1">
        <v>507</v>
      </c>
      <c r="C450" s="1">
        <v>13</v>
      </c>
      <c r="D450" s="1">
        <v>6034</v>
      </c>
      <c r="E450" s="1" t="s">
        <v>83</v>
      </c>
      <c r="F450" s="1" t="s">
        <v>36</v>
      </c>
      <c r="G450" s="1" t="s">
        <v>88</v>
      </c>
      <c r="H450" s="1" t="s">
        <v>90</v>
      </c>
      <c r="I450" t="s">
        <v>793</v>
      </c>
      <c r="J450" t="s">
        <v>794</v>
      </c>
      <c r="K450" s="1">
        <v>12</v>
      </c>
      <c r="M450" s="1" t="str">
        <f>VLOOKUP(D450,HORARIOS!B:H,7,0)</f>
        <v>Día 2</v>
      </c>
      <c r="N450" s="1">
        <f>VLOOKUP(D450,HORARIOS!B:I,8,0)</f>
        <v>13</v>
      </c>
      <c r="O450" s="9">
        <f>VLOOKUP(D450,HORARIOS!B:D,3,0)</f>
        <v>0.64583333333333337</v>
      </c>
      <c r="P450" s="9" t="str">
        <f>VLOOKUP(A450,HORARIOS!A:E,5,0)</f>
        <v>18:30 hrs</v>
      </c>
    </row>
    <row r="451" spans="1:16" ht="15.75" customHeight="1" x14ac:dyDescent="0.25">
      <c r="A451" s="1" t="str">
        <f t="shared" si="6"/>
        <v>603413</v>
      </c>
      <c r="B451" s="1">
        <v>509</v>
      </c>
      <c r="C451" s="1">
        <v>13</v>
      </c>
      <c r="D451" s="1">
        <v>6034</v>
      </c>
      <c r="E451" s="1" t="s">
        <v>83</v>
      </c>
      <c r="F451" s="1" t="s">
        <v>36</v>
      </c>
      <c r="G451" s="1" t="s">
        <v>96</v>
      </c>
      <c r="H451" s="1" t="s">
        <v>62</v>
      </c>
      <c r="I451" t="s">
        <v>795</v>
      </c>
      <c r="J451" t="s">
        <v>795</v>
      </c>
      <c r="K451" s="1">
        <v>12</v>
      </c>
      <c r="M451" s="1" t="str">
        <f>VLOOKUP(D451,HORARIOS!B:H,7,0)</f>
        <v>Día 2</v>
      </c>
      <c r="N451" s="1">
        <f>VLOOKUP(D451,HORARIOS!B:I,8,0)</f>
        <v>13</v>
      </c>
      <c r="O451" s="9">
        <f>VLOOKUP(D451,HORARIOS!B:D,3,0)</f>
        <v>0.64583333333333337</v>
      </c>
      <c r="P451" s="9" t="str">
        <f>VLOOKUP(A451,HORARIOS!A:E,5,0)</f>
        <v>18:30 hrs</v>
      </c>
    </row>
    <row r="452" spans="1:16" ht="15.75" customHeight="1" x14ac:dyDescent="0.25">
      <c r="A452" s="1" t="str">
        <f t="shared" si="6"/>
        <v>603413</v>
      </c>
      <c r="B452" s="1">
        <v>510</v>
      </c>
      <c r="C452" s="1">
        <v>13</v>
      </c>
      <c r="D452" s="1">
        <v>6034</v>
      </c>
      <c r="E452" s="1" t="s">
        <v>83</v>
      </c>
      <c r="F452" s="1" t="s">
        <v>36</v>
      </c>
      <c r="G452" s="1" t="s">
        <v>98</v>
      </c>
      <c r="H452" s="1" t="s">
        <v>625</v>
      </c>
      <c r="I452" t="s">
        <v>52</v>
      </c>
      <c r="J452" t="s">
        <v>52</v>
      </c>
      <c r="K452" s="1">
        <v>2</v>
      </c>
      <c r="L452" s="1" t="s">
        <v>101</v>
      </c>
      <c r="M452" s="1" t="str">
        <f>VLOOKUP(D452,HORARIOS!B:H,7,0)</f>
        <v>Día 2</v>
      </c>
      <c r="N452" s="1">
        <f>VLOOKUP(D452,HORARIOS!B:I,8,0)</f>
        <v>13</v>
      </c>
      <c r="O452" s="9">
        <f>VLOOKUP(D452,HORARIOS!B:D,3,0)</f>
        <v>0.64583333333333337</v>
      </c>
      <c r="P452" s="9" t="str">
        <f>VLOOKUP(A452,HORARIOS!A:E,5,0)</f>
        <v>18:30 hrs</v>
      </c>
    </row>
    <row r="453" spans="1:16" ht="15.75" customHeight="1" x14ac:dyDescent="0.25">
      <c r="A453" s="1" t="str">
        <f t="shared" si="6"/>
        <v>603413</v>
      </c>
      <c r="B453" s="1">
        <v>511</v>
      </c>
      <c r="C453" s="1">
        <v>13</v>
      </c>
      <c r="D453" s="1">
        <v>6034</v>
      </c>
      <c r="E453" s="1" t="s">
        <v>83</v>
      </c>
      <c r="F453" s="1" t="s">
        <v>36</v>
      </c>
      <c r="G453" s="1" t="s">
        <v>98</v>
      </c>
      <c r="H453" s="1" t="s">
        <v>625</v>
      </c>
      <c r="I453" t="s">
        <v>52</v>
      </c>
      <c r="J453" t="s">
        <v>52</v>
      </c>
      <c r="K453" s="1">
        <v>2</v>
      </c>
      <c r="L453" s="1" t="s">
        <v>101</v>
      </c>
      <c r="M453" s="1" t="str">
        <f>VLOOKUP(D453,HORARIOS!B:H,7,0)</f>
        <v>Día 2</v>
      </c>
      <c r="N453" s="1">
        <f>VLOOKUP(D453,HORARIOS!B:I,8,0)</f>
        <v>13</v>
      </c>
      <c r="O453" s="9">
        <f>VLOOKUP(D453,HORARIOS!B:D,3,0)</f>
        <v>0.64583333333333337</v>
      </c>
      <c r="P453" s="9" t="str">
        <f>VLOOKUP(A453,HORARIOS!A:E,5,0)</f>
        <v>18:30 hrs</v>
      </c>
    </row>
    <row r="454" spans="1:16" ht="15.75" customHeight="1" x14ac:dyDescent="0.25">
      <c r="A454" s="1" t="str">
        <f t="shared" ref="A454:A517" si="7">D454&amp;N454</f>
        <v>603413</v>
      </c>
      <c r="B454" s="1">
        <v>512</v>
      </c>
      <c r="C454" s="1">
        <v>13</v>
      </c>
      <c r="D454" s="1">
        <v>6034</v>
      </c>
      <c r="E454" s="1" t="s">
        <v>83</v>
      </c>
      <c r="F454" s="1" t="s">
        <v>36</v>
      </c>
      <c r="G454" s="1" t="s">
        <v>98</v>
      </c>
      <c r="H454" s="1" t="s">
        <v>796</v>
      </c>
      <c r="I454" t="s">
        <v>52</v>
      </c>
      <c r="J454" t="s">
        <v>52</v>
      </c>
      <c r="K454" s="1">
        <v>2</v>
      </c>
      <c r="L454" s="1" t="s">
        <v>101</v>
      </c>
      <c r="M454" s="1" t="str">
        <f>VLOOKUP(D454,HORARIOS!B:H,7,0)</f>
        <v>Día 2</v>
      </c>
      <c r="N454" s="1">
        <f>VLOOKUP(D454,HORARIOS!B:I,8,0)</f>
        <v>13</v>
      </c>
      <c r="O454" s="9">
        <f>VLOOKUP(D454,HORARIOS!B:D,3,0)</f>
        <v>0.64583333333333337</v>
      </c>
      <c r="P454" s="9" t="str">
        <f>VLOOKUP(A454,HORARIOS!A:E,5,0)</f>
        <v>18:30 hrs</v>
      </c>
    </row>
    <row r="455" spans="1:16" ht="15.75" customHeight="1" x14ac:dyDescent="0.25">
      <c r="A455" s="1" t="str">
        <f t="shared" si="7"/>
        <v>603413</v>
      </c>
      <c r="B455" s="1">
        <v>513</v>
      </c>
      <c r="C455" s="1">
        <v>13</v>
      </c>
      <c r="D455" s="1">
        <v>6034</v>
      </c>
      <c r="E455" s="1" t="s">
        <v>83</v>
      </c>
      <c r="F455" s="1" t="s">
        <v>36</v>
      </c>
      <c r="G455" s="1" t="s">
        <v>114</v>
      </c>
      <c r="H455" s="1" t="s">
        <v>39</v>
      </c>
      <c r="I455" t="s">
        <v>52</v>
      </c>
      <c r="J455" t="s">
        <v>52</v>
      </c>
      <c r="K455" s="1">
        <v>2</v>
      </c>
      <c r="L455" s="1" t="s">
        <v>115</v>
      </c>
      <c r="M455" s="1" t="str">
        <f>VLOOKUP(D455,HORARIOS!B:H,7,0)</f>
        <v>Día 2</v>
      </c>
      <c r="N455" s="1">
        <f>VLOOKUP(D455,HORARIOS!B:I,8,0)</f>
        <v>13</v>
      </c>
      <c r="O455" s="9">
        <f>VLOOKUP(D455,HORARIOS!B:D,3,0)</f>
        <v>0.64583333333333337</v>
      </c>
      <c r="P455" s="9" t="str">
        <f>VLOOKUP(A455,HORARIOS!A:E,5,0)</f>
        <v>18:30 hrs</v>
      </c>
    </row>
    <row r="456" spans="1:16" ht="15.75" customHeight="1" x14ac:dyDescent="0.25">
      <c r="A456" s="1" t="str">
        <f t="shared" si="7"/>
        <v>603413</v>
      </c>
      <c r="B456" s="1">
        <v>514</v>
      </c>
      <c r="C456" s="1">
        <v>13</v>
      </c>
      <c r="D456" s="1">
        <v>6034</v>
      </c>
      <c r="E456" s="1" t="s">
        <v>83</v>
      </c>
      <c r="F456" s="1" t="s">
        <v>36</v>
      </c>
      <c r="G456" s="1" t="s">
        <v>134</v>
      </c>
      <c r="H456" s="1" t="s">
        <v>135</v>
      </c>
      <c r="I456" t="s">
        <v>797</v>
      </c>
      <c r="J456" t="s">
        <v>798</v>
      </c>
      <c r="K456" s="1">
        <v>12</v>
      </c>
      <c r="L456" s="1" t="s">
        <v>138</v>
      </c>
      <c r="M456" s="1" t="str">
        <f>VLOOKUP(D456,HORARIOS!B:H,7,0)</f>
        <v>Día 2</v>
      </c>
      <c r="N456" s="1">
        <f>VLOOKUP(D456,HORARIOS!B:I,8,0)</f>
        <v>13</v>
      </c>
      <c r="O456" s="9">
        <f>VLOOKUP(D456,HORARIOS!B:D,3,0)</f>
        <v>0.64583333333333337</v>
      </c>
      <c r="P456" s="9" t="str">
        <f>VLOOKUP(A456,HORARIOS!A:E,5,0)</f>
        <v>18:30 hrs</v>
      </c>
    </row>
    <row r="457" spans="1:16" ht="15.75" customHeight="1" x14ac:dyDescent="0.25">
      <c r="A457" s="1" t="str">
        <f t="shared" si="7"/>
        <v>603413</v>
      </c>
      <c r="B457" s="1">
        <v>515</v>
      </c>
      <c r="C457" s="1">
        <v>13</v>
      </c>
      <c r="D457" s="1">
        <v>6034</v>
      </c>
      <c r="E457" s="1" t="s">
        <v>83</v>
      </c>
      <c r="F457" s="1" t="s">
        <v>36</v>
      </c>
      <c r="G457" s="1" t="s">
        <v>145</v>
      </c>
      <c r="H457" s="1" t="s">
        <v>52</v>
      </c>
      <c r="I457" t="s">
        <v>799</v>
      </c>
      <c r="J457" t="s">
        <v>800</v>
      </c>
      <c r="K457" s="1">
        <v>12</v>
      </c>
      <c r="M457" s="1" t="str">
        <f>VLOOKUP(D457,HORARIOS!B:H,7,0)</f>
        <v>Día 2</v>
      </c>
      <c r="N457" s="1">
        <f>VLOOKUP(D457,HORARIOS!B:I,8,0)</f>
        <v>13</v>
      </c>
      <c r="O457" s="9">
        <f>VLOOKUP(D457,HORARIOS!B:D,3,0)</f>
        <v>0.64583333333333337</v>
      </c>
      <c r="P457" s="9" t="str">
        <f>VLOOKUP(A457,HORARIOS!A:E,5,0)</f>
        <v>18:30 hrs</v>
      </c>
    </row>
    <row r="458" spans="1:16" ht="15.75" customHeight="1" x14ac:dyDescent="0.25">
      <c r="A458" s="1" t="str">
        <f t="shared" si="7"/>
        <v>603413</v>
      </c>
      <c r="B458" s="1">
        <v>517</v>
      </c>
      <c r="C458" s="1">
        <v>13</v>
      </c>
      <c r="D458" s="1">
        <v>6034</v>
      </c>
      <c r="E458" s="1" t="s">
        <v>83</v>
      </c>
      <c r="F458" s="1" t="s">
        <v>36</v>
      </c>
      <c r="G458" s="1" t="s">
        <v>159</v>
      </c>
      <c r="H458" s="1" t="s">
        <v>160</v>
      </c>
      <c r="I458" t="s">
        <v>801</v>
      </c>
      <c r="J458" t="s">
        <v>802</v>
      </c>
      <c r="K458" s="1">
        <v>12</v>
      </c>
      <c r="M458" s="1" t="str">
        <f>VLOOKUP(D458,HORARIOS!B:H,7,0)</f>
        <v>Día 2</v>
      </c>
      <c r="N458" s="1">
        <f>VLOOKUP(D458,HORARIOS!B:I,8,0)</f>
        <v>13</v>
      </c>
      <c r="O458" s="9">
        <f>VLOOKUP(D458,HORARIOS!B:D,3,0)</f>
        <v>0.64583333333333337</v>
      </c>
      <c r="P458" s="9" t="str">
        <f>VLOOKUP(A458,HORARIOS!A:E,5,0)</f>
        <v>18:30 hrs</v>
      </c>
    </row>
    <row r="459" spans="1:16" ht="15.75" customHeight="1" x14ac:dyDescent="0.25">
      <c r="A459" s="1" t="str">
        <f t="shared" si="7"/>
        <v>603519</v>
      </c>
      <c r="B459" s="1">
        <v>518</v>
      </c>
      <c r="C459" s="1">
        <v>13</v>
      </c>
      <c r="D459" s="1">
        <v>6035</v>
      </c>
      <c r="E459" s="1" t="s">
        <v>84</v>
      </c>
      <c r="F459" s="1" t="s">
        <v>36</v>
      </c>
      <c r="G459" s="1" t="s">
        <v>37</v>
      </c>
      <c r="H459" s="1" t="s">
        <v>39</v>
      </c>
      <c r="I459" t="s">
        <v>803</v>
      </c>
      <c r="J459" t="s">
        <v>804</v>
      </c>
      <c r="K459" s="1">
        <v>12</v>
      </c>
      <c r="L459" s="1" t="s">
        <v>41</v>
      </c>
      <c r="M459" s="1" t="str">
        <f>VLOOKUP(D459,HORARIOS!B:H,7,0)</f>
        <v>Día 3</v>
      </c>
      <c r="N459" s="1">
        <f>VLOOKUP(D459,HORARIOS!B:I,8,0)</f>
        <v>19</v>
      </c>
      <c r="O459" s="9">
        <f>VLOOKUP(D459,HORARIOS!B:D,3,0)</f>
        <v>0.625</v>
      </c>
      <c r="P459" s="9" t="str">
        <f>VLOOKUP(A459,HORARIOS!A:E,5,0)</f>
        <v>19:00 hrs</v>
      </c>
    </row>
    <row r="460" spans="1:16" ht="15.75" customHeight="1" x14ac:dyDescent="0.25">
      <c r="A460" s="1" t="str">
        <f t="shared" si="7"/>
        <v>603519</v>
      </c>
      <c r="B460" s="1">
        <v>519</v>
      </c>
      <c r="C460" s="1">
        <v>13</v>
      </c>
      <c r="D460" s="1">
        <v>6035</v>
      </c>
      <c r="E460" s="1" t="s">
        <v>84</v>
      </c>
      <c r="F460" s="1" t="s">
        <v>36</v>
      </c>
      <c r="G460" s="1" t="s">
        <v>51</v>
      </c>
      <c r="H460" s="1" t="s">
        <v>52</v>
      </c>
      <c r="I460" t="s">
        <v>805</v>
      </c>
      <c r="J460" t="s">
        <v>806</v>
      </c>
      <c r="K460" s="1">
        <v>12</v>
      </c>
      <c r="M460" s="1" t="str">
        <f>VLOOKUP(D460,HORARIOS!B:H,7,0)</f>
        <v>Día 3</v>
      </c>
      <c r="N460" s="1">
        <f>VLOOKUP(D460,HORARIOS!B:I,8,0)</f>
        <v>19</v>
      </c>
      <c r="O460" s="9">
        <f>VLOOKUP(D460,HORARIOS!B:D,3,0)</f>
        <v>0.625</v>
      </c>
      <c r="P460" s="9" t="str">
        <f>VLOOKUP(A460,HORARIOS!A:E,5,0)</f>
        <v>19:00 hrs</v>
      </c>
    </row>
    <row r="461" spans="1:16" ht="15.75" customHeight="1" x14ac:dyDescent="0.25">
      <c r="A461" s="1" t="str">
        <f t="shared" si="7"/>
        <v>603519</v>
      </c>
      <c r="B461" s="1">
        <v>520</v>
      </c>
      <c r="C461" s="1">
        <v>13</v>
      </c>
      <c r="D461" s="1">
        <v>6035</v>
      </c>
      <c r="E461" s="1" t="s">
        <v>84</v>
      </c>
      <c r="F461" s="1" t="s">
        <v>36</v>
      </c>
      <c r="G461" s="1" t="s">
        <v>61</v>
      </c>
      <c r="H461" s="1" t="s">
        <v>62</v>
      </c>
      <c r="I461" t="s">
        <v>807</v>
      </c>
      <c r="J461" t="s">
        <v>807</v>
      </c>
      <c r="K461" s="1">
        <v>12</v>
      </c>
      <c r="L461" s="1" t="s">
        <v>64</v>
      </c>
      <c r="M461" s="1" t="str">
        <f>VLOOKUP(D461,HORARIOS!B:H,7,0)</f>
        <v>Día 3</v>
      </c>
      <c r="N461" s="1">
        <f>VLOOKUP(D461,HORARIOS!B:I,8,0)</f>
        <v>19</v>
      </c>
      <c r="O461" s="9">
        <f>VLOOKUP(D461,HORARIOS!B:D,3,0)</f>
        <v>0.625</v>
      </c>
      <c r="P461" s="9" t="str">
        <f>VLOOKUP(A461,HORARIOS!A:E,5,0)</f>
        <v>19:00 hrs</v>
      </c>
    </row>
    <row r="462" spans="1:16" ht="15.75" customHeight="1" x14ac:dyDescent="0.25">
      <c r="A462" s="1" t="str">
        <f t="shared" si="7"/>
        <v>603519</v>
      </c>
      <c r="B462" s="1">
        <v>521</v>
      </c>
      <c r="C462" s="1">
        <v>13</v>
      </c>
      <c r="D462" s="1">
        <v>6035</v>
      </c>
      <c r="E462" s="1" t="s">
        <v>84</v>
      </c>
      <c r="F462" s="1" t="s">
        <v>36</v>
      </c>
      <c r="G462" s="1" t="s">
        <v>72</v>
      </c>
      <c r="H462" s="1" t="s">
        <v>73</v>
      </c>
      <c r="I462" t="s">
        <v>808</v>
      </c>
      <c r="J462" t="s">
        <v>809</v>
      </c>
      <c r="K462" s="1">
        <v>12</v>
      </c>
      <c r="M462" s="1" t="str">
        <f>VLOOKUP(D462,HORARIOS!B:H,7,0)</f>
        <v>Día 3</v>
      </c>
      <c r="N462" s="1">
        <f>VLOOKUP(D462,HORARIOS!B:I,8,0)</f>
        <v>19</v>
      </c>
      <c r="O462" s="9">
        <f>VLOOKUP(D462,HORARIOS!B:D,3,0)</f>
        <v>0.625</v>
      </c>
      <c r="P462" s="9" t="str">
        <f>VLOOKUP(A462,HORARIOS!A:E,5,0)</f>
        <v>19:00 hrs</v>
      </c>
    </row>
    <row r="463" spans="1:16" ht="15.75" customHeight="1" x14ac:dyDescent="0.25">
      <c r="A463" s="1" t="str">
        <f t="shared" si="7"/>
        <v>603519</v>
      </c>
      <c r="B463" s="1">
        <v>522</v>
      </c>
      <c r="C463" s="1">
        <v>13</v>
      </c>
      <c r="D463" s="1">
        <v>6035</v>
      </c>
      <c r="E463" s="1" t="s">
        <v>84</v>
      </c>
      <c r="F463" s="1" t="s">
        <v>36</v>
      </c>
      <c r="G463" s="1" t="s">
        <v>88</v>
      </c>
      <c r="H463" s="1" t="s">
        <v>90</v>
      </c>
      <c r="I463" t="s">
        <v>52</v>
      </c>
      <c r="J463" t="s">
        <v>52</v>
      </c>
      <c r="K463" s="1">
        <v>2</v>
      </c>
      <c r="M463" s="1" t="str">
        <f>VLOOKUP(D463,HORARIOS!B:H,7,0)</f>
        <v>Día 3</v>
      </c>
      <c r="N463" s="1">
        <f>VLOOKUP(D463,HORARIOS!B:I,8,0)</f>
        <v>19</v>
      </c>
      <c r="O463" s="9">
        <f>VLOOKUP(D463,HORARIOS!B:D,3,0)</f>
        <v>0.625</v>
      </c>
      <c r="P463" s="9" t="str">
        <f>VLOOKUP(A463,HORARIOS!A:E,5,0)</f>
        <v>19:00 hrs</v>
      </c>
    </row>
    <row r="464" spans="1:16" ht="15.75" customHeight="1" x14ac:dyDescent="0.25">
      <c r="A464" s="1" t="str">
        <f t="shared" si="7"/>
        <v>603519</v>
      </c>
      <c r="B464" s="1">
        <v>523</v>
      </c>
      <c r="C464" s="1">
        <v>13</v>
      </c>
      <c r="D464" s="1">
        <v>6035</v>
      </c>
      <c r="E464" s="1" t="s">
        <v>84</v>
      </c>
      <c r="F464" s="1" t="s">
        <v>36</v>
      </c>
      <c r="G464" s="1" t="s">
        <v>96</v>
      </c>
      <c r="H464" s="1" t="s">
        <v>62</v>
      </c>
      <c r="I464" t="s">
        <v>810</v>
      </c>
      <c r="J464" t="s">
        <v>810</v>
      </c>
      <c r="K464" s="1">
        <v>12</v>
      </c>
      <c r="M464" s="1" t="str">
        <f>VLOOKUP(D464,HORARIOS!B:H,7,0)</f>
        <v>Día 3</v>
      </c>
      <c r="N464" s="1">
        <f>VLOOKUP(D464,HORARIOS!B:I,8,0)</f>
        <v>19</v>
      </c>
      <c r="O464" s="9">
        <f>VLOOKUP(D464,HORARIOS!B:D,3,0)</f>
        <v>0.625</v>
      </c>
      <c r="P464" s="9" t="str">
        <f>VLOOKUP(A464,HORARIOS!A:E,5,0)</f>
        <v>19:00 hrs</v>
      </c>
    </row>
    <row r="465" spans="1:16" ht="15.75" customHeight="1" x14ac:dyDescent="0.25">
      <c r="A465" s="1" t="str">
        <f t="shared" si="7"/>
        <v>603519</v>
      </c>
      <c r="B465" s="1">
        <v>525</v>
      </c>
      <c r="C465" s="1">
        <v>13</v>
      </c>
      <c r="D465" s="1">
        <v>6035</v>
      </c>
      <c r="E465" s="1" t="s">
        <v>84</v>
      </c>
      <c r="F465" s="1" t="s">
        <v>36</v>
      </c>
      <c r="G465" s="1" t="s">
        <v>98</v>
      </c>
      <c r="H465" s="1" t="s">
        <v>99</v>
      </c>
      <c r="I465" t="s">
        <v>811</v>
      </c>
      <c r="J465" t="s">
        <v>812</v>
      </c>
      <c r="K465" s="1">
        <v>12</v>
      </c>
      <c r="L465" s="1" t="s">
        <v>101</v>
      </c>
      <c r="M465" s="1" t="str">
        <f>VLOOKUP(D465,HORARIOS!B:H,7,0)</f>
        <v>Día 3</v>
      </c>
      <c r="N465" s="1">
        <f>VLOOKUP(D465,HORARIOS!B:I,8,0)</f>
        <v>19</v>
      </c>
      <c r="O465" s="9">
        <f>VLOOKUP(D465,HORARIOS!B:D,3,0)</f>
        <v>0.625</v>
      </c>
      <c r="P465" s="9" t="str">
        <f>VLOOKUP(A465,HORARIOS!A:E,5,0)</f>
        <v>19:00 hrs</v>
      </c>
    </row>
    <row r="466" spans="1:16" ht="15.75" customHeight="1" x14ac:dyDescent="0.25">
      <c r="A466" s="1" t="str">
        <f t="shared" si="7"/>
        <v>603519</v>
      </c>
      <c r="B466" s="1">
        <v>526</v>
      </c>
      <c r="C466" s="1">
        <v>13</v>
      </c>
      <c r="D466" s="1">
        <v>6035</v>
      </c>
      <c r="E466" s="1" t="s">
        <v>84</v>
      </c>
      <c r="F466" s="1" t="s">
        <v>36</v>
      </c>
      <c r="G466" s="1" t="s">
        <v>98</v>
      </c>
      <c r="H466" s="1" t="s">
        <v>99</v>
      </c>
      <c r="I466" t="s">
        <v>813</v>
      </c>
      <c r="J466" t="s">
        <v>814</v>
      </c>
      <c r="K466" s="1">
        <v>12</v>
      </c>
      <c r="L466" s="1" t="s">
        <v>101</v>
      </c>
      <c r="M466" s="1" t="str">
        <f>VLOOKUP(D466,HORARIOS!B:H,7,0)</f>
        <v>Día 3</v>
      </c>
      <c r="N466" s="1">
        <f>VLOOKUP(D466,HORARIOS!B:I,8,0)</f>
        <v>19</v>
      </c>
      <c r="O466" s="9">
        <f>VLOOKUP(D466,HORARIOS!B:D,3,0)</f>
        <v>0.625</v>
      </c>
      <c r="P466" s="9" t="str">
        <f>VLOOKUP(A466,HORARIOS!A:E,5,0)</f>
        <v>19:00 hrs</v>
      </c>
    </row>
    <row r="467" spans="1:16" ht="15.75" customHeight="1" x14ac:dyDescent="0.25">
      <c r="A467" s="1" t="str">
        <f t="shared" si="7"/>
        <v>603519</v>
      </c>
      <c r="B467" s="1">
        <v>527</v>
      </c>
      <c r="C467" s="1">
        <v>13</v>
      </c>
      <c r="D467" s="1">
        <v>6035</v>
      </c>
      <c r="E467" s="1" t="s">
        <v>84</v>
      </c>
      <c r="F467" s="1" t="s">
        <v>36</v>
      </c>
      <c r="G467" s="1" t="s">
        <v>98</v>
      </c>
      <c r="H467" s="1" t="s">
        <v>99</v>
      </c>
      <c r="I467" t="s">
        <v>815</v>
      </c>
      <c r="J467" t="s">
        <v>816</v>
      </c>
      <c r="K467" s="1">
        <v>12</v>
      </c>
      <c r="L467" s="1" t="s">
        <v>101</v>
      </c>
      <c r="M467" s="1" t="str">
        <f>VLOOKUP(D467,HORARIOS!B:H,7,0)</f>
        <v>Día 3</v>
      </c>
      <c r="N467" s="1">
        <f>VLOOKUP(D467,HORARIOS!B:I,8,0)</f>
        <v>19</v>
      </c>
      <c r="O467" s="9">
        <f>VLOOKUP(D467,HORARIOS!B:D,3,0)</f>
        <v>0.625</v>
      </c>
      <c r="P467" s="9" t="str">
        <f>VLOOKUP(A467,HORARIOS!A:E,5,0)</f>
        <v>19:00 hrs</v>
      </c>
    </row>
    <row r="468" spans="1:16" ht="15.75" customHeight="1" x14ac:dyDescent="0.25">
      <c r="A468" s="1" t="str">
        <f t="shared" si="7"/>
        <v>603519</v>
      </c>
      <c r="B468" s="1">
        <v>528</v>
      </c>
      <c r="C468" s="1">
        <v>13</v>
      </c>
      <c r="D468" s="1">
        <v>6035</v>
      </c>
      <c r="E468" s="1" t="s">
        <v>84</v>
      </c>
      <c r="F468" s="1" t="s">
        <v>36</v>
      </c>
      <c r="G468" s="1" t="s">
        <v>114</v>
      </c>
      <c r="H468" s="1" t="s">
        <v>39</v>
      </c>
      <c r="I468" t="s">
        <v>52</v>
      </c>
      <c r="J468" t="s">
        <v>52</v>
      </c>
      <c r="K468" s="1">
        <v>2</v>
      </c>
      <c r="L468" s="1" t="s">
        <v>115</v>
      </c>
      <c r="M468" s="1" t="str">
        <f>VLOOKUP(D468,HORARIOS!B:H,7,0)</f>
        <v>Día 3</v>
      </c>
      <c r="N468" s="1">
        <f>VLOOKUP(D468,HORARIOS!B:I,8,0)</f>
        <v>19</v>
      </c>
      <c r="O468" s="9">
        <f>VLOOKUP(D468,HORARIOS!B:D,3,0)</f>
        <v>0.625</v>
      </c>
      <c r="P468" s="9" t="str">
        <f>VLOOKUP(A468,HORARIOS!A:E,5,0)</f>
        <v>19:00 hrs</v>
      </c>
    </row>
    <row r="469" spans="1:16" ht="15.75" customHeight="1" x14ac:dyDescent="0.25">
      <c r="A469" s="1" t="str">
        <f t="shared" si="7"/>
        <v>603519</v>
      </c>
      <c r="B469" s="1">
        <v>529</v>
      </c>
      <c r="C469" s="1">
        <v>13</v>
      </c>
      <c r="D469" s="1">
        <v>6035</v>
      </c>
      <c r="E469" s="1" t="s">
        <v>84</v>
      </c>
      <c r="F469" s="1" t="s">
        <v>36</v>
      </c>
      <c r="G469" s="1" t="s">
        <v>134</v>
      </c>
      <c r="H469" s="1" t="s">
        <v>135</v>
      </c>
      <c r="I469" t="s">
        <v>817</v>
      </c>
      <c r="J469" t="s">
        <v>818</v>
      </c>
      <c r="K469" s="1">
        <v>12</v>
      </c>
      <c r="L469" s="1" t="s">
        <v>138</v>
      </c>
      <c r="M469" s="1" t="str">
        <f>VLOOKUP(D469,HORARIOS!B:H,7,0)</f>
        <v>Día 3</v>
      </c>
      <c r="N469" s="1">
        <f>VLOOKUP(D469,HORARIOS!B:I,8,0)</f>
        <v>19</v>
      </c>
      <c r="O469" s="9">
        <f>VLOOKUP(D469,HORARIOS!B:D,3,0)</f>
        <v>0.625</v>
      </c>
      <c r="P469" s="9" t="str">
        <f>VLOOKUP(A469,HORARIOS!A:E,5,0)</f>
        <v>19:00 hrs</v>
      </c>
    </row>
    <row r="470" spans="1:16" ht="15.75" customHeight="1" x14ac:dyDescent="0.25">
      <c r="A470" s="1" t="str">
        <f t="shared" si="7"/>
        <v>603519</v>
      </c>
      <c r="B470" s="1">
        <v>530</v>
      </c>
      <c r="C470" s="1">
        <v>13</v>
      </c>
      <c r="D470" s="1">
        <v>6035</v>
      </c>
      <c r="E470" s="1" t="s">
        <v>84</v>
      </c>
      <c r="F470" s="1" t="s">
        <v>36</v>
      </c>
      <c r="G470" s="1" t="s">
        <v>145</v>
      </c>
      <c r="H470" s="1" t="s">
        <v>52</v>
      </c>
      <c r="I470" t="s">
        <v>819</v>
      </c>
      <c r="J470" t="s">
        <v>820</v>
      </c>
      <c r="K470" s="1">
        <v>12</v>
      </c>
      <c r="M470" s="1" t="str">
        <f>VLOOKUP(D470,HORARIOS!B:H,7,0)</f>
        <v>Día 3</v>
      </c>
      <c r="N470" s="1">
        <f>VLOOKUP(D470,HORARIOS!B:I,8,0)</f>
        <v>19</v>
      </c>
      <c r="O470" s="9">
        <f>VLOOKUP(D470,HORARIOS!B:D,3,0)</f>
        <v>0.625</v>
      </c>
      <c r="P470" s="9" t="str">
        <f>VLOOKUP(A470,HORARIOS!A:E,5,0)</f>
        <v>19:00 hrs</v>
      </c>
    </row>
    <row r="471" spans="1:16" ht="15.75" customHeight="1" x14ac:dyDescent="0.25">
      <c r="A471" s="1" t="str">
        <f t="shared" si="7"/>
        <v>603519</v>
      </c>
      <c r="B471" s="1">
        <v>531</v>
      </c>
      <c r="C471" s="1">
        <v>13</v>
      </c>
      <c r="D471" s="1">
        <v>6035</v>
      </c>
      <c r="E471" s="1" t="s">
        <v>84</v>
      </c>
      <c r="F471" s="1" t="s">
        <v>36</v>
      </c>
      <c r="G471" s="1" t="s">
        <v>159</v>
      </c>
      <c r="H471" s="1" t="s">
        <v>160</v>
      </c>
      <c r="I471" t="s">
        <v>821</v>
      </c>
      <c r="J471" t="s">
        <v>822</v>
      </c>
      <c r="K471" s="1">
        <v>12</v>
      </c>
      <c r="M471" s="1" t="str">
        <f>VLOOKUP(D471,HORARIOS!B:H,7,0)</f>
        <v>Día 3</v>
      </c>
      <c r="N471" s="1">
        <f>VLOOKUP(D471,HORARIOS!B:I,8,0)</f>
        <v>19</v>
      </c>
      <c r="O471" s="9">
        <f>VLOOKUP(D471,HORARIOS!B:D,3,0)</f>
        <v>0.625</v>
      </c>
      <c r="P471" s="9" t="str">
        <f>VLOOKUP(A471,HORARIOS!A:E,5,0)</f>
        <v>19:00 hrs</v>
      </c>
    </row>
    <row r="472" spans="1:16" ht="15.75" customHeight="1" x14ac:dyDescent="0.25">
      <c r="A472" s="1" t="str">
        <f t="shared" si="7"/>
        <v>603619</v>
      </c>
      <c r="B472" s="1">
        <v>533</v>
      </c>
      <c r="C472" s="1">
        <v>13</v>
      </c>
      <c r="D472" s="1">
        <v>6036</v>
      </c>
      <c r="E472" s="1" t="s">
        <v>158</v>
      </c>
      <c r="F472" s="1" t="s">
        <v>36</v>
      </c>
      <c r="G472" s="1" t="s">
        <v>37</v>
      </c>
      <c r="H472" s="1" t="s">
        <v>39</v>
      </c>
      <c r="I472" t="s">
        <v>823</v>
      </c>
      <c r="J472" t="s">
        <v>824</v>
      </c>
      <c r="K472" s="1">
        <v>12</v>
      </c>
      <c r="L472" s="1" t="s">
        <v>41</v>
      </c>
      <c r="M472" s="1" t="str">
        <f>VLOOKUP(D472,HORARIOS!B:H,7,0)</f>
        <v>Día 3</v>
      </c>
      <c r="N472" s="1">
        <f>VLOOKUP(D472,HORARIOS!B:I,8,0)</f>
        <v>19</v>
      </c>
      <c r="O472" s="9">
        <f>VLOOKUP(D472,HORARIOS!B:D,3,0)</f>
        <v>0.58333333333333337</v>
      </c>
      <c r="P472" s="9" t="str">
        <f>VLOOKUP(A472,HORARIOS!A:E,5,0)</f>
        <v>17:30 hrs</v>
      </c>
    </row>
    <row r="473" spans="1:16" ht="15.75" customHeight="1" x14ac:dyDescent="0.25">
      <c r="A473" s="1" t="str">
        <f t="shared" si="7"/>
        <v>603619</v>
      </c>
      <c r="B473" s="1">
        <v>534</v>
      </c>
      <c r="C473" s="1">
        <v>13</v>
      </c>
      <c r="D473" s="1">
        <v>6036</v>
      </c>
      <c r="E473" s="1" t="s">
        <v>158</v>
      </c>
      <c r="F473" s="1" t="s">
        <v>36</v>
      </c>
      <c r="G473" s="1" t="s">
        <v>51</v>
      </c>
      <c r="H473" s="1" t="s">
        <v>52</v>
      </c>
      <c r="I473" t="s">
        <v>825</v>
      </c>
      <c r="J473" t="s">
        <v>826</v>
      </c>
      <c r="K473" s="1">
        <v>12</v>
      </c>
      <c r="M473" s="1" t="str">
        <f>VLOOKUP(D473,HORARIOS!B:H,7,0)</f>
        <v>Día 3</v>
      </c>
      <c r="N473" s="1">
        <f>VLOOKUP(D473,HORARIOS!B:I,8,0)</f>
        <v>19</v>
      </c>
      <c r="O473" s="9">
        <f>VLOOKUP(D473,HORARIOS!B:D,3,0)</f>
        <v>0.58333333333333337</v>
      </c>
      <c r="P473" s="9" t="str">
        <f>VLOOKUP(A473,HORARIOS!A:E,5,0)</f>
        <v>17:30 hrs</v>
      </c>
    </row>
    <row r="474" spans="1:16" ht="15.75" customHeight="1" x14ac:dyDescent="0.25">
      <c r="A474" s="1" t="str">
        <f t="shared" si="7"/>
        <v>603619</v>
      </c>
      <c r="B474" s="1">
        <v>535</v>
      </c>
      <c r="C474" s="1">
        <v>13</v>
      </c>
      <c r="D474" s="1">
        <v>6036</v>
      </c>
      <c r="E474" s="1" t="s">
        <v>158</v>
      </c>
      <c r="F474" s="1" t="s">
        <v>36</v>
      </c>
      <c r="G474" s="1" t="s">
        <v>61</v>
      </c>
      <c r="H474" s="1" t="s">
        <v>62</v>
      </c>
      <c r="I474" t="s">
        <v>827</v>
      </c>
      <c r="J474" t="s">
        <v>827</v>
      </c>
      <c r="K474" s="1">
        <v>12</v>
      </c>
      <c r="L474" s="1" t="s">
        <v>64</v>
      </c>
      <c r="M474" s="1" t="str">
        <f>VLOOKUP(D474,HORARIOS!B:H,7,0)</f>
        <v>Día 3</v>
      </c>
      <c r="N474" s="1">
        <f>VLOOKUP(D474,HORARIOS!B:I,8,0)</f>
        <v>19</v>
      </c>
      <c r="O474" s="9">
        <f>VLOOKUP(D474,HORARIOS!B:D,3,0)</f>
        <v>0.58333333333333337</v>
      </c>
      <c r="P474" s="9" t="str">
        <f>VLOOKUP(A474,HORARIOS!A:E,5,0)</f>
        <v>17:30 hrs</v>
      </c>
    </row>
    <row r="475" spans="1:16" ht="15.75" customHeight="1" x14ac:dyDescent="0.25">
      <c r="A475" s="1" t="str">
        <f t="shared" si="7"/>
        <v>603619</v>
      </c>
      <c r="B475" s="1">
        <v>536</v>
      </c>
      <c r="C475" s="1">
        <v>13</v>
      </c>
      <c r="D475" s="1">
        <v>6036</v>
      </c>
      <c r="E475" s="1" t="s">
        <v>158</v>
      </c>
      <c r="F475" s="1" t="s">
        <v>36</v>
      </c>
      <c r="G475" s="1" t="s">
        <v>72</v>
      </c>
      <c r="H475" s="1" t="s">
        <v>73</v>
      </c>
      <c r="I475" t="s">
        <v>828</v>
      </c>
      <c r="J475" t="s">
        <v>829</v>
      </c>
      <c r="K475" s="1">
        <v>12</v>
      </c>
      <c r="M475" s="1" t="str">
        <f>VLOOKUP(D475,HORARIOS!B:H,7,0)</f>
        <v>Día 3</v>
      </c>
      <c r="N475" s="1">
        <f>VLOOKUP(D475,HORARIOS!B:I,8,0)</f>
        <v>19</v>
      </c>
      <c r="O475" s="9">
        <f>VLOOKUP(D475,HORARIOS!B:D,3,0)</f>
        <v>0.58333333333333337</v>
      </c>
      <c r="P475" s="9" t="str">
        <f>VLOOKUP(A475,HORARIOS!A:E,5,0)</f>
        <v>17:30 hrs</v>
      </c>
    </row>
    <row r="476" spans="1:16" ht="15.75" customHeight="1" x14ac:dyDescent="0.25">
      <c r="A476" s="1" t="str">
        <f t="shared" si="7"/>
        <v>603619</v>
      </c>
      <c r="B476" s="1">
        <v>537</v>
      </c>
      <c r="C476" s="1">
        <v>13</v>
      </c>
      <c r="D476" s="1">
        <v>6036</v>
      </c>
      <c r="E476" s="1" t="s">
        <v>158</v>
      </c>
      <c r="F476" s="1" t="s">
        <v>36</v>
      </c>
      <c r="G476" s="1" t="s">
        <v>88</v>
      </c>
      <c r="H476" s="1" t="s">
        <v>90</v>
      </c>
      <c r="I476" t="s">
        <v>830</v>
      </c>
      <c r="J476" t="s">
        <v>830</v>
      </c>
      <c r="K476" s="1">
        <v>11</v>
      </c>
      <c r="M476" s="1" t="str">
        <f>VLOOKUP(D476,HORARIOS!B:H,7,0)</f>
        <v>Día 3</v>
      </c>
      <c r="N476" s="1">
        <f>VLOOKUP(D476,HORARIOS!B:I,8,0)</f>
        <v>19</v>
      </c>
      <c r="O476" s="9">
        <f>VLOOKUP(D476,HORARIOS!B:D,3,0)</f>
        <v>0.58333333333333337</v>
      </c>
      <c r="P476" s="9" t="str">
        <f>VLOOKUP(A476,HORARIOS!A:E,5,0)</f>
        <v>17:30 hrs</v>
      </c>
    </row>
    <row r="477" spans="1:16" ht="15.75" customHeight="1" x14ac:dyDescent="0.25">
      <c r="A477" s="1" t="str">
        <f t="shared" si="7"/>
        <v>603619</v>
      </c>
      <c r="B477" s="1">
        <v>538</v>
      </c>
      <c r="C477" s="1">
        <v>13</v>
      </c>
      <c r="D477" s="1">
        <v>6036</v>
      </c>
      <c r="E477" s="1" t="s">
        <v>158</v>
      </c>
      <c r="F477" s="1" t="s">
        <v>36</v>
      </c>
      <c r="G477" s="1" t="s">
        <v>96</v>
      </c>
      <c r="H477" s="1" t="s">
        <v>62</v>
      </c>
      <c r="I477" t="s">
        <v>831</v>
      </c>
      <c r="J477" t="s">
        <v>831</v>
      </c>
      <c r="K477" s="1">
        <v>12</v>
      </c>
      <c r="M477" s="1" t="str">
        <f>VLOOKUP(D477,HORARIOS!B:H,7,0)</f>
        <v>Día 3</v>
      </c>
      <c r="N477" s="1">
        <f>VLOOKUP(D477,HORARIOS!B:I,8,0)</f>
        <v>19</v>
      </c>
      <c r="O477" s="9">
        <f>VLOOKUP(D477,HORARIOS!B:D,3,0)</f>
        <v>0.58333333333333337</v>
      </c>
      <c r="P477" s="9" t="str">
        <f>VLOOKUP(A477,HORARIOS!A:E,5,0)</f>
        <v>17:30 hrs</v>
      </c>
    </row>
    <row r="478" spans="1:16" ht="15.75" customHeight="1" x14ac:dyDescent="0.25">
      <c r="A478" s="1" t="str">
        <f t="shared" si="7"/>
        <v>603619</v>
      </c>
      <c r="B478" s="1">
        <v>539</v>
      </c>
      <c r="C478" s="1">
        <v>13</v>
      </c>
      <c r="D478" s="1">
        <v>6036</v>
      </c>
      <c r="E478" s="1" t="s">
        <v>158</v>
      </c>
      <c r="F478" s="1" t="s">
        <v>36</v>
      </c>
      <c r="G478" s="1" t="s">
        <v>98</v>
      </c>
      <c r="H478" s="1" t="s">
        <v>99</v>
      </c>
      <c r="I478" t="s">
        <v>832</v>
      </c>
      <c r="J478" t="s">
        <v>832</v>
      </c>
      <c r="K478" s="1">
        <v>12</v>
      </c>
      <c r="L478" s="1" t="s">
        <v>101</v>
      </c>
      <c r="M478" s="1" t="str">
        <f>VLOOKUP(D478,HORARIOS!B:H,7,0)</f>
        <v>Día 3</v>
      </c>
      <c r="N478" s="1">
        <f>VLOOKUP(D478,HORARIOS!B:I,8,0)</f>
        <v>19</v>
      </c>
      <c r="O478" s="9">
        <f>VLOOKUP(D478,HORARIOS!B:D,3,0)</f>
        <v>0.58333333333333337</v>
      </c>
      <c r="P478" s="9" t="str">
        <f>VLOOKUP(A478,HORARIOS!A:E,5,0)</f>
        <v>17:30 hrs</v>
      </c>
    </row>
    <row r="479" spans="1:16" ht="15.75" customHeight="1" x14ac:dyDescent="0.25">
      <c r="A479" s="1" t="str">
        <f t="shared" si="7"/>
        <v>603619</v>
      </c>
      <c r="B479" s="1">
        <v>541</v>
      </c>
      <c r="C479" s="1">
        <v>13</v>
      </c>
      <c r="D479" s="1">
        <v>6036</v>
      </c>
      <c r="E479" s="1" t="s">
        <v>158</v>
      </c>
      <c r="F479" s="1" t="s">
        <v>36</v>
      </c>
      <c r="G479" s="1" t="s">
        <v>98</v>
      </c>
      <c r="H479" s="1" t="s">
        <v>99</v>
      </c>
      <c r="I479" t="s">
        <v>833</v>
      </c>
      <c r="J479" t="s">
        <v>834</v>
      </c>
      <c r="K479" s="1">
        <v>12</v>
      </c>
      <c r="L479" s="1" t="s">
        <v>101</v>
      </c>
      <c r="M479" s="1" t="str">
        <f>VLOOKUP(D479,HORARIOS!B:H,7,0)</f>
        <v>Día 3</v>
      </c>
      <c r="N479" s="1">
        <f>VLOOKUP(D479,HORARIOS!B:I,8,0)</f>
        <v>19</v>
      </c>
      <c r="O479" s="9">
        <f>VLOOKUP(D479,HORARIOS!B:D,3,0)</f>
        <v>0.58333333333333337</v>
      </c>
      <c r="P479" s="9" t="str">
        <f>VLOOKUP(A479,HORARIOS!A:E,5,0)</f>
        <v>17:30 hrs</v>
      </c>
    </row>
    <row r="480" spans="1:16" ht="15.75" customHeight="1" x14ac:dyDescent="0.25">
      <c r="A480" s="1" t="str">
        <f t="shared" si="7"/>
        <v>603619</v>
      </c>
      <c r="B480" s="1">
        <v>542</v>
      </c>
      <c r="C480" s="1">
        <v>13</v>
      </c>
      <c r="D480" s="1">
        <v>6036</v>
      </c>
      <c r="E480" s="1" t="s">
        <v>158</v>
      </c>
      <c r="F480" s="1" t="s">
        <v>36</v>
      </c>
      <c r="G480" s="1" t="s">
        <v>98</v>
      </c>
      <c r="H480" s="1" t="s">
        <v>99</v>
      </c>
      <c r="I480" t="s">
        <v>835</v>
      </c>
      <c r="J480" t="s">
        <v>836</v>
      </c>
      <c r="K480" s="1">
        <v>12</v>
      </c>
      <c r="L480" s="1" t="s">
        <v>101</v>
      </c>
      <c r="M480" s="1" t="str">
        <f>VLOOKUP(D480,HORARIOS!B:H,7,0)</f>
        <v>Día 3</v>
      </c>
      <c r="N480" s="1">
        <f>VLOOKUP(D480,HORARIOS!B:I,8,0)</f>
        <v>19</v>
      </c>
      <c r="O480" s="9">
        <f>VLOOKUP(D480,HORARIOS!B:D,3,0)</f>
        <v>0.58333333333333337</v>
      </c>
      <c r="P480" s="9" t="str">
        <f>VLOOKUP(A480,HORARIOS!A:E,5,0)</f>
        <v>17:30 hrs</v>
      </c>
    </row>
    <row r="481" spans="1:16" ht="15.75" customHeight="1" x14ac:dyDescent="0.25">
      <c r="A481" s="1" t="str">
        <f t="shared" si="7"/>
        <v>603619</v>
      </c>
      <c r="B481" s="1">
        <v>543</v>
      </c>
      <c r="C481" s="1">
        <v>13</v>
      </c>
      <c r="D481" s="1">
        <v>6036</v>
      </c>
      <c r="E481" s="1" t="s">
        <v>158</v>
      </c>
      <c r="F481" s="1" t="s">
        <v>36</v>
      </c>
      <c r="G481" s="1" t="s">
        <v>114</v>
      </c>
      <c r="H481" s="1" t="s">
        <v>39</v>
      </c>
      <c r="I481" t="s">
        <v>52</v>
      </c>
      <c r="J481" t="s">
        <v>52</v>
      </c>
      <c r="K481" s="1">
        <v>2</v>
      </c>
      <c r="L481" s="1" t="s">
        <v>115</v>
      </c>
      <c r="M481" s="1" t="str">
        <f>VLOOKUP(D481,HORARIOS!B:H,7,0)</f>
        <v>Día 3</v>
      </c>
      <c r="N481" s="1">
        <f>VLOOKUP(D481,HORARIOS!B:I,8,0)</f>
        <v>19</v>
      </c>
      <c r="O481" s="9">
        <f>VLOOKUP(D481,HORARIOS!B:D,3,0)</f>
        <v>0.58333333333333337</v>
      </c>
      <c r="P481" s="9" t="str">
        <f>VLOOKUP(A481,HORARIOS!A:E,5,0)</f>
        <v>17:30 hrs</v>
      </c>
    </row>
    <row r="482" spans="1:16" ht="15.75" customHeight="1" x14ac:dyDescent="0.25">
      <c r="A482" s="1" t="str">
        <f t="shared" si="7"/>
        <v>603619</v>
      </c>
      <c r="B482" s="1">
        <v>544</v>
      </c>
      <c r="C482" s="1">
        <v>13</v>
      </c>
      <c r="D482" s="1">
        <v>6036</v>
      </c>
      <c r="E482" s="1" t="s">
        <v>158</v>
      </c>
      <c r="F482" s="1" t="s">
        <v>36</v>
      </c>
      <c r="G482" s="1" t="s">
        <v>134</v>
      </c>
      <c r="H482" s="1" t="s">
        <v>135</v>
      </c>
      <c r="I482" t="s">
        <v>837</v>
      </c>
      <c r="J482" t="s">
        <v>838</v>
      </c>
      <c r="K482" s="1">
        <v>12</v>
      </c>
      <c r="L482" s="1" t="s">
        <v>138</v>
      </c>
      <c r="M482" s="1" t="str">
        <f>VLOOKUP(D482,HORARIOS!B:H,7,0)</f>
        <v>Día 3</v>
      </c>
      <c r="N482" s="1">
        <f>VLOOKUP(D482,HORARIOS!B:I,8,0)</f>
        <v>19</v>
      </c>
      <c r="O482" s="9">
        <f>VLOOKUP(D482,HORARIOS!B:D,3,0)</f>
        <v>0.58333333333333337</v>
      </c>
      <c r="P482" s="9" t="str">
        <f>VLOOKUP(A482,HORARIOS!A:E,5,0)</f>
        <v>17:30 hrs</v>
      </c>
    </row>
    <row r="483" spans="1:16" ht="15.75" customHeight="1" x14ac:dyDescent="0.25">
      <c r="A483" s="1" t="str">
        <f t="shared" si="7"/>
        <v>603619</v>
      </c>
      <c r="B483" s="1">
        <v>545</v>
      </c>
      <c r="C483" s="1">
        <v>13</v>
      </c>
      <c r="D483" s="1">
        <v>6036</v>
      </c>
      <c r="E483" s="1" t="s">
        <v>158</v>
      </c>
      <c r="F483" s="1" t="s">
        <v>36</v>
      </c>
      <c r="G483" s="1" t="s">
        <v>145</v>
      </c>
      <c r="H483" s="1" t="s">
        <v>52</v>
      </c>
      <c r="I483" t="s">
        <v>839</v>
      </c>
      <c r="J483" t="s">
        <v>840</v>
      </c>
      <c r="K483" s="1">
        <v>12</v>
      </c>
      <c r="M483" s="1" t="str">
        <f>VLOOKUP(D483,HORARIOS!B:H,7,0)</f>
        <v>Día 3</v>
      </c>
      <c r="N483" s="1">
        <f>VLOOKUP(D483,HORARIOS!B:I,8,0)</f>
        <v>19</v>
      </c>
      <c r="O483" s="9">
        <f>VLOOKUP(D483,HORARIOS!B:D,3,0)</f>
        <v>0.58333333333333337</v>
      </c>
      <c r="P483" s="9" t="str">
        <f>VLOOKUP(A483,HORARIOS!A:E,5,0)</f>
        <v>17:30 hrs</v>
      </c>
    </row>
    <row r="484" spans="1:16" ht="15.75" customHeight="1" x14ac:dyDescent="0.25">
      <c r="A484" s="1" t="str">
        <f t="shared" si="7"/>
        <v>603619</v>
      </c>
      <c r="B484" s="1">
        <v>546</v>
      </c>
      <c r="C484" s="1">
        <v>13</v>
      </c>
      <c r="D484" s="1">
        <v>6036</v>
      </c>
      <c r="E484" s="1" t="s">
        <v>158</v>
      </c>
      <c r="F484" s="1" t="s">
        <v>36</v>
      </c>
      <c r="G484" s="1" t="s">
        <v>159</v>
      </c>
      <c r="H484" s="1" t="s">
        <v>160</v>
      </c>
      <c r="I484" t="s">
        <v>841</v>
      </c>
      <c r="J484" t="s">
        <v>841</v>
      </c>
      <c r="K484" s="1">
        <v>12</v>
      </c>
      <c r="M484" s="1" t="str">
        <f>VLOOKUP(D484,HORARIOS!B:H,7,0)</f>
        <v>Día 3</v>
      </c>
      <c r="N484" s="1">
        <f>VLOOKUP(D484,HORARIOS!B:I,8,0)</f>
        <v>19</v>
      </c>
      <c r="O484" s="9">
        <f>VLOOKUP(D484,HORARIOS!B:D,3,0)</f>
        <v>0.58333333333333337</v>
      </c>
      <c r="P484" s="9" t="str">
        <f>VLOOKUP(A484,HORARIOS!A:E,5,0)</f>
        <v>17:30 hrs</v>
      </c>
    </row>
    <row r="485" spans="1:16" ht="15.75" customHeight="1" x14ac:dyDescent="0.25">
      <c r="A485" s="1" t="str">
        <f t="shared" si="7"/>
        <v>603720</v>
      </c>
      <c r="B485" s="1">
        <v>547</v>
      </c>
      <c r="C485" s="1">
        <v>13</v>
      </c>
      <c r="D485" s="1">
        <v>6037</v>
      </c>
      <c r="E485" s="1" t="s">
        <v>59</v>
      </c>
      <c r="F485" s="1" t="s">
        <v>36</v>
      </c>
      <c r="G485" s="1" t="s">
        <v>37</v>
      </c>
      <c r="H485" s="1" t="s">
        <v>39</v>
      </c>
      <c r="I485" t="s">
        <v>842</v>
      </c>
      <c r="J485" t="s">
        <v>843</v>
      </c>
      <c r="K485" s="1">
        <v>12</v>
      </c>
      <c r="L485" s="1" t="s">
        <v>41</v>
      </c>
      <c r="M485" s="1" t="str">
        <f>VLOOKUP(D485,HORARIOS!B:H,7,0)</f>
        <v>Día 4</v>
      </c>
      <c r="N485" s="1">
        <f>VLOOKUP(D485,HORARIOS!B:I,8,0)</f>
        <v>20</v>
      </c>
      <c r="O485" s="9">
        <f>VLOOKUP(D485,HORARIOS!B:D,3,0)</f>
        <v>0.41666666666666669</v>
      </c>
      <c r="P485" s="9" t="str">
        <f>VLOOKUP(A485,HORARIOS!A:E,5,0)</f>
        <v>13:30 hrs</v>
      </c>
    </row>
    <row r="486" spans="1:16" ht="15.75" customHeight="1" x14ac:dyDescent="0.25">
      <c r="A486" s="1" t="str">
        <f t="shared" si="7"/>
        <v>603720</v>
      </c>
      <c r="B486" s="1">
        <v>549</v>
      </c>
      <c r="C486" s="1">
        <v>13</v>
      </c>
      <c r="D486" s="1">
        <v>6037</v>
      </c>
      <c r="E486" s="1" t="s">
        <v>59</v>
      </c>
      <c r="F486" s="1" t="s">
        <v>36</v>
      </c>
      <c r="G486" s="1" t="s">
        <v>51</v>
      </c>
      <c r="H486" s="1" t="s">
        <v>52</v>
      </c>
      <c r="I486" t="s">
        <v>844</v>
      </c>
      <c r="J486" t="s">
        <v>845</v>
      </c>
      <c r="K486" s="1">
        <v>12</v>
      </c>
      <c r="M486" s="1" t="str">
        <f>VLOOKUP(D486,HORARIOS!B:H,7,0)</f>
        <v>Día 4</v>
      </c>
      <c r="N486" s="1">
        <f>VLOOKUP(D486,HORARIOS!B:I,8,0)</f>
        <v>20</v>
      </c>
      <c r="O486" s="9">
        <f>VLOOKUP(D486,HORARIOS!B:D,3,0)</f>
        <v>0.41666666666666669</v>
      </c>
      <c r="P486" s="9" t="str">
        <f>VLOOKUP(A486,HORARIOS!A:E,5,0)</f>
        <v>13:30 hrs</v>
      </c>
    </row>
    <row r="487" spans="1:16" ht="15.75" customHeight="1" x14ac:dyDescent="0.25">
      <c r="A487" s="1" t="str">
        <f t="shared" si="7"/>
        <v>603720</v>
      </c>
      <c r="B487" s="1">
        <v>550</v>
      </c>
      <c r="C487" s="1">
        <v>13</v>
      </c>
      <c r="D487" s="1">
        <v>6037</v>
      </c>
      <c r="E487" s="1" t="s">
        <v>59</v>
      </c>
      <c r="F487" s="1" t="s">
        <v>36</v>
      </c>
      <c r="G487" s="1" t="s">
        <v>61</v>
      </c>
      <c r="H487" s="1" t="s">
        <v>62</v>
      </c>
      <c r="I487" t="s">
        <v>846</v>
      </c>
      <c r="J487" t="s">
        <v>846</v>
      </c>
      <c r="K487" s="1">
        <v>12</v>
      </c>
      <c r="L487" s="1" t="s">
        <v>64</v>
      </c>
      <c r="M487" s="1" t="str">
        <f>VLOOKUP(D487,HORARIOS!B:H,7,0)</f>
        <v>Día 4</v>
      </c>
      <c r="N487" s="1">
        <f>VLOOKUP(D487,HORARIOS!B:I,8,0)</f>
        <v>20</v>
      </c>
      <c r="O487" s="9">
        <f>VLOOKUP(D487,HORARIOS!B:D,3,0)</f>
        <v>0.41666666666666669</v>
      </c>
      <c r="P487" s="9" t="str">
        <f>VLOOKUP(A487,HORARIOS!A:E,5,0)</f>
        <v>13:30 hrs</v>
      </c>
    </row>
    <row r="488" spans="1:16" ht="15.75" customHeight="1" x14ac:dyDescent="0.25">
      <c r="A488" s="1" t="str">
        <f t="shared" si="7"/>
        <v>603720</v>
      </c>
      <c r="B488" s="1">
        <v>551</v>
      </c>
      <c r="C488" s="1">
        <v>13</v>
      </c>
      <c r="D488" s="1">
        <v>6037</v>
      </c>
      <c r="E488" s="1" t="s">
        <v>59</v>
      </c>
      <c r="F488" s="1" t="s">
        <v>36</v>
      </c>
      <c r="G488" s="1" t="s">
        <v>72</v>
      </c>
      <c r="H488" s="1" t="s">
        <v>73</v>
      </c>
      <c r="I488" t="s">
        <v>847</v>
      </c>
      <c r="J488" t="s">
        <v>848</v>
      </c>
      <c r="K488" s="1">
        <v>12</v>
      </c>
      <c r="M488" s="1" t="str">
        <f>VLOOKUP(D488,HORARIOS!B:H,7,0)</f>
        <v>Día 4</v>
      </c>
      <c r="N488" s="1">
        <f>VLOOKUP(D488,HORARIOS!B:I,8,0)</f>
        <v>20</v>
      </c>
      <c r="O488" s="9">
        <f>VLOOKUP(D488,HORARIOS!B:D,3,0)</f>
        <v>0.41666666666666669</v>
      </c>
      <c r="P488" s="9" t="str">
        <f>VLOOKUP(A488,HORARIOS!A:E,5,0)</f>
        <v>13:30 hrs</v>
      </c>
    </row>
    <row r="489" spans="1:16" ht="15.75" customHeight="1" x14ac:dyDescent="0.25">
      <c r="A489" s="1" t="str">
        <f t="shared" si="7"/>
        <v>603720</v>
      </c>
      <c r="B489" s="1">
        <v>552</v>
      </c>
      <c r="C489" s="1">
        <v>13</v>
      </c>
      <c r="D489" s="1">
        <v>6037</v>
      </c>
      <c r="E489" s="1" t="s">
        <v>59</v>
      </c>
      <c r="F489" s="1" t="s">
        <v>36</v>
      </c>
      <c r="G489" s="1" t="s">
        <v>88</v>
      </c>
      <c r="H489" s="1" t="s">
        <v>90</v>
      </c>
      <c r="I489" t="s">
        <v>52</v>
      </c>
      <c r="J489" t="s">
        <v>52</v>
      </c>
      <c r="K489" s="1">
        <v>2</v>
      </c>
      <c r="M489" s="1" t="str">
        <f>VLOOKUP(D489,HORARIOS!B:H,7,0)</f>
        <v>Día 4</v>
      </c>
      <c r="N489" s="1">
        <f>VLOOKUP(D489,HORARIOS!B:I,8,0)</f>
        <v>20</v>
      </c>
      <c r="O489" s="9">
        <f>VLOOKUP(D489,HORARIOS!B:D,3,0)</f>
        <v>0.41666666666666669</v>
      </c>
      <c r="P489" s="9" t="str">
        <f>VLOOKUP(A489,HORARIOS!A:E,5,0)</f>
        <v>13:30 hrs</v>
      </c>
    </row>
    <row r="490" spans="1:16" ht="15.75" customHeight="1" x14ac:dyDescent="0.25">
      <c r="A490" s="1" t="str">
        <f t="shared" si="7"/>
        <v>603720</v>
      </c>
      <c r="B490" s="1">
        <v>553</v>
      </c>
      <c r="C490" s="1">
        <v>13</v>
      </c>
      <c r="D490" s="1">
        <v>6037</v>
      </c>
      <c r="E490" s="1" t="s">
        <v>59</v>
      </c>
      <c r="F490" s="1" t="s">
        <v>36</v>
      </c>
      <c r="G490" s="1" t="s">
        <v>96</v>
      </c>
      <c r="H490" s="1" t="s">
        <v>62</v>
      </c>
      <c r="I490" t="s">
        <v>849</v>
      </c>
      <c r="J490" t="s">
        <v>849</v>
      </c>
      <c r="K490" s="1">
        <v>12</v>
      </c>
      <c r="M490" s="1" t="str">
        <f>VLOOKUP(D490,HORARIOS!B:H,7,0)</f>
        <v>Día 4</v>
      </c>
      <c r="N490" s="1">
        <f>VLOOKUP(D490,HORARIOS!B:I,8,0)</f>
        <v>20</v>
      </c>
      <c r="O490" s="9">
        <f>VLOOKUP(D490,HORARIOS!B:D,3,0)</f>
        <v>0.41666666666666669</v>
      </c>
      <c r="P490" s="9" t="str">
        <f>VLOOKUP(A490,HORARIOS!A:E,5,0)</f>
        <v>13:30 hrs</v>
      </c>
    </row>
    <row r="491" spans="1:16" ht="15.75" customHeight="1" x14ac:dyDescent="0.25">
      <c r="A491" s="1" t="str">
        <f t="shared" si="7"/>
        <v>603720</v>
      </c>
      <c r="B491" s="1">
        <v>554</v>
      </c>
      <c r="C491" s="1">
        <v>13</v>
      </c>
      <c r="D491" s="1">
        <v>6037</v>
      </c>
      <c r="E491" s="1" t="s">
        <v>59</v>
      </c>
      <c r="F491" s="1" t="s">
        <v>36</v>
      </c>
      <c r="G491" s="1" t="s">
        <v>98</v>
      </c>
      <c r="H491" s="1" t="s">
        <v>99</v>
      </c>
      <c r="I491" t="s">
        <v>850</v>
      </c>
      <c r="J491" t="s">
        <v>851</v>
      </c>
      <c r="K491" s="1">
        <v>12</v>
      </c>
      <c r="L491" s="1" t="s">
        <v>101</v>
      </c>
      <c r="M491" s="1" t="str">
        <f>VLOOKUP(D491,HORARIOS!B:H,7,0)</f>
        <v>Día 4</v>
      </c>
      <c r="N491" s="1">
        <f>VLOOKUP(D491,HORARIOS!B:I,8,0)</f>
        <v>20</v>
      </c>
      <c r="O491" s="9">
        <f>VLOOKUP(D491,HORARIOS!B:D,3,0)</f>
        <v>0.41666666666666669</v>
      </c>
      <c r="P491" s="9" t="str">
        <f>VLOOKUP(A491,HORARIOS!A:E,5,0)</f>
        <v>13:30 hrs</v>
      </c>
    </row>
    <row r="492" spans="1:16" ht="15.75" customHeight="1" x14ac:dyDescent="0.25">
      <c r="A492" s="1" t="str">
        <f t="shared" si="7"/>
        <v>603720</v>
      </c>
      <c r="B492" s="1">
        <v>555</v>
      </c>
      <c r="C492" s="1">
        <v>13</v>
      </c>
      <c r="D492" s="1">
        <v>6037</v>
      </c>
      <c r="E492" s="1" t="s">
        <v>59</v>
      </c>
      <c r="F492" s="1" t="s">
        <v>36</v>
      </c>
      <c r="G492" s="1" t="s">
        <v>98</v>
      </c>
      <c r="H492" s="1" t="s">
        <v>99</v>
      </c>
      <c r="I492" t="s">
        <v>852</v>
      </c>
      <c r="J492" t="s">
        <v>853</v>
      </c>
      <c r="K492" s="1">
        <v>12</v>
      </c>
      <c r="L492" s="1" t="s">
        <v>101</v>
      </c>
      <c r="M492" s="1" t="str">
        <f>VLOOKUP(D492,HORARIOS!B:H,7,0)</f>
        <v>Día 4</v>
      </c>
      <c r="N492" s="1">
        <f>VLOOKUP(D492,HORARIOS!B:I,8,0)</f>
        <v>20</v>
      </c>
      <c r="O492" s="9">
        <f>VLOOKUP(D492,HORARIOS!B:D,3,0)</f>
        <v>0.41666666666666669</v>
      </c>
      <c r="P492" s="9" t="str">
        <f>VLOOKUP(A492,HORARIOS!A:E,5,0)</f>
        <v>13:30 hrs</v>
      </c>
    </row>
    <row r="493" spans="1:16" ht="15.75" customHeight="1" x14ac:dyDescent="0.25">
      <c r="A493" s="1" t="str">
        <f t="shared" si="7"/>
        <v>603720</v>
      </c>
      <c r="B493" s="1">
        <v>556</v>
      </c>
      <c r="C493" s="1">
        <v>13</v>
      </c>
      <c r="D493" s="1">
        <v>6037</v>
      </c>
      <c r="E493" s="1" t="s">
        <v>59</v>
      </c>
      <c r="F493" s="1" t="s">
        <v>36</v>
      </c>
      <c r="G493" s="1" t="s">
        <v>98</v>
      </c>
      <c r="H493" s="1" t="s">
        <v>99</v>
      </c>
      <c r="I493" t="s">
        <v>854</v>
      </c>
      <c r="J493" t="s">
        <v>855</v>
      </c>
      <c r="K493" s="1">
        <v>12</v>
      </c>
      <c r="L493" s="1" t="s">
        <v>101</v>
      </c>
      <c r="M493" s="1" t="str">
        <f>VLOOKUP(D493,HORARIOS!B:H,7,0)</f>
        <v>Día 4</v>
      </c>
      <c r="N493" s="1">
        <f>VLOOKUP(D493,HORARIOS!B:I,8,0)</f>
        <v>20</v>
      </c>
      <c r="O493" s="9">
        <f>VLOOKUP(D493,HORARIOS!B:D,3,0)</f>
        <v>0.41666666666666669</v>
      </c>
      <c r="P493" s="9" t="str">
        <f>VLOOKUP(A493,HORARIOS!A:E,5,0)</f>
        <v>13:30 hrs</v>
      </c>
    </row>
    <row r="494" spans="1:16" ht="15.75" customHeight="1" x14ac:dyDescent="0.25">
      <c r="A494" s="1" t="str">
        <f t="shared" si="7"/>
        <v>603720</v>
      </c>
      <c r="B494" s="1">
        <v>558</v>
      </c>
      <c r="C494" s="1">
        <v>13</v>
      </c>
      <c r="D494" s="1">
        <v>6037</v>
      </c>
      <c r="E494" s="1" t="s">
        <v>59</v>
      </c>
      <c r="F494" s="1" t="s">
        <v>36</v>
      </c>
      <c r="G494" s="1" t="s">
        <v>114</v>
      </c>
      <c r="H494" s="1" t="s">
        <v>39</v>
      </c>
      <c r="I494" t="s">
        <v>52</v>
      </c>
      <c r="J494" t="s">
        <v>52</v>
      </c>
      <c r="K494" s="1">
        <v>2</v>
      </c>
      <c r="L494" s="1" t="s">
        <v>115</v>
      </c>
      <c r="M494" s="1" t="str">
        <f>VLOOKUP(D494,HORARIOS!B:H,7,0)</f>
        <v>Día 4</v>
      </c>
      <c r="N494" s="1">
        <f>VLOOKUP(D494,HORARIOS!B:I,8,0)</f>
        <v>20</v>
      </c>
      <c r="O494" s="9">
        <f>VLOOKUP(D494,HORARIOS!B:D,3,0)</f>
        <v>0.41666666666666669</v>
      </c>
      <c r="P494" s="9" t="str">
        <f>VLOOKUP(A494,HORARIOS!A:E,5,0)</f>
        <v>13:30 hrs</v>
      </c>
    </row>
    <row r="495" spans="1:16" ht="15.75" customHeight="1" x14ac:dyDescent="0.25">
      <c r="A495" s="1" t="str">
        <f t="shared" si="7"/>
        <v>603720</v>
      </c>
      <c r="B495" s="1">
        <v>559</v>
      </c>
      <c r="C495" s="1">
        <v>13</v>
      </c>
      <c r="D495" s="1">
        <v>6037</v>
      </c>
      <c r="E495" s="1" t="s">
        <v>59</v>
      </c>
      <c r="F495" s="1" t="s">
        <v>36</v>
      </c>
      <c r="G495" s="1" t="s">
        <v>134</v>
      </c>
      <c r="H495" s="1" t="s">
        <v>135</v>
      </c>
      <c r="I495" t="s">
        <v>856</v>
      </c>
      <c r="J495" t="s">
        <v>857</v>
      </c>
      <c r="K495" s="1">
        <v>12</v>
      </c>
      <c r="L495" s="1" t="s">
        <v>138</v>
      </c>
      <c r="M495" s="1" t="str">
        <f>VLOOKUP(D495,HORARIOS!B:H,7,0)</f>
        <v>Día 4</v>
      </c>
      <c r="N495" s="1">
        <f>VLOOKUP(D495,HORARIOS!B:I,8,0)</f>
        <v>20</v>
      </c>
      <c r="O495" s="9">
        <f>VLOOKUP(D495,HORARIOS!B:D,3,0)</f>
        <v>0.41666666666666669</v>
      </c>
      <c r="P495" s="9" t="str">
        <f>VLOOKUP(A495,HORARIOS!A:E,5,0)</f>
        <v>13:30 hrs</v>
      </c>
    </row>
    <row r="496" spans="1:16" ht="15.75" customHeight="1" x14ac:dyDescent="0.25">
      <c r="A496" s="1" t="str">
        <f t="shared" si="7"/>
        <v>603720</v>
      </c>
      <c r="B496" s="1">
        <v>560</v>
      </c>
      <c r="C496" s="1">
        <v>13</v>
      </c>
      <c r="D496" s="1">
        <v>6037</v>
      </c>
      <c r="E496" s="1" t="s">
        <v>59</v>
      </c>
      <c r="F496" s="1" t="s">
        <v>36</v>
      </c>
      <c r="G496" s="1" t="s">
        <v>145</v>
      </c>
      <c r="H496" s="1" t="s">
        <v>52</v>
      </c>
      <c r="I496" t="s">
        <v>858</v>
      </c>
      <c r="J496" t="s">
        <v>859</v>
      </c>
      <c r="K496" s="1">
        <v>12</v>
      </c>
      <c r="M496" s="1" t="str">
        <f>VLOOKUP(D496,HORARIOS!B:H,7,0)</f>
        <v>Día 4</v>
      </c>
      <c r="N496" s="1">
        <f>VLOOKUP(D496,HORARIOS!B:I,8,0)</f>
        <v>20</v>
      </c>
      <c r="O496" s="9">
        <f>VLOOKUP(D496,HORARIOS!B:D,3,0)</f>
        <v>0.41666666666666669</v>
      </c>
      <c r="P496" s="9" t="str">
        <f>VLOOKUP(A496,HORARIOS!A:E,5,0)</f>
        <v>13:30 hrs</v>
      </c>
    </row>
    <row r="497" spans="1:16" ht="15.75" customHeight="1" x14ac:dyDescent="0.25">
      <c r="A497" s="1" t="str">
        <f t="shared" si="7"/>
        <v>603720</v>
      </c>
      <c r="B497" s="1">
        <v>561</v>
      </c>
      <c r="C497" s="1">
        <v>13</v>
      </c>
      <c r="D497" s="1">
        <v>6037</v>
      </c>
      <c r="E497" s="1" t="s">
        <v>59</v>
      </c>
      <c r="F497" s="1" t="s">
        <v>36</v>
      </c>
      <c r="G497" s="1" t="s">
        <v>159</v>
      </c>
      <c r="H497" s="1" t="s">
        <v>160</v>
      </c>
      <c r="I497" t="s">
        <v>860</v>
      </c>
      <c r="J497" t="s">
        <v>861</v>
      </c>
      <c r="K497" s="1">
        <v>12</v>
      </c>
      <c r="M497" s="1" t="str">
        <f>VLOOKUP(D497,HORARIOS!B:H,7,0)</f>
        <v>Día 4</v>
      </c>
      <c r="N497" s="1">
        <f>VLOOKUP(D497,HORARIOS!B:I,8,0)</f>
        <v>20</v>
      </c>
      <c r="O497" s="9">
        <f>VLOOKUP(D497,HORARIOS!B:D,3,0)</f>
        <v>0.41666666666666669</v>
      </c>
      <c r="P497" s="9" t="str">
        <f>VLOOKUP(A497,HORARIOS!A:E,5,0)</f>
        <v>13:30 hrs</v>
      </c>
    </row>
    <row r="498" spans="1:16" ht="15.75" customHeight="1" x14ac:dyDescent="0.25">
      <c r="A498" s="1" t="str">
        <f t="shared" si="7"/>
        <v>603834</v>
      </c>
      <c r="B498" s="1">
        <v>562</v>
      </c>
      <c r="C498" s="1">
        <v>13</v>
      </c>
      <c r="D498" s="1">
        <v>6038</v>
      </c>
      <c r="E498" s="1" t="s">
        <v>86</v>
      </c>
      <c r="F498" s="1" t="s">
        <v>36</v>
      </c>
      <c r="G498" s="1" t="s">
        <v>37</v>
      </c>
      <c r="H498" s="1" t="s">
        <v>39</v>
      </c>
      <c r="I498" t="s">
        <v>862</v>
      </c>
      <c r="J498" t="s">
        <v>863</v>
      </c>
      <c r="K498" s="1">
        <v>12</v>
      </c>
      <c r="L498" s="1" t="s">
        <v>41</v>
      </c>
      <c r="M498" s="1" t="str">
        <f>VLOOKUP(D498,HORARIOS!B:H,7,0)</f>
        <v>Día 6</v>
      </c>
      <c r="N498" s="1">
        <f>VLOOKUP(D498,HORARIOS!B:I,8,0)</f>
        <v>34</v>
      </c>
      <c r="O498" s="9">
        <f>VLOOKUP(D498,HORARIOS!B:D,3,0)</f>
        <v>0.41666666666666669</v>
      </c>
      <c r="P498" s="9" t="str">
        <f>VLOOKUP(A498,HORARIOS!A:E,5,0)</f>
        <v>15:00 hrs</v>
      </c>
    </row>
    <row r="499" spans="1:16" ht="15.75" customHeight="1" x14ac:dyDescent="0.25">
      <c r="A499" s="1" t="str">
        <f t="shared" si="7"/>
        <v>603834</v>
      </c>
      <c r="B499" s="1">
        <v>563</v>
      </c>
      <c r="C499" s="1">
        <v>13</v>
      </c>
      <c r="D499" s="1">
        <v>6038</v>
      </c>
      <c r="E499" s="1" t="s">
        <v>86</v>
      </c>
      <c r="F499" s="1" t="s">
        <v>36</v>
      </c>
      <c r="G499" s="1" t="s">
        <v>51</v>
      </c>
      <c r="H499" s="1" t="s">
        <v>52</v>
      </c>
      <c r="I499" t="s">
        <v>864</v>
      </c>
      <c r="J499" t="s">
        <v>865</v>
      </c>
      <c r="K499" s="1">
        <v>12</v>
      </c>
      <c r="M499" s="1" t="str">
        <f>VLOOKUP(D499,HORARIOS!B:H,7,0)</f>
        <v>Día 6</v>
      </c>
      <c r="N499" s="1">
        <f>VLOOKUP(D499,HORARIOS!B:I,8,0)</f>
        <v>34</v>
      </c>
      <c r="O499" s="9">
        <f>VLOOKUP(D499,HORARIOS!B:D,3,0)</f>
        <v>0.41666666666666669</v>
      </c>
      <c r="P499" s="9" t="str">
        <f>VLOOKUP(A499,HORARIOS!A:E,5,0)</f>
        <v>15:00 hrs</v>
      </c>
    </row>
    <row r="500" spans="1:16" ht="15.75" customHeight="1" x14ac:dyDescent="0.25">
      <c r="A500" s="1" t="str">
        <f t="shared" si="7"/>
        <v>603834</v>
      </c>
      <c r="B500" s="1">
        <v>564</v>
      </c>
      <c r="C500" s="1">
        <v>13</v>
      </c>
      <c r="D500" s="1">
        <v>6038</v>
      </c>
      <c r="E500" s="1" t="s">
        <v>86</v>
      </c>
      <c r="F500" s="1" t="s">
        <v>36</v>
      </c>
      <c r="G500" s="1" t="s">
        <v>61</v>
      </c>
      <c r="H500" s="1" t="s">
        <v>62</v>
      </c>
      <c r="I500" t="s">
        <v>866</v>
      </c>
      <c r="J500" t="s">
        <v>866</v>
      </c>
      <c r="K500" s="1">
        <v>12</v>
      </c>
      <c r="L500" s="1" t="s">
        <v>64</v>
      </c>
      <c r="M500" s="1" t="str">
        <f>VLOOKUP(D500,HORARIOS!B:H,7,0)</f>
        <v>Día 6</v>
      </c>
      <c r="N500" s="1">
        <f>VLOOKUP(D500,HORARIOS!B:I,8,0)</f>
        <v>34</v>
      </c>
      <c r="O500" s="9">
        <f>VLOOKUP(D500,HORARIOS!B:D,3,0)</f>
        <v>0.41666666666666669</v>
      </c>
      <c r="P500" s="9" t="str">
        <f>VLOOKUP(A500,HORARIOS!A:E,5,0)</f>
        <v>15:00 hrs</v>
      </c>
    </row>
    <row r="501" spans="1:16" ht="15.75" customHeight="1" x14ac:dyDescent="0.25">
      <c r="A501" s="1" t="str">
        <f t="shared" si="7"/>
        <v>603834</v>
      </c>
      <c r="B501" s="1">
        <v>566</v>
      </c>
      <c r="C501" s="1">
        <v>13</v>
      </c>
      <c r="D501" s="1">
        <v>6038</v>
      </c>
      <c r="E501" s="1" t="s">
        <v>86</v>
      </c>
      <c r="F501" s="1" t="s">
        <v>36</v>
      </c>
      <c r="G501" s="1" t="s">
        <v>72</v>
      </c>
      <c r="H501" s="1" t="s">
        <v>73</v>
      </c>
      <c r="I501" t="s">
        <v>867</v>
      </c>
      <c r="J501" t="s">
        <v>868</v>
      </c>
      <c r="K501" s="1">
        <v>12</v>
      </c>
      <c r="M501" s="1" t="str">
        <f>VLOOKUP(D501,HORARIOS!B:H,7,0)</f>
        <v>Día 6</v>
      </c>
      <c r="N501" s="1">
        <f>VLOOKUP(D501,HORARIOS!B:I,8,0)</f>
        <v>34</v>
      </c>
      <c r="O501" s="9">
        <f>VLOOKUP(D501,HORARIOS!B:D,3,0)</f>
        <v>0.41666666666666669</v>
      </c>
      <c r="P501" s="9" t="str">
        <f>VLOOKUP(A501,HORARIOS!A:E,5,0)</f>
        <v>15:00 hrs</v>
      </c>
    </row>
    <row r="502" spans="1:16" ht="15.75" customHeight="1" x14ac:dyDescent="0.25">
      <c r="A502" s="1" t="str">
        <f t="shared" si="7"/>
        <v>603834</v>
      </c>
      <c r="B502" s="1">
        <v>567</v>
      </c>
      <c r="C502" s="1">
        <v>13</v>
      </c>
      <c r="D502" s="1">
        <v>6038</v>
      </c>
      <c r="E502" s="1" t="s">
        <v>86</v>
      </c>
      <c r="F502" s="1" t="s">
        <v>36</v>
      </c>
      <c r="G502" s="1" t="s">
        <v>88</v>
      </c>
      <c r="H502" s="1" t="s">
        <v>90</v>
      </c>
      <c r="I502" t="s">
        <v>869</v>
      </c>
      <c r="J502" t="s">
        <v>870</v>
      </c>
      <c r="K502" s="1">
        <v>12</v>
      </c>
      <c r="M502" s="1" t="str">
        <f>VLOOKUP(D502,HORARIOS!B:H,7,0)</f>
        <v>Día 6</v>
      </c>
      <c r="N502" s="1">
        <f>VLOOKUP(D502,HORARIOS!B:I,8,0)</f>
        <v>34</v>
      </c>
      <c r="O502" s="9">
        <f>VLOOKUP(D502,HORARIOS!B:D,3,0)</f>
        <v>0.41666666666666669</v>
      </c>
      <c r="P502" s="9" t="str">
        <f>VLOOKUP(A502,HORARIOS!A:E,5,0)</f>
        <v>15:00 hrs</v>
      </c>
    </row>
    <row r="503" spans="1:16" ht="15.75" customHeight="1" x14ac:dyDescent="0.25">
      <c r="A503" s="1" t="str">
        <f t="shared" si="7"/>
        <v>603834</v>
      </c>
      <c r="B503" s="1">
        <v>568</v>
      </c>
      <c r="C503" s="1">
        <v>13</v>
      </c>
      <c r="D503" s="1">
        <v>6038</v>
      </c>
      <c r="E503" s="1" t="s">
        <v>86</v>
      </c>
      <c r="F503" s="1" t="s">
        <v>36</v>
      </c>
      <c r="G503" s="1" t="s">
        <v>96</v>
      </c>
      <c r="H503" s="1" t="s">
        <v>62</v>
      </c>
      <c r="I503" t="s">
        <v>871</v>
      </c>
      <c r="J503" t="s">
        <v>871</v>
      </c>
      <c r="K503" s="1">
        <v>12</v>
      </c>
      <c r="M503" s="1" t="str">
        <f>VLOOKUP(D503,HORARIOS!B:H,7,0)</f>
        <v>Día 6</v>
      </c>
      <c r="N503" s="1">
        <f>VLOOKUP(D503,HORARIOS!B:I,8,0)</f>
        <v>34</v>
      </c>
      <c r="O503" s="9">
        <f>VLOOKUP(D503,HORARIOS!B:D,3,0)</f>
        <v>0.41666666666666669</v>
      </c>
      <c r="P503" s="9" t="str">
        <f>VLOOKUP(A503,HORARIOS!A:E,5,0)</f>
        <v>15:00 hrs</v>
      </c>
    </row>
    <row r="504" spans="1:16" ht="15.75" customHeight="1" x14ac:dyDescent="0.25">
      <c r="A504" s="1" t="str">
        <f t="shared" si="7"/>
        <v>603834</v>
      </c>
      <c r="B504" s="1">
        <v>569</v>
      </c>
      <c r="C504" s="1">
        <v>13</v>
      </c>
      <c r="D504" s="1">
        <v>6038</v>
      </c>
      <c r="E504" s="1" t="s">
        <v>86</v>
      </c>
      <c r="F504" s="1" t="s">
        <v>36</v>
      </c>
      <c r="G504" s="1" t="s">
        <v>98</v>
      </c>
      <c r="H504" s="1" t="s">
        <v>99</v>
      </c>
      <c r="I504" t="s">
        <v>872</v>
      </c>
      <c r="J504" t="s">
        <v>873</v>
      </c>
      <c r="K504" s="1">
        <v>12</v>
      </c>
      <c r="L504" s="1" t="s">
        <v>101</v>
      </c>
      <c r="M504" s="1" t="str">
        <f>VLOOKUP(D504,HORARIOS!B:H,7,0)</f>
        <v>Día 6</v>
      </c>
      <c r="N504" s="1">
        <f>VLOOKUP(D504,HORARIOS!B:I,8,0)</f>
        <v>34</v>
      </c>
      <c r="O504" s="9">
        <f>VLOOKUP(D504,HORARIOS!B:D,3,0)</f>
        <v>0.41666666666666669</v>
      </c>
      <c r="P504" s="9" t="str">
        <f>VLOOKUP(A504,HORARIOS!A:E,5,0)</f>
        <v>15:00 hrs</v>
      </c>
    </row>
    <row r="505" spans="1:16" ht="15.75" customHeight="1" x14ac:dyDescent="0.25">
      <c r="A505" s="1" t="str">
        <f t="shared" si="7"/>
        <v>603834</v>
      </c>
      <c r="B505" s="1">
        <v>570</v>
      </c>
      <c r="C505" s="1">
        <v>13</v>
      </c>
      <c r="D505" s="1">
        <v>6038</v>
      </c>
      <c r="E505" s="1" t="s">
        <v>86</v>
      </c>
      <c r="F505" s="1" t="s">
        <v>36</v>
      </c>
      <c r="G505" s="1" t="s">
        <v>98</v>
      </c>
      <c r="H505" s="1" t="s">
        <v>99</v>
      </c>
      <c r="I505" t="s">
        <v>874</v>
      </c>
      <c r="J505" t="s">
        <v>875</v>
      </c>
      <c r="K505" s="1">
        <v>12</v>
      </c>
      <c r="L505" s="1" t="s">
        <v>101</v>
      </c>
      <c r="M505" s="1" t="str">
        <f>VLOOKUP(D505,HORARIOS!B:H,7,0)</f>
        <v>Día 6</v>
      </c>
      <c r="N505" s="1">
        <f>VLOOKUP(D505,HORARIOS!B:I,8,0)</f>
        <v>34</v>
      </c>
      <c r="O505" s="9">
        <f>VLOOKUP(D505,HORARIOS!B:D,3,0)</f>
        <v>0.41666666666666669</v>
      </c>
      <c r="P505" s="9" t="str">
        <f>VLOOKUP(A505,HORARIOS!A:E,5,0)</f>
        <v>15:00 hrs</v>
      </c>
    </row>
    <row r="506" spans="1:16" ht="15.75" customHeight="1" x14ac:dyDescent="0.25">
      <c r="A506" s="1" t="str">
        <f t="shared" si="7"/>
        <v>603834</v>
      </c>
      <c r="B506" s="1">
        <v>571</v>
      </c>
      <c r="C506" s="1">
        <v>13</v>
      </c>
      <c r="D506" s="1">
        <v>6038</v>
      </c>
      <c r="E506" s="1" t="s">
        <v>86</v>
      </c>
      <c r="F506" s="1" t="s">
        <v>36</v>
      </c>
      <c r="G506" s="1" t="s">
        <v>98</v>
      </c>
      <c r="H506" s="1" t="s">
        <v>99</v>
      </c>
      <c r="I506" t="s">
        <v>876</v>
      </c>
      <c r="J506" t="s">
        <v>877</v>
      </c>
      <c r="K506" s="1">
        <v>12</v>
      </c>
      <c r="L506" s="1" t="s">
        <v>101</v>
      </c>
      <c r="M506" s="1" t="str">
        <f>VLOOKUP(D506,HORARIOS!B:H,7,0)</f>
        <v>Día 6</v>
      </c>
      <c r="N506" s="1">
        <f>VLOOKUP(D506,HORARIOS!B:I,8,0)</f>
        <v>34</v>
      </c>
      <c r="O506" s="9">
        <f>VLOOKUP(D506,HORARIOS!B:D,3,0)</f>
        <v>0.41666666666666669</v>
      </c>
      <c r="P506" s="9" t="str">
        <f>VLOOKUP(A506,HORARIOS!A:E,5,0)</f>
        <v>15:00 hrs</v>
      </c>
    </row>
    <row r="507" spans="1:16" ht="15.75" customHeight="1" x14ac:dyDescent="0.25">
      <c r="A507" s="1" t="str">
        <f t="shared" si="7"/>
        <v>603834</v>
      </c>
      <c r="B507" s="1">
        <v>572</v>
      </c>
      <c r="C507" s="1">
        <v>13</v>
      </c>
      <c r="D507" s="1">
        <v>6038</v>
      </c>
      <c r="E507" s="1" t="s">
        <v>86</v>
      </c>
      <c r="F507" s="1" t="s">
        <v>36</v>
      </c>
      <c r="G507" s="1" t="s">
        <v>114</v>
      </c>
      <c r="H507" s="1" t="s">
        <v>39</v>
      </c>
      <c r="I507" t="s">
        <v>52</v>
      </c>
      <c r="J507" t="s">
        <v>52</v>
      </c>
      <c r="K507" s="1">
        <v>2</v>
      </c>
      <c r="L507" s="1" t="s">
        <v>115</v>
      </c>
      <c r="M507" s="1" t="str">
        <f>VLOOKUP(D507,HORARIOS!B:H,7,0)</f>
        <v>Día 6</v>
      </c>
      <c r="N507" s="1">
        <f>VLOOKUP(D507,HORARIOS!B:I,8,0)</f>
        <v>34</v>
      </c>
      <c r="O507" s="9">
        <f>VLOOKUP(D507,HORARIOS!B:D,3,0)</f>
        <v>0.41666666666666669</v>
      </c>
      <c r="P507" s="9" t="str">
        <f>VLOOKUP(A507,HORARIOS!A:E,5,0)</f>
        <v>15:00 hrs</v>
      </c>
    </row>
    <row r="508" spans="1:16" ht="15.75" customHeight="1" x14ac:dyDescent="0.25">
      <c r="A508" s="1" t="str">
        <f t="shared" si="7"/>
        <v>603834</v>
      </c>
      <c r="B508" s="1">
        <v>574</v>
      </c>
      <c r="C508" s="1">
        <v>13</v>
      </c>
      <c r="D508" s="1">
        <v>6038</v>
      </c>
      <c r="E508" s="1" t="s">
        <v>86</v>
      </c>
      <c r="F508" s="1" t="s">
        <v>36</v>
      </c>
      <c r="G508" s="1" t="s">
        <v>134</v>
      </c>
      <c r="H508" s="1" t="s">
        <v>135</v>
      </c>
      <c r="I508" t="s">
        <v>878</v>
      </c>
      <c r="J508" t="s">
        <v>879</v>
      </c>
      <c r="K508" s="1">
        <v>12</v>
      </c>
      <c r="L508" s="1" t="s">
        <v>138</v>
      </c>
      <c r="M508" s="1" t="str">
        <f>VLOOKUP(D508,HORARIOS!B:H,7,0)</f>
        <v>Día 6</v>
      </c>
      <c r="N508" s="1">
        <f>VLOOKUP(D508,HORARIOS!B:I,8,0)</f>
        <v>34</v>
      </c>
      <c r="O508" s="9">
        <f>VLOOKUP(D508,HORARIOS!B:D,3,0)</f>
        <v>0.41666666666666669</v>
      </c>
      <c r="P508" s="9" t="str">
        <f>VLOOKUP(A508,HORARIOS!A:E,5,0)</f>
        <v>15:00 hrs</v>
      </c>
    </row>
    <row r="509" spans="1:16" ht="15.75" customHeight="1" x14ac:dyDescent="0.25">
      <c r="A509" s="1" t="str">
        <f t="shared" si="7"/>
        <v>603834</v>
      </c>
      <c r="B509" s="1">
        <v>575</v>
      </c>
      <c r="C509" s="1">
        <v>13</v>
      </c>
      <c r="D509" s="1">
        <v>6038</v>
      </c>
      <c r="E509" s="1" t="s">
        <v>86</v>
      </c>
      <c r="F509" s="1" t="s">
        <v>36</v>
      </c>
      <c r="G509" s="1" t="s">
        <v>145</v>
      </c>
      <c r="H509" s="1" t="s">
        <v>52</v>
      </c>
      <c r="I509" t="s">
        <v>880</v>
      </c>
      <c r="J509" t="s">
        <v>880</v>
      </c>
      <c r="K509" s="1">
        <v>12</v>
      </c>
      <c r="M509" s="1" t="str">
        <f>VLOOKUP(D509,HORARIOS!B:H,7,0)</f>
        <v>Día 6</v>
      </c>
      <c r="N509" s="1">
        <f>VLOOKUP(D509,HORARIOS!B:I,8,0)</f>
        <v>34</v>
      </c>
      <c r="O509" s="9">
        <f>VLOOKUP(D509,HORARIOS!B:D,3,0)</f>
        <v>0.41666666666666669</v>
      </c>
      <c r="P509" s="9" t="str">
        <f>VLOOKUP(A509,HORARIOS!A:E,5,0)</f>
        <v>15:00 hrs</v>
      </c>
    </row>
    <row r="510" spans="1:16" ht="15.75" customHeight="1" x14ac:dyDescent="0.25">
      <c r="A510" s="1" t="str">
        <f t="shared" si="7"/>
        <v>603834</v>
      </c>
      <c r="B510" s="1">
        <v>576</v>
      </c>
      <c r="C510" s="1">
        <v>13</v>
      </c>
      <c r="D510" s="1">
        <v>6038</v>
      </c>
      <c r="E510" s="1" t="s">
        <v>86</v>
      </c>
      <c r="F510" s="1" t="s">
        <v>36</v>
      </c>
      <c r="G510" s="1" t="s">
        <v>159</v>
      </c>
      <c r="H510" s="1" t="s">
        <v>160</v>
      </c>
      <c r="I510" t="s">
        <v>881</v>
      </c>
      <c r="J510" t="s">
        <v>882</v>
      </c>
      <c r="K510" s="1">
        <v>12</v>
      </c>
      <c r="M510" s="1" t="str">
        <f>VLOOKUP(D510,HORARIOS!B:H,7,0)</f>
        <v>Día 6</v>
      </c>
      <c r="N510" s="1">
        <f>VLOOKUP(D510,HORARIOS!B:I,8,0)</f>
        <v>34</v>
      </c>
      <c r="O510" s="9">
        <f>VLOOKUP(D510,HORARIOS!B:D,3,0)</f>
        <v>0.41666666666666669</v>
      </c>
      <c r="P510" s="9" t="str">
        <f>VLOOKUP(A510,HORARIOS!A:E,5,0)</f>
        <v>15:00 hrs</v>
      </c>
    </row>
    <row r="511" spans="1:16" ht="15.75" customHeight="1" x14ac:dyDescent="0.25">
      <c r="A511" s="1" t="str">
        <f t="shared" si="7"/>
        <v>603922</v>
      </c>
      <c r="B511" s="1">
        <v>577</v>
      </c>
      <c r="C511" s="1">
        <v>13</v>
      </c>
      <c r="D511" s="1">
        <v>6039</v>
      </c>
      <c r="E511" s="1" t="s">
        <v>87</v>
      </c>
      <c r="F511" s="1" t="s">
        <v>36</v>
      </c>
      <c r="G511" s="1" t="s">
        <v>37</v>
      </c>
      <c r="H511" s="1" t="s">
        <v>39</v>
      </c>
      <c r="I511" t="s">
        <v>883</v>
      </c>
      <c r="J511" t="s">
        <v>884</v>
      </c>
      <c r="K511" s="1">
        <v>12</v>
      </c>
      <c r="L511" s="1" t="s">
        <v>41</v>
      </c>
      <c r="M511" s="1" t="str">
        <f>VLOOKUP(D511,HORARIOS!B:H,7,0)</f>
        <v>Día 4</v>
      </c>
      <c r="N511" s="1">
        <f>VLOOKUP(D511,HORARIOS!B:I,8,0)</f>
        <v>22</v>
      </c>
      <c r="O511" s="9">
        <f>VLOOKUP(D511,HORARIOS!B:D,3,0)</f>
        <v>0.375</v>
      </c>
      <c r="P511" s="9" t="str">
        <f>VLOOKUP(A511,HORARIOS!A:E,5,0)</f>
        <v>13:00 hrs</v>
      </c>
    </row>
    <row r="512" spans="1:16" ht="15.75" customHeight="1" x14ac:dyDescent="0.25">
      <c r="A512" s="1" t="str">
        <f t="shared" si="7"/>
        <v>603922</v>
      </c>
      <c r="B512" s="1">
        <v>578</v>
      </c>
      <c r="C512" s="1">
        <v>13</v>
      </c>
      <c r="D512" s="1">
        <v>6039</v>
      </c>
      <c r="E512" s="1" t="s">
        <v>87</v>
      </c>
      <c r="F512" s="1" t="s">
        <v>36</v>
      </c>
      <c r="G512" s="1" t="s">
        <v>51</v>
      </c>
      <c r="H512" s="1" t="s">
        <v>52</v>
      </c>
      <c r="I512" t="s">
        <v>885</v>
      </c>
      <c r="J512" t="s">
        <v>886</v>
      </c>
      <c r="K512" s="1">
        <v>12</v>
      </c>
      <c r="M512" s="1" t="str">
        <f>VLOOKUP(D512,HORARIOS!B:H,7,0)</f>
        <v>Día 4</v>
      </c>
      <c r="N512" s="1">
        <f>VLOOKUP(D512,HORARIOS!B:I,8,0)</f>
        <v>22</v>
      </c>
      <c r="O512" s="9">
        <f>VLOOKUP(D512,HORARIOS!B:D,3,0)</f>
        <v>0.375</v>
      </c>
      <c r="P512" s="9" t="str">
        <f>VLOOKUP(A512,HORARIOS!A:E,5,0)</f>
        <v>13:00 hrs</v>
      </c>
    </row>
    <row r="513" spans="1:16" ht="15.75" customHeight="1" x14ac:dyDescent="0.25">
      <c r="A513" s="1" t="str">
        <f t="shared" si="7"/>
        <v>603922</v>
      </c>
      <c r="B513" s="1">
        <v>579</v>
      </c>
      <c r="C513" s="1">
        <v>13</v>
      </c>
      <c r="D513" s="1">
        <v>6039</v>
      </c>
      <c r="E513" s="1" t="s">
        <v>87</v>
      </c>
      <c r="F513" s="1" t="s">
        <v>36</v>
      </c>
      <c r="G513" s="1" t="s">
        <v>61</v>
      </c>
      <c r="H513" s="1" t="s">
        <v>62</v>
      </c>
      <c r="I513" t="s">
        <v>887</v>
      </c>
      <c r="J513" t="s">
        <v>887</v>
      </c>
      <c r="K513" s="1">
        <v>12</v>
      </c>
      <c r="L513" s="1" t="s">
        <v>64</v>
      </c>
      <c r="M513" s="1" t="str">
        <f>VLOOKUP(D513,HORARIOS!B:H,7,0)</f>
        <v>Día 4</v>
      </c>
      <c r="N513" s="1">
        <f>VLOOKUP(D513,HORARIOS!B:I,8,0)</f>
        <v>22</v>
      </c>
      <c r="O513" s="9">
        <f>VLOOKUP(D513,HORARIOS!B:D,3,0)</f>
        <v>0.375</v>
      </c>
      <c r="P513" s="9" t="str">
        <f>VLOOKUP(A513,HORARIOS!A:E,5,0)</f>
        <v>13:00 hrs</v>
      </c>
    </row>
    <row r="514" spans="1:16" ht="15.75" customHeight="1" x14ac:dyDescent="0.25">
      <c r="A514" s="1" t="str">
        <f t="shared" si="7"/>
        <v>603922</v>
      </c>
      <c r="B514" s="1">
        <v>580</v>
      </c>
      <c r="C514" s="1">
        <v>13</v>
      </c>
      <c r="D514" s="1">
        <v>6039</v>
      </c>
      <c r="E514" s="1" t="s">
        <v>87</v>
      </c>
      <c r="F514" s="1" t="s">
        <v>36</v>
      </c>
      <c r="G514" s="1" t="s">
        <v>72</v>
      </c>
      <c r="H514" s="1" t="s">
        <v>73</v>
      </c>
      <c r="I514" t="s">
        <v>888</v>
      </c>
      <c r="J514" t="s">
        <v>889</v>
      </c>
      <c r="K514" s="1">
        <v>12</v>
      </c>
      <c r="M514" s="1" t="str">
        <f>VLOOKUP(D514,HORARIOS!B:H,7,0)</f>
        <v>Día 4</v>
      </c>
      <c r="N514" s="1">
        <f>VLOOKUP(D514,HORARIOS!B:I,8,0)</f>
        <v>22</v>
      </c>
      <c r="O514" s="9">
        <f>VLOOKUP(D514,HORARIOS!B:D,3,0)</f>
        <v>0.375</v>
      </c>
      <c r="P514" s="9" t="str">
        <f>VLOOKUP(A514,HORARIOS!A:E,5,0)</f>
        <v>13:00 hrs</v>
      </c>
    </row>
    <row r="515" spans="1:16" ht="15.75" customHeight="1" x14ac:dyDescent="0.25">
      <c r="A515" s="1" t="str">
        <f t="shared" si="7"/>
        <v>603922</v>
      </c>
      <c r="B515" s="1">
        <v>582</v>
      </c>
      <c r="C515" s="1">
        <v>13</v>
      </c>
      <c r="D515" s="1">
        <v>6039</v>
      </c>
      <c r="E515" s="1" t="s">
        <v>87</v>
      </c>
      <c r="F515" s="1" t="s">
        <v>36</v>
      </c>
      <c r="G515" s="1" t="s">
        <v>88</v>
      </c>
      <c r="H515" s="1" t="s">
        <v>90</v>
      </c>
      <c r="I515" t="s">
        <v>52</v>
      </c>
      <c r="J515" t="s">
        <v>52</v>
      </c>
      <c r="K515" s="1">
        <v>2</v>
      </c>
      <c r="M515" s="1" t="str">
        <f>VLOOKUP(D515,HORARIOS!B:H,7,0)</f>
        <v>Día 4</v>
      </c>
      <c r="N515" s="1">
        <f>VLOOKUP(D515,HORARIOS!B:I,8,0)</f>
        <v>22</v>
      </c>
      <c r="O515" s="9">
        <f>VLOOKUP(D515,HORARIOS!B:D,3,0)</f>
        <v>0.375</v>
      </c>
      <c r="P515" s="9" t="str">
        <f>VLOOKUP(A515,HORARIOS!A:E,5,0)</f>
        <v>13:00 hrs</v>
      </c>
    </row>
    <row r="516" spans="1:16" ht="15.75" customHeight="1" x14ac:dyDescent="0.25">
      <c r="A516" s="1" t="str">
        <f t="shared" si="7"/>
        <v>603922</v>
      </c>
      <c r="B516" s="1">
        <v>583</v>
      </c>
      <c r="C516" s="1">
        <v>13</v>
      </c>
      <c r="D516" s="1">
        <v>6039</v>
      </c>
      <c r="E516" s="1" t="s">
        <v>87</v>
      </c>
      <c r="F516" s="1" t="s">
        <v>36</v>
      </c>
      <c r="G516" s="1" t="s">
        <v>96</v>
      </c>
      <c r="H516" s="1" t="s">
        <v>62</v>
      </c>
      <c r="I516" t="s">
        <v>890</v>
      </c>
      <c r="J516" t="s">
        <v>890</v>
      </c>
      <c r="K516" s="1">
        <v>12</v>
      </c>
      <c r="M516" s="1" t="str">
        <f>VLOOKUP(D516,HORARIOS!B:H,7,0)</f>
        <v>Día 4</v>
      </c>
      <c r="N516" s="1">
        <f>VLOOKUP(D516,HORARIOS!B:I,8,0)</f>
        <v>22</v>
      </c>
      <c r="O516" s="9">
        <f>VLOOKUP(D516,HORARIOS!B:D,3,0)</f>
        <v>0.375</v>
      </c>
      <c r="P516" s="9" t="str">
        <f>VLOOKUP(A516,HORARIOS!A:E,5,0)</f>
        <v>13:00 hrs</v>
      </c>
    </row>
    <row r="517" spans="1:16" ht="15.75" customHeight="1" x14ac:dyDescent="0.25">
      <c r="A517" s="1" t="str">
        <f t="shared" si="7"/>
        <v>603922</v>
      </c>
      <c r="B517" s="1">
        <v>584</v>
      </c>
      <c r="C517" s="1">
        <v>13</v>
      </c>
      <c r="D517" s="1">
        <v>6039</v>
      </c>
      <c r="E517" s="1" t="s">
        <v>87</v>
      </c>
      <c r="F517" s="1" t="s">
        <v>36</v>
      </c>
      <c r="G517" s="1" t="s">
        <v>98</v>
      </c>
      <c r="H517" s="1" t="s">
        <v>99</v>
      </c>
      <c r="I517" t="s">
        <v>891</v>
      </c>
      <c r="J517" t="s">
        <v>892</v>
      </c>
      <c r="K517" s="1">
        <v>12</v>
      </c>
      <c r="L517" s="1" t="s">
        <v>101</v>
      </c>
      <c r="M517" s="1" t="str">
        <f>VLOOKUP(D517,HORARIOS!B:H,7,0)</f>
        <v>Día 4</v>
      </c>
      <c r="N517" s="1">
        <f>VLOOKUP(D517,HORARIOS!B:I,8,0)</f>
        <v>22</v>
      </c>
      <c r="O517" s="9">
        <f>VLOOKUP(D517,HORARIOS!B:D,3,0)</f>
        <v>0.375</v>
      </c>
      <c r="P517" s="9" t="str">
        <f>VLOOKUP(A517,HORARIOS!A:E,5,0)</f>
        <v>13:00 hrs</v>
      </c>
    </row>
    <row r="518" spans="1:16" ht="15.75" customHeight="1" x14ac:dyDescent="0.25">
      <c r="A518" s="1" t="str">
        <f t="shared" ref="A518:A581" si="8">D518&amp;N518</f>
        <v>603922</v>
      </c>
      <c r="B518" s="1">
        <v>585</v>
      </c>
      <c r="C518" s="1">
        <v>13</v>
      </c>
      <c r="D518" s="1">
        <v>6039</v>
      </c>
      <c r="E518" s="1" t="s">
        <v>87</v>
      </c>
      <c r="F518" s="1" t="s">
        <v>36</v>
      </c>
      <c r="G518" s="1" t="s">
        <v>98</v>
      </c>
      <c r="H518" s="1" t="s">
        <v>99</v>
      </c>
      <c r="I518" t="s">
        <v>893</v>
      </c>
      <c r="J518" t="s">
        <v>894</v>
      </c>
      <c r="K518" s="1">
        <v>12</v>
      </c>
      <c r="L518" s="1" t="s">
        <v>101</v>
      </c>
      <c r="M518" s="1" t="str">
        <f>VLOOKUP(D518,HORARIOS!B:H,7,0)</f>
        <v>Día 4</v>
      </c>
      <c r="N518" s="1">
        <f>VLOOKUP(D518,HORARIOS!B:I,8,0)</f>
        <v>22</v>
      </c>
      <c r="O518" s="9">
        <f>VLOOKUP(D518,HORARIOS!B:D,3,0)</f>
        <v>0.375</v>
      </c>
      <c r="P518" s="9" t="str">
        <f>VLOOKUP(A518,HORARIOS!A:E,5,0)</f>
        <v>13:00 hrs</v>
      </c>
    </row>
    <row r="519" spans="1:16" ht="15.75" customHeight="1" x14ac:dyDescent="0.25">
      <c r="A519" s="1" t="str">
        <f t="shared" si="8"/>
        <v>603922</v>
      </c>
      <c r="B519" s="1">
        <v>586</v>
      </c>
      <c r="C519" s="1">
        <v>13</v>
      </c>
      <c r="D519" s="1">
        <v>6039</v>
      </c>
      <c r="E519" s="1" t="s">
        <v>87</v>
      </c>
      <c r="F519" s="1" t="s">
        <v>36</v>
      </c>
      <c r="G519" s="1" t="s">
        <v>98</v>
      </c>
      <c r="H519" s="1" t="s">
        <v>99</v>
      </c>
      <c r="I519" t="s">
        <v>895</v>
      </c>
      <c r="J519" t="s">
        <v>896</v>
      </c>
      <c r="K519" s="1">
        <v>12</v>
      </c>
      <c r="L519" s="1" t="s">
        <v>101</v>
      </c>
      <c r="M519" s="1" t="str">
        <f>VLOOKUP(D519,HORARIOS!B:H,7,0)</f>
        <v>Día 4</v>
      </c>
      <c r="N519" s="1">
        <f>VLOOKUP(D519,HORARIOS!B:I,8,0)</f>
        <v>22</v>
      </c>
      <c r="O519" s="9">
        <f>VLOOKUP(D519,HORARIOS!B:D,3,0)</f>
        <v>0.375</v>
      </c>
      <c r="P519" s="9" t="str">
        <f>VLOOKUP(A519,HORARIOS!A:E,5,0)</f>
        <v>13:00 hrs</v>
      </c>
    </row>
    <row r="520" spans="1:16" ht="15.75" customHeight="1" x14ac:dyDescent="0.25">
      <c r="A520" s="1" t="str">
        <f t="shared" si="8"/>
        <v>603922</v>
      </c>
      <c r="B520" s="1">
        <v>587</v>
      </c>
      <c r="C520" s="1">
        <v>13</v>
      </c>
      <c r="D520" s="1">
        <v>6039</v>
      </c>
      <c r="E520" s="1" t="s">
        <v>87</v>
      </c>
      <c r="F520" s="1" t="s">
        <v>36</v>
      </c>
      <c r="G520" s="1" t="s">
        <v>114</v>
      </c>
      <c r="H520" s="1" t="s">
        <v>39</v>
      </c>
      <c r="I520" t="s">
        <v>52</v>
      </c>
      <c r="J520" t="s">
        <v>52</v>
      </c>
      <c r="K520" s="1">
        <v>2</v>
      </c>
      <c r="L520" s="1" t="s">
        <v>115</v>
      </c>
      <c r="M520" s="1" t="str">
        <f>VLOOKUP(D520,HORARIOS!B:H,7,0)</f>
        <v>Día 4</v>
      </c>
      <c r="N520" s="1">
        <f>VLOOKUP(D520,HORARIOS!B:I,8,0)</f>
        <v>22</v>
      </c>
      <c r="O520" s="9">
        <f>VLOOKUP(D520,HORARIOS!B:D,3,0)</f>
        <v>0.375</v>
      </c>
      <c r="P520" s="9" t="str">
        <f>VLOOKUP(A520,HORARIOS!A:E,5,0)</f>
        <v>13:00 hrs</v>
      </c>
    </row>
    <row r="521" spans="1:16" ht="15.75" customHeight="1" x14ac:dyDescent="0.25">
      <c r="A521" s="1" t="str">
        <f t="shared" si="8"/>
        <v>603922</v>
      </c>
      <c r="B521" s="1">
        <v>588</v>
      </c>
      <c r="C521" s="1">
        <v>13</v>
      </c>
      <c r="D521" s="1">
        <v>6039</v>
      </c>
      <c r="E521" s="1" t="s">
        <v>87</v>
      </c>
      <c r="F521" s="1" t="s">
        <v>36</v>
      </c>
      <c r="G521" s="1" t="s">
        <v>134</v>
      </c>
      <c r="H521" s="1" t="s">
        <v>135</v>
      </c>
      <c r="I521" t="s">
        <v>897</v>
      </c>
      <c r="J521" t="s">
        <v>898</v>
      </c>
      <c r="K521" s="1">
        <v>12</v>
      </c>
      <c r="L521" s="1" t="s">
        <v>138</v>
      </c>
      <c r="M521" s="1" t="str">
        <f>VLOOKUP(D521,HORARIOS!B:H,7,0)</f>
        <v>Día 4</v>
      </c>
      <c r="N521" s="1">
        <f>VLOOKUP(D521,HORARIOS!B:I,8,0)</f>
        <v>22</v>
      </c>
      <c r="O521" s="9">
        <f>VLOOKUP(D521,HORARIOS!B:D,3,0)</f>
        <v>0.375</v>
      </c>
      <c r="P521" s="9" t="str">
        <f>VLOOKUP(A521,HORARIOS!A:E,5,0)</f>
        <v>13:00 hrs</v>
      </c>
    </row>
    <row r="522" spans="1:16" ht="15.75" customHeight="1" x14ac:dyDescent="0.25">
      <c r="A522" s="1" t="str">
        <f t="shared" si="8"/>
        <v>603922</v>
      </c>
      <c r="B522" s="1">
        <v>590</v>
      </c>
      <c r="C522" s="1">
        <v>13</v>
      </c>
      <c r="D522" s="1">
        <v>6039</v>
      </c>
      <c r="E522" s="1" t="s">
        <v>87</v>
      </c>
      <c r="F522" s="1" t="s">
        <v>36</v>
      </c>
      <c r="G522" s="1" t="s">
        <v>145</v>
      </c>
      <c r="H522" s="1" t="s">
        <v>52</v>
      </c>
      <c r="I522" t="s">
        <v>899</v>
      </c>
      <c r="J522" t="s">
        <v>900</v>
      </c>
      <c r="K522" s="1">
        <v>12</v>
      </c>
      <c r="M522" s="1" t="str">
        <f>VLOOKUP(D522,HORARIOS!B:H,7,0)</f>
        <v>Día 4</v>
      </c>
      <c r="N522" s="1">
        <f>VLOOKUP(D522,HORARIOS!B:I,8,0)</f>
        <v>22</v>
      </c>
      <c r="O522" s="9">
        <f>VLOOKUP(D522,HORARIOS!B:D,3,0)</f>
        <v>0.375</v>
      </c>
      <c r="P522" s="9" t="str">
        <f>VLOOKUP(A522,HORARIOS!A:E,5,0)</f>
        <v>13:00 hrs</v>
      </c>
    </row>
    <row r="523" spans="1:16" ht="15.75" customHeight="1" x14ac:dyDescent="0.25">
      <c r="A523" s="1" t="str">
        <f t="shared" si="8"/>
        <v>603922</v>
      </c>
      <c r="B523" s="1">
        <v>591</v>
      </c>
      <c r="C523" s="1">
        <v>13</v>
      </c>
      <c r="D523" s="1">
        <v>6039</v>
      </c>
      <c r="E523" s="1" t="s">
        <v>87</v>
      </c>
      <c r="F523" s="1" t="s">
        <v>36</v>
      </c>
      <c r="G523" s="1" t="s">
        <v>159</v>
      </c>
      <c r="H523" s="1" t="s">
        <v>160</v>
      </c>
      <c r="I523" t="s">
        <v>901</v>
      </c>
      <c r="J523" t="s">
        <v>902</v>
      </c>
      <c r="K523" s="1">
        <v>12</v>
      </c>
      <c r="M523" s="1" t="str">
        <f>VLOOKUP(D523,HORARIOS!B:H,7,0)</f>
        <v>Día 4</v>
      </c>
      <c r="N523" s="1">
        <f>VLOOKUP(D523,HORARIOS!B:I,8,0)</f>
        <v>22</v>
      </c>
      <c r="O523" s="9">
        <f>VLOOKUP(D523,HORARIOS!B:D,3,0)</f>
        <v>0.375</v>
      </c>
      <c r="P523" s="9" t="str">
        <f>VLOOKUP(A523,HORARIOS!A:E,5,0)</f>
        <v>13:00 hrs</v>
      </c>
    </row>
    <row r="524" spans="1:16" ht="15.75" customHeight="1" x14ac:dyDescent="0.25">
      <c r="A524" s="1" t="str">
        <f t="shared" si="8"/>
        <v>60401</v>
      </c>
      <c r="B524" s="1">
        <v>592</v>
      </c>
      <c r="C524" s="1">
        <v>13</v>
      </c>
      <c r="D524" s="1">
        <v>6040</v>
      </c>
      <c r="E524" s="1" t="s">
        <v>89</v>
      </c>
      <c r="F524" s="1" t="s">
        <v>36</v>
      </c>
      <c r="G524" s="1" t="s">
        <v>37</v>
      </c>
      <c r="H524" s="1" t="s">
        <v>39</v>
      </c>
      <c r="I524" t="s">
        <v>903</v>
      </c>
      <c r="J524" t="s">
        <v>904</v>
      </c>
      <c r="K524" s="1">
        <v>12</v>
      </c>
      <c r="L524" s="1" t="s">
        <v>41</v>
      </c>
      <c r="M524" s="1" t="str">
        <f>VLOOKUP(D524,HORARIOS!B:H,7,0)</f>
        <v>Día 1</v>
      </c>
      <c r="N524" s="1">
        <f>VLOOKUP(D524,HORARIOS!B:I,8,0)</f>
        <v>1</v>
      </c>
      <c r="O524" s="9">
        <f>VLOOKUP(D524,HORARIOS!B:D,3,0)</f>
        <v>0.375</v>
      </c>
      <c r="P524" s="9" t="str">
        <f>VLOOKUP(A524,HORARIOS!A:E,5,0)</f>
        <v>16:30 hrs</v>
      </c>
    </row>
    <row r="525" spans="1:16" ht="15.75" customHeight="1" x14ac:dyDescent="0.25">
      <c r="A525" s="1" t="str">
        <f t="shared" si="8"/>
        <v>60401</v>
      </c>
      <c r="B525" s="1">
        <v>593</v>
      </c>
      <c r="C525" s="1">
        <v>13</v>
      </c>
      <c r="D525" s="1">
        <v>6040</v>
      </c>
      <c r="E525" s="1" t="s">
        <v>89</v>
      </c>
      <c r="F525" s="1" t="s">
        <v>36</v>
      </c>
      <c r="G525" s="1" t="s">
        <v>51</v>
      </c>
      <c r="H525" s="1" t="s">
        <v>52</v>
      </c>
      <c r="I525" t="s">
        <v>905</v>
      </c>
      <c r="J525" t="s">
        <v>906</v>
      </c>
      <c r="K525" s="1">
        <v>12</v>
      </c>
      <c r="M525" s="1" t="str">
        <f>VLOOKUP(D525,HORARIOS!B:H,7,0)</f>
        <v>Día 1</v>
      </c>
      <c r="N525" s="1">
        <f>VLOOKUP(D525,HORARIOS!B:I,8,0)</f>
        <v>1</v>
      </c>
      <c r="O525" s="9">
        <f>VLOOKUP(D525,HORARIOS!B:D,3,0)</f>
        <v>0.375</v>
      </c>
      <c r="P525" s="9" t="str">
        <f>VLOOKUP(A525,HORARIOS!A:E,5,0)</f>
        <v>16:30 hrs</v>
      </c>
    </row>
    <row r="526" spans="1:16" ht="15.75" customHeight="1" x14ac:dyDescent="0.25">
      <c r="A526" s="1" t="str">
        <f t="shared" si="8"/>
        <v>60401</v>
      </c>
      <c r="B526" s="1">
        <v>594</v>
      </c>
      <c r="C526" s="1">
        <v>13</v>
      </c>
      <c r="D526" s="1">
        <v>6040</v>
      </c>
      <c r="E526" s="1" t="s">
        <v>89</v>
      </c>
      <c r="F526" s="1" t="s">
        <v>36</v>
      </c>
      <c r="G526" s="1" t="s">
        <v>61</v>
      </c>
      <c r="H526" s="1" t="s">
        <v>62</v>
      </c>
      <c r="I526" t="s">
        <v>907</v>
      </c>
      <c r="J526" t="s">
        <v>907</v>
      </c>
      <c r="K526" s="1">
        <v>12</v>
      </c>
      <c r="L526" s="1" t="s">
        <v>64</v>
      </c>
      <c r="M526" s="1" t="str">
        <f>VLOOKUP(D526,HORARIOS!B:H,7,0)</f>
        <v>Día 1</v>
      </c>
      <c r="N526" s="1">
        <f>VLOOKUP(D526,HORARIOS!B:I,8,0)</f>
        <v>1</v>
      </c>
      <c r="O526" s="9">
        <f>VLOOKUP(D526,HORARIOS!B:D,3,0)</f>
        <v>0.375</v>
      </c>
      <c r="P526" s="9" t="str">
        <f>VLOOKUP(A526,HORARIOS!A:E,5,0)</f>
        <v>16:30 hrs</v>
      </c>
    </row>
    <row r="527" spans="1:16" ht="15.75" customHeight="1" x14ac:dyDescent="0.25">
      <c r="A527" s="1" t="str">
        <f t="shared" si="8"/>
        <v>60401</v>
      </c>
      <c r="B527" s="1">
        <v>595</v>
      </c>
      <c r="C527" s="1">
        <v>13</v>
      </c>
      <c r="D527" s="1">
        <v>6040</v>
      </c>
      <c r="E527" s="1" t="s">
        <v>89</v>
      </c>
      <c r="F527" s="1" t="s">
        <v>36</v>
      </c>
      <c r="G527" s="1" t="s">
        <v>72</v>
      </c>
      <c r="H527" s="1" t="s">
        <v>73</v>
      </c>
      <c r="I527" t="s">
        <v>908</v>
      </c>
      <c r="J527" t="s">
        <v>908</v>
      </c>
      <c r="K527" s="1">
        <v>12</v>
      </c>
      <c r="M527" s="1" t="str">
        <f>VLOOKUP(D527,HORARIOS!B:H,7,0)</f>
        <v>Día 1</v>
      </c>
      <c r="N527" s="1">
        <f>VLOOKUP(D527,HORARIOS!B:I,8,0)</f>
        <v>1</v>
      </c>
      <c r="O527" s="9">
        <f>VLOOKUP(D527,HORARIOS!B:D,3,0)</f>
        <v>0.375</v>
      </c>
      <c r="P527" s="9" t="str">
        <f>VLOOKUP(A527,HORARIOS!A:E,5,0)</f>
        <v>16:30 hrs</v>
      </c>
    </row>
    <row r="528" spans="1:16" ht="15.75" customHeight="1" x14ac:dyDescent="0.25">
      <c r="A528" s="1" t="str">
        <f t="shared" si="8"/>
        <v>60401</v>
      </c>
      <c r="B528" s="1">
        <v>596</v>
      </c>
      <c r="C528" s="1">
        <v>13</v>
      </c>
      <c r="D528" s="1">
        <v>6040</v>
      </c>
      <c r="E528" s="1" t="s">
        <v>89</v>
      </c>
      <c r="F528" s="1" t="s">
        <v>36</v>
      </c>
      <c r="G528" s="1" t="s">
        <v>88</v>
      </c>
      <c r="H528" s="1" t="s">
        <v>90</v>
      </c>
      <c r="I528" t="s">
        <v>52</v>
      </c>
      <c r="J528" t="s">
        <v>52</v>
      </c>
      <c r="K528" s="1">
        <v>2</v>
      </c>
      <c r="M528" s="1" t="str">
        <f>VLOOKUP(D528,HORARIOS!B:H,7,0)</f>
        <v>Día 1</v>
      </c>
      <c r="N528" s="1">
        <f>VLOOKUP(D528,HORARIOS!B:I,8,0)</f>
        <v>1</v>
      </c>
      <c r="O528" s="9">
        <f>VLOOKUP(D528,HORARIOS!B:D,3,0)</f>
        <v>0.375</v>
      </c>
      <c r="P528" s="9" t="str">
        <f>VLOOKUP(A528,HORARIOS!A:E,5,0)</f>
        <v>16:30 hrs</v>
      </c>
    </row>
    <row r="529" spans="1:16" ht="15.75" customHeight="1" x14ac:dyDescent="0.25">
      <c r="A529" s="1" t="str">
        <f t="shared" si="8"/>
        <v>60401</v>
      </c>
      <c r="B529" s="1">
        <v>598</v>
      </c>
      <c r="C529" s="1">
        <v>13</v>
      </c>
      <c r="D529" s="1">
        <v>6040</v>
      </c>
      <c r="E529" s="1" t="s">
        <v>89</v>
      </c>
      <c r="F529" s="1" t="s">
        <v>36</v>
      </c>
      <c r="G529" s="1" t="s">
        <v>96</v>
      </c>
      <c r="H529" s="1" t="s">
        <v>62</v>
      </c>
      <c r="I529" t="s">
        <v>909</v>
      </c>
      <c r="J529" t="s">
        <v>909</v>
      </c>
      <c r="K529" s="1">
        <v>12</v>
      </c>
      <c r="M529" s="1" t="str">
        <f>VLOOKUP(D529,HORARIOS!B:H,7,0)</f>
        <v>Día 1</v>
      </c>
      <c r="N529" s="1">
        <f>VLOOKUP(D529,HORARIOS!B:I,8,0)</f>
        <v>1</v>
      </c>
      <c r="O529" s="9">
        <f>VLOOKUP(D529,HORARIOS!B:D,3,0)</f>
        <v>0.375</v>
      </c>
      <c r="P529" s="9" t="str">
        <f>VLOOKUP(A529,HORARIOS!A:E,5,0)</f>
        <v>16:30 hrs</v>
      </c>
    </row>
    <row r="530" spans="1:16" ht="15.75" customHeight="1" x14ac:dyDescent="0.25">
      <c r="A530" s="1" t="str">
        <f t="shared" si="8"/>
        <v>60401</v>
      </c>
      <c r="B530" s="1">
        <v>599</v>
      </c>
      <c r="C530" s="1">
        <v>13</v>
      </c>
      <c r="D530" s="1">
        <v>6040</v>
      </c>
      <c r="E530" s="1" t="s">
        <v>89</v>
      </c>
      <c r="F530" s="1" t="s">
        <v>36</v>
      </c>
      <c r="G530" s="1" t="s">
        <v>98</v>
      </c>
      <c r="H530" s="1" t="s">
        <v>99</v>
      </c>
      <c r="I530" t="s">
        <v>910</v>
      </c>
      <c r="J530" t="s">
        <v>911</v>
      </c>
      <c r="K530" s="1">
        <v>12</v>
      </c>
      <c r="L530" s="1" t="s">
        <v>101</v>
      </c>
      <c r="M530" s="1" t="str">
        <f>VLOOKUP(D530,HORARIOS!B:H,7,0)</f>
        <v>Día 1</v>
      </c>
      <c r="N530" s="1">
        <f>VLOOKUP(D530,HORARIOS!B:I,8,0)</f>
        <v>1</v>
      </c>
      <c r="O530" s="9">
        <f>VLOOKUP(D530,HORARIOS!B:D,3,0)</f>
        <v>0.375</v>
      </c>
      <c r="P530" s="9" t="str">
        <f>VLOOKUP(A530,HORARIOS!A:E,5,0)</f>
        <v>16:30 hrs</v>
      </c>
    </row>
    <row r="531" spans="1:16" ht="15.75" customHeight="1" x14ac:dyDescent="0.25">
      <c r="A531" s="1" t="str">
        <f t="shared" si="8"/>
        <v>60401</v>
      </c>
      <c r="B531" s="1">
        <v>600</v>
      </c>
      <c r="C531" s="1">
        <v>13</v>
      </c>
      <c r="D531" s="1">
        <v>6040</v>
      </c>
      <c r="E531" s="1" t="s">
        <v>89</v>
      </c>
      <c r="F531" s="1" t="s">
        <v>36</v>
      </c>
      <c r="G531" s="1" t="s">
        <v>98</v>
      </c>
      <c r="H531" s="1" t="s">
        <v>99</v>
      </c>
      <c r="I531" t="s">
        <v>912</v>
      </c>
      <c r="J531" t="s">
        <v>913</v>
      </c>
      <c r="K531" s="1">
        <v>12</v>
      </c>
      <c r="L531" s="1" t="s">
        <v>101</v>
      </c>
      <c r="M531" s="1" t="str">
        <f>VLOOKUP(D531,HORARIOS!B:H,7,0)</f>
        <v>Día 1</v>
      </c>
      <c r="N531" s="1">
        <f>VLOOKUP(D531,HORARIOS!B:I,8,0)</f>
        <v>1</v>
      </c>
      <c r="O531" s="9">
        <f>VLOOKUP(D531,HORARIOS!B:D,3,0)</f>
        <v>0.375</v>
      </c>
      <c r="P531" s="9" t="str">
        <f>VLOOKUP(A531,HORARIOS!A:E,5,0)</f>
        <v>16:30 hrs</v>
      </c>
    </row>
    <row r="532" spans="1:16" ht="15.75" customHeight="1" x14ac:dyDescent="0.25">
      <c r="A532" s="1" t="str">
        <f t="shared" si="8"/>
        <v>60401</v>
      </c>
      <c r="B532" s="1">
        <v>601</v>
      </c>
      <c r="C532" s="1">
        <v>13</v>
      </c>
      <c r="D532" s="1">
        <v>6040</v>
      </c>
      <c r="E532" s="1" t="s">
        <v>89</v>
      </c>
      <c r="F532" s="1" t="s">
        <v>36</v>
      </c>
      <c r="G532" s="1" t="s">
        <v>98</v>
      </c>
      <c r="H532" s="1" t="s">
        <v>99</v>
      </c>
      <c r="I532" t="s">
        <v>914</v>
      </c>
      <c r="J532" t="s">
        <v>915</v>
      </c>
      <c r="K532" s="1">
        <v>12</v>
      </c>
      <c r="L532" s="1" t="s">
        <v>101</v>
      </c>
      <c r="M532" s="1" t="str">
        <f>VLOOKUP(D532,HORARIOS!B:H,7,0)</f>
        <v>Día 1</v>
      </c>
      <c r="N532" s="1">
        <f>VLOOKUP(D532,HORARIOS!B:I,8,0)</f>
        <v>1</v>
      </c>
      <c r="O532" s="9">
        <f>VLOOKUP(D532,HORARIOS!B:D,3,0)</f>
        <v>0.375</v>
      </c>
      <c r="P532" s="9" t="str">
        <f>VLOOKUP(A532,HORARIOS!A:E,5,0)</f>
        <v>16:30 hrs</v>
      </c>
    </row>
    <row r="533" spans="1:16" ht="15.75" customHeight="1" x14ac:dyDescent="0.25">
      <c r="A533" s="1" t="str">
        <f t="shared" si="8"/>
        <v>60401</v>
      </c>
      <c r="B533" s="1">
        <v>602</v>
      </c>
      <c r="C533" s="1">
        <v>13</v>
      </c>
      <c r="D533" s="1">
        <v>6040</v>
      </c>
      <c r="E533" s="1" t="s">
        <v>89</v>
      </c>
      <c r="F533" s="1" t="s">
        <v>36</v>
      </c>
      <c r="G533" s="1" t="s">
        <v>114</v>
      </c>
      <c r="H533" s="1" t="s">
        <v>39</v>
      </c>
      <c r="I533" t="s">
        <v>52</v>
      </c>
      <c r="J533" t="s">
        <v>52</v>
      </c>
      <c r="K533" s="1">
        <v>2</v>
      </c>
      <c r="L533" s="1" t="s">
        <v>115</v>
      </c>
      <c r="M533" s="1" t="str">
        <f>VLOOKUP(D533,HORARIOS!B:H,7,0)</f>
        <v>Día 1</v>
      </c>
      <c r="N533" s="1">
        <f>VLOOKUP(D533,HORARIOS!B:I,8,0)</f>
        <v>1</v>
      </c>
      <c r="O533" s="9">
        <f>VLOOKUP(D533,HORARIOS!B:D,3,0)</f>
        <v>0.375</v>
      </c>
      <c r="P533" s="9" t="str">
        <f>VLOOKUP(A533,HORARIOS!A:E,5,0)</f>
        <v>16:30 hrs</v>
      </c>
    </row>
    <row r="534" spans="1:16" ht="15.75" customHeight="1" x14ac:dyDescent="0.25">
      <c r="A534" s="1" t="str">
        <f t="shared" si="8"/>
        <v>60401</v>
      </c>
      <c r="B534" s="1">
        <v>603</v>
      </c>
      <c r="C534" s="1">
        <v>13</v>
      </c>
      <c r="D534" s="1">
        <v>6040</v>
      </c>
      <c r="E534" s="1" t="s">
        <v>89</v>
      </c>
      <c r="F534" s="1" t="s">
        <v>36</v>
      </c>
      <c r="G534" s="1" t="s">
        <v>134</v>
      </c>
      <c r="H534" s="1" t="s">
        <v>135</v>
      </c>
      <c r="I534" t="s">
        <v>916</v>
      </c>
      <c r="J534" t="s">
        <v>917</v>
      </c>
      <c r="K534" s="1">
        <v>12</v>
      </c>
      <c r="L534" s="1" t="s">
        <v>138</v>
      </c>
      <c r="M534" s="1" t="str">
        <f>VLOOKUP(D534,HORARIOS!B:H,7,0)</f>
        <v>Día 1</v>
      </c>
      <c r="N534" s="1">
        <f>VLOOKUP(D534,HORARIOS!B:I,8,0)</f>
        <v>1</v>
      </c>
      <c r="O534" s="9">
        <f>VLOOKUP(D534,HORARIOS!B:D,3,0)</f>
        <v>0.375</v>
      </c>
      <c r="P534" s="9" t="str">
        <f>VLOOKUP(A534,HORARIOS!A:E,5,0)</f>
        <v>16:30 hrs</v>
      </c>
    </row>
    <row r="535" spans="1:16" ht="15.75" customHeight="1" x14ac:dyDescent="0.25">
      <c r="A535" s="1" t="str">
        <f t="shared" si="8"/>
        <v>60401</v>
      </c>
      <c r="B535" s="1">
        <v>604</v>
      </c>
      <c r="C535" s="1">
        <v>13</v>
      </c>
      <c r="D535" s="1">
        <v>6040</v>
      </c>
      <c r="E535" s="1" t="s">
        <v>89</v>
      </c>
      <c r="F535" s="1" t="s">
        <v>36</v>
      </c>
      <c r="G535" s="1" t="s">
        <v>145</v>
      </c>
      <c r="H535" s="1" t="s">
        <v>52</v>
      </c>
      <c r="I535" t="s">
        <v>918</v>
      </c>
      <c r="J535" t="s">
        <v>918</v>
      </c>
      <c r="K535" s="1">
        <v>12</v>
      </c>
      <c r="M535" s="1" t="str">
        <f>VLOOKUP(D535,HORARIOS!B:H,7,0)</f>
        <v>Día 1</v>
      </c>
      <c r="N535" s="1">
        <f>VLOOKUP(D535,HORARIOS!B:I,8,0)</f>
        <v>1</v>
      </c>
      <c r="O535" s="9">
        <f>VLOOKUP(D535,HORARIOS!B:D,3,0)</f>
        <v>0.375</v>
      </c>
      <c r="P535" s="9" t="str">
        <f>VLOOKUP(A535,HORARIOS!A:E,5,0)</f>
        <v>16:30 hrs</v>
      </c>
    </row>
    <row r="536" spans="1:16" ht="15.75" customHeight="1" x14ac:dyDescent="0.25">
      <c r="A536" s="1" t="str">
        <f t="shared" si="8"/>
        <v>60401</v>
      </c>
      <c r="B536" s="1">
        <v>606</v>
      </c>
      <c r="C536" s="1">
        <v>13</v>
      </c>
      <c r="D536" s="1">
        <v>6040</v>
      </c>
      <c r="E536" s="1" t="s">
        <v>89</v>
      </c>
      <c r="F536" s="1" t="s">
        <v>36</v>
      </c>
      <c r="G536" s="1" t="s">
        <v>159</v>
      </c>
      <c r="H536" s="1" t="s">
        <v>160</v>
      </c>
      <c r="I536" t="s">
        <v>919</v>
      </c>
      <c r="J536" t="s">
        <v>920</v>
      </c>
      <c r="K536" s="1">
        <v>12</v>
      </c>
      <c r="M536" s="1" t="str">
        <f>VLOOKUP(D536,HORARIOS!B:H,7,0)</f>
        <v>Día 1</v>
      </c>
      <c r="N536" s="1">
        <f>VLOOKUP(D536,HORARIOS!B:I,8,0)</f>
        <v>1</v>
      </c>
      <c r="O536" s="9">
        <f>VLOOKUP(D536,HORARIOS!B:D,3,0)</f>
        <v>0.375</v>
      </c>
      <c r="P536" s="9" t="str">
        <f>VLOOKUP(A536,HORARIOS!A:E,5,0)</f>
        <v>16:30 hrs</v>
      </c>
    </row>
    <row r="537" spans="1:16" ht="15.75" customHeight="1" x14ac:dyDescent="0.25">
      <c r="A537" s="1" t="str">
        <f t="shared" si="8"/>
        <v>60414</v>
      </c>
      <c r="B537" s="1">
        <v>607</v>
      </c>
      <c r="C537" s="1">
        <v>13</v>
      </c>
      <c r="D537" s="1">
        <v>6041</v>
      </c>
      <c r="E537" s="1" t="s">
        <v>91</v>
      </c>
      <c r="F537" s="1" t="s">
        <v>36</v>
      </c>
      <c r="G537" s="1" t="s">
        <v>37</v>
      </c>
      <c r="H537" s="1" t="s">
        <v>39</v>
      </c>
      <c r="I537" t="s">
        <v>921</v>
      </c>
      <c r="J537" t="s">
        <v>921</v>
      </c>
      <c r="K537" s="1">
        <v>12</v>
      </c>
      <c r="L537" s="1" t="s">
        <v>41</v>
      </c>
      <c r="M537" s="1" t="str">
        <f>VLOOKUP(D537,HORARIOS!B:H,7,0)</f>
        <v>Día 1</v>
      </c>
      <c r="N537" s="1">
        <f>VLOOKUP(D537,HORARIOS!B:I,8,0)</f>
        <v>4</v>
      </c>
      <c r="O537" s="9">
        <f>VLOOKUP(D537,HORARIOS!B:D,3,0)</f>
        <v>0.52083333333333337</v>
      </c>
      <c r="P537" s="9" t="str">
        <f>VLOOKUP(A537,HORARIOS!A:E,5,0)</f>
        <v>18:00 hrs</v>
      </c>
    </row>
    <row r="538" spans="1:16" ht="15.75" customHeight="1" x14ac:dyDescent="0.25">
      <c r="A538" s="1" t="str">
        <f t="shared" si="8"/>
        <v>60414</v>
      </c>
      <c r="B538" s="1">
        <v>608</v>
      </c>
      <c r="C538" s="1">
        <v>13</v>
      </c>
      <c r="D538" s="1">
        <v>6041</v>
      </c>
      <c r="E538" s="1" t="s">
        <v>91</v>
      </c>
      <c r="F538" s="1" t="s">
        <v>36</v>
      </c>
      <c r="G538" s="1" t="s">
        <v>51</v>
      </c>
      <c r="H538" s="1" t="s">
        <v>52</v>
      </c>
      <c r="I538" t="s">
        <v>922</v>
      </c>
      <c r="J538" t="s">
        <v>923</v>
      </c>
      <c r="K538" s="1">
        <v>12</v>
      </c>
      <c r="M538" s="1" t="str">
        <f>VLOOKUP(D538,HORARIOS!B:H,7,0)</f>
        <v>Día 1</v>
      </c>
      <c r="N538" s="1">
        <f>VLOOKUP(D538,HORARIOS!B:I,8,0)</f>
        <v>4</v>
      </c>
      <c r="O538" s="9">
        <f>VLOOKUP(D538,HORARIOS!B:D,3,0)</f>
        <v>0.52083333333333337</v>
      </c>
      <c r="P538" s="9" t="str">
        <f>VLOOKUP(A538,HORARIOS!A:E,5,0)</f>
        <v>18:00 hrs</v>
      </c>
    </row>
    <row r="539" spans="1:16" ht="15.75" customHeight="1" x14ac:dyDescent="0.25">
      <c r="A539" s="1" t="str">
        <f t="shared" si="8"/>
        <v>60414</v>
      </c>
      <c r="B539" s="1">
        <v>609</v>
      </c>
      <c r="C539" s="1">
        <v>13</v>
      </c>
      <c r="D539" s="1">
        <v>6041</v>
      </c>
      <c r="E539" s="1" t="s">
        <v>91</v>
      </c>
      <c r="F539" s="1" t="s">
        <v>36</v>
      </c>
      <c r="G539" s="1" t="s">
        <v>61</v>
      </c>
      <c r="H539" s="1" t="s">
        <v>62</v>
      </c>
      <c r="I539" t="s">
        <v>790</v>
      </c>
      <c r="J539" t="s">
        <v>790</v>
      </c>
      <c r="K539" s="1">
        <v>12</v>
      </c>
      <c r="L539" s="1" t="s">
        <v>64</v>
      </c>
      <c r="M539" s="1" t="str">
        <f>VLOOKUP(D539,HORARIOS!B:H,7,0)</f>
        <v>Día 1</v>
      </c>
      <c r="N539" s="1">
        <f>VLOOKUP(D539,HORARIOS!B:I,8,0)</f>
        <v>4</v>
      </c>
      <c r="O539" s="9">
        <f>VLOOKUP(D539,HORARIOS!B:D,3,0)</f>
        <v>0.52083333333333337</v>
      </c>
      <c r="P539" s="9" t="str">
        <f>VLOOKUP(A539,HORARIOS!A:E,5,0)</f>
        <v>18:00 hrs</v>
      </c>
    </row>
    <row r="540" spans="1:16" ht="15.75" customHeight="1" x14ac:dyDescent="0.25">
      <c r="A540" s="1" t="str">
        <f t="shared" si="8"/>
        <v>60414</v>
      </c>
      <c r="B540" s="1">
        <v>610</v>
      </c>
      <c r="C540" s="1">
        <v>13</v>
      </c>
      <c r="D540" s="1">
        <v>6041</v>
      </c>
      <c r="E540" s="1" t="s">
        <v>91</v>
      </c>
      <c r="F540" s="1" t="s">
        <v>36</v>
      </c>
      <c r="G540" s="1" t="s">
        <v>72</v>
      </c>
      <c r="H540" s="1" t="s">
        <v>73</v>
      </c>
      <c r="I540" t="s">
        <v>924</v>
      </c>
      <c r="J540" t="s">
        <v>925</v>
      </c>
      <c r="K540" s="1">
        <v>12</v>
      </c>
      <c r="M540" s="1" t="str">
        <f>VLOOKUP(D540,HORARIOS!B:H,7,0)</f>
        <v>Día 1</v>
      </c>
      <c r="N540" s="1">
        <f>VLOOKUP(D540,HORARIOS!B:I,8,0)</f>
        <v>4</v>
      </c>
      <c r="O540" s="9">
        <f>VLOOKUP(D540,HORARIOS!B:D,3,0)</f>
        <v>0.52083333333333337</v>
      </c>
      <c r="P540" s="9" t="str">
        <f>VLOOKUP(A540,HORARIOS!A:E,5,0)</f>
        <v>18:00 hrs</v>
      </c>
    </row>
    <row r="541" spans="1:16" ht="15.75" customHeight="1" x14ac:dyDescent="0.25">
      <c r="A541" s="1" t="str">
        <f t="shared" si="8"/>
        <v>60414</v>
      </c>
      <c r="B541" s="1">
        <v>611</v>
      </c>
      <c r="C541" s="1">
        <v>13</v>
      </c>
      <c r="D541" s="1">
        <v>6041</v>
      </c>
      <c r="E541" s="1" t="s">
        <v>91</v>
      </c>
      <c r="F541" s="1" t="s">
        <v>36</v>
      </c>
      <c r="G541" s="1" t="s">
        <v>88</v>
      </c>
      <c r="H541" s="1" t="s">
        <v>90</v>
      </c>
      <c r="I541" t="s">
        <v>926</v>
      </c>
      <c r="J541" t="s">
        <v>927</v>
      </c>
      <c r="K541" s="1">
        <v>12</v>
      </c>
      <c r="M541" s="1" t="str">
        <f>VLOOKUP(D541,HORARIOS!B:H,7,0)</f>
        <v>Día 1</v>
      </c>
      <c r="N541" s="1">
        <f>VLOOKUP(D541,HORARIOS!B:I,8,0)</f>
        <v>4</v>
      </c>
      <c r="O541" s="9">
        <f>VLOOKUP(D541,HORARIOS!B:D,3,0)</f>
        <v>0.52083333333333337</v>
      </c>
      <c r="P541" s="9" t="str">
        <f>VLOOKUP(A541,HORARIOS!A:E,5,0)</f>
        <v>18:00 hrs</v>
      </c>
    </row>
    <row r="542" spans="1:16" ht="15.75" customHeight="1" x14ac:dyDescent="0.25">
      <c r="A542" s="1" t="str">
        <f t="shared" si="8"/>
        <v>60414</v>
      </c>
      <c r="B542" s="1">
        <v>612</v>
      </c>
      <c r="C542" s="1">
        <v>13</v>
      </c>
      <c r="D542" s="1">
        <v>6041</v>
      </c>
      <c r="E542" s="1" t="s">
        <v>91</v>
      </c>
      <c r="F542" s="1" t="s">
        <v>36</v>
      </c>
      <c r="G542" s="1" t="s">
        <v>96</v>
      </c>
      <c r="H542" s="1" t="s">
        <v>62</v>
      </c>
      <c r="I542" t="s">
        <v>928</v>
      </c>
      <c r="J542" t="s">
        <v>928</v>
      </c>
      <c r="K542" s="1">
        <v>12</v>
      </c>
      <c r="M542" s="1" t="str">
        <f>VLOOKUP(D542,HORARIOS!B:H,7,0)</f>
        <v>Día 1</v>
      </c>
      <c r="N542" s="1">
        <f>VLOOKUP(D542,HORARIOS!B:I,8,0)</f>
        <v>4</v>
      </c>
      <c r="O542" s="9">
        <f>VLOOKUP(D542,HORARIOS!B:D,3,0)</f>
        <v>0.52083333333333337</v>
      </c>
      <c r="P542" s="9" t="str">
        <f>VLOOKUP(A542,HORARIOS!A:E,5,0)</f>
        <v>18:00 hrs</v>
      </c>
    </row>
    <row r="543" spans="1:16" ht="15.75" customHeight="1" x14ac:dyDescent="0.25">
      <c r="A543" s="1" t="str">
        <f t="shared" si="8"/>
        <v>60414</v>
      </c>
      <c r="B543" s="1">
        <v>614</v>
      </c>
      <c r="C543" s="1">
        <v>13</v>
      </c>
      <c r="D543" s="1">
        <v>6041</v>
      </c>
      <c r="E543" s="1" t="s">
        <v>91</v>
      </c>
      <c r="F543" s="1" t="s">
        <v>36</v>
      </c>
      <c r="G543" s="1" t="s">
        <v>98</v>
      </c>
      <c r="H543" s="1" t="s">
        <v>99</v>
      </c>
      <c r="I543" t="s">
        <v>929</v>
      </c>
      <c r="J543" t="s">
        <v>930</v>
      </c>
      <c r="K543" s="1">
        <v>12</v>
      </c>
      <c r="L543" s="1" t="s">
        <v>101</v>
      </c>
      <c r="M543" s="1" t="str">
        <f>VLOOKUP(D543,HORARIOS!B:H,7,0)</f>
        <v>Día 1</v>
      </c>
      <c r="N543" s="1">
        <f>VLOOKUP(D543,HORARIOS!B:I,8,0)</f>
        <v>4</v>
      </c>
      <c r="O543" s="9">
        <f>VLOOKUP(D543,HORARIOS!B:D,3,0)</f>
        <v>0.52083333333333337</v>
      </c>
      <c r="P543" s="9" t="str">
        <f>VLOOKUP(A543,HORARIOS!A:E,5,0)</f>
        <v>18:00 hrs</v>
      </c>
    </row>
    <row r="544" spans="1:16" ht="15.75" customHeight="1" x14ac:dyDescent="0.25">
      <c r="A544" s="1" t="str">
        <f t="shared" si="8"/>
        <v>60414</v>
      </c>
      <c r="B544" s="1">
        <v>615</v>
      </c>
      <c r="C544" s="1">
        <v>13</v>
      </c>
      <c r="D544" s="1">
        <v>6041</v>
      </c>
      <c r="E544" s="1" t="s">
        <v>91</v>
      </c>
      <c r="F544" s="1" t="s">
        <v>36</v>
      </c>
      <c r="G544" s="1" t="s">
        <v>98</v>
      </c>
      <c r="H544" s="1" t="s">
        <v>99</v>
      </c>
      <c r="I544" t="s">
        <v>931</v>
      </c>
      <c r="J544" t="s">
        <v>932</v>
      </c>
      <c r="K544" s="1">
        <v>12</v>
      </c>
      <c r="L544" s="1" t="s">
        <v>101</v>
      </c>
      <c r="M544" s="1" t="str">
        <f>VLOOKUP(D544,HORARIOS!B:H,7,0)</f>
        <v>Día 1</v>
      </c>
      <c r="N544" s="1">
        <f>VLOOKUP(D544,HORARIOS!B:I,8,0)</f>
        <v>4</v>
      </c>
      <c r="O544" s="9">
        <f>VLOOKUP(D544,HORARIOS!B:D,3,0)</f>
        <v>0.52083333333333337</v>
      </c>
      <c r="P544" s="9" t="str">
        <f>VLOOKUP(A544,HORARIOS!A:E,5,0)</f>
        <v>18:00 hrs</v>
      </c>
    </row>
    <row r="545" spans="1:16" ht="15.75" customHeight="1" x14ac:dyDescent="0.25">
      <c r="A545" s="1" t="str">
        <f t="shared" si="8"/>
        <v>60414</v>
      </c>
      <c r="B545" s="1">
        <v>616</v>
      </c>
      <c r="C545" s="1">
        <v>13</v>
      </c>
      <c r="D545" s="1">
        <v>6041</v>
      </c>
      <c r="E545" s="1" t="s">
        <v>91</v>
      </c>
      <c r="F545" s="1" t="s">
        <v>36</v>
      </c>
      <c r="G545" s="1" t="s">
        <v>98</v>
      </c>
      <c r="H545" s="1" t="s">
        <v>99</v>
      </c>
      <c r="I545" t="s">
        <v>933</v>
      </c>
      <c r="J545" t="s">
        <v>934</v>
      </c>
      <c r="K545" s="1">
        <v>12</v>
      </c>
      <c r="L545" s="1" t="s">
        <v>101</v>
      </c>
      <c r="M545" s="1" t="str">
        <f>VLOOKUP(D545,HORARIOS!B:H,7,0)</f>
        <v>Día 1</v>
      </c>
      <c r="N545" s="1">
        <f>VLOOKUP(D545,HORARIOS!B:I,8,0)</f>
        <v>4</v>
      </c>
      <c r="O545" s="9">
        <f>VLOOKUP(D545,HORARIOS!B:D,3,0)</f>
        <v>0.52083333333333337</v>
      </c>
      <c r="P545" s="9" t="str">
        <f>VLOOKUP(A545,HORARIOS!A:E,5,0)</f>
        <v>18:00 hrs</v>
      </c>
    </row>
    <row r="546" spans="1:16" ht="15.75" customHeight="1" x14ac:dyDescent="0.25">
      <c r="A546" s="1" t="str">
        <f t="shared" si="8"/>
        <v>60414</v>
      </c>
      <c r="B546" s="1">
        <v>617</v>
      </c>
      <c r="C546" s="1">
        <v>13</v>
      </c>
      <c r="D546" s="1">
        <v>6041</v>
      </c>
      <c r="E546" s="1" t="s">
        <v>91</v>
      </c>
      <c r="F546" s="1" t="s">
        <v>36</v>
      </c>
      <c r="G546" s="1" t="s">
        <v>114</v>
      </c>
      <c r="H546" s="1" t="s">
        <v>39</v>
      </c>
      <c r="I546" t="s">
        <v>52</v>
      </c>
      <c r="J546" t="s">
        <v>52</v>
      </c>
      <c r="K546" s="1">
        <v>2</v>
      </c>
      <c r="L546" s="1" t="s">
        <v>115</v>
      </c>
      <c r="M546" s="1" t="str">
        <f>VLOOKUP(D546,HORARIOS!B:H,7,0)</f>
        <v>Día 1</v>
      </c>
      <c r="N546" s="1">
        <f>VLOOKUP(D546,HORARIOS!B:I,8,0)</f>
        <v>4</v>
      </c>
      <c r="O546" s="9">
        <f>VLOOKUP(D546,HORARIOS!B:D,3,0)</f>
        <v>0.52083333333333337</v>
      </c>
      <c r="P546" s="9" t="str">
        <f>VLOOKUP(A546,HORARIOS!A:E,5,0)</f>
        <v>18:00 hrs</v>
      </c>
    </row>
    <row r="547" spans="1:16" ht="15.75" customHeight="1" x14ac:dyDescent="0.25">
      <c r="A547" s="1" t="str">
        <f t="shared" si="8"/>
        <v>60414</v>
      </c>
      <c r="B547" s="1">
        <v>618</v>
      </c>
      <c r="C547" s="1">
        <v>13</v>
      </c>
      <c r="D547" s="1">
        <v>6041</v>
      </c>
      <c r="E547" s="1" t="s">
        <v>91</v>
      </c>
      <c r="F547" s="1" t="s">
        <v>36</v>
      </c>
      <c r="G547" s="1" t="s">
        <v>134</v>
      </c>
      <c r="H547" s="1" t="s">
        <v>135</v>
      </c>
      <c r="I547" t="s">
        <v>935</v>
      </c>
      <c r="J547" t="s">
        <v>936</v>
      </c>
      <c r="K547" s="1">
        <v>12</v>
      </c>
      <c r="L547" s="1" t="s">
        <v>138</v>
      </c>
      <c r="M547" s="1" t="str">
        <f>VLOOKUP(D547,HORARIOS!B:H,7,0)</f>
        <v>Día 1</v>
      </c>
      <c r="N547" s="1">
        <f>VLOOKUP(D547,HORARIOS!B:I,8,0)</f>
        <v>4</v>
      </c>
      <c r="O547" s="9">
        <f>VLOOKUP(D547,HORARIOS!B:D,3,0)</f>
        <v>0.52083333333333337</v>
      </c>
      <c r="P547" s="9" t="str">
        <f>VLOOKUP(A547,HORARIOS!A:E,5,0)</f>
        <v>18:00 hrs</v>
      </c>
    </row>
    <row r="548" spans="1:16" ht="15.75" customHeight="1" x14ac:dyDescent="0.25">
      <c r="A548" s="1" t="str">
        <f t="shared" si="8"/>
        <v>60414</v>
      </c>
      <c r="B548" s="1">
        <v>619</v>
      </c>
      <c r="C548" s="1">
        <v>13</v>
      </c>
      <c r="D548" s="1">
        <v>6041</v>
      </c>
      <c r="E548" s="1" t="s">
        <v>91</v>
      </c>
      <c r="F548" s="1" t="s">
        <v>36</v>
      </c>
      <c r="G548" s="1" t="s">
        <v>145</v>
      </c>
      <c r="H548" s="1" t="s">
        <v>52</v>
      </c>
      <c r="I548" t="s">
        <v>937</v>
      </c>
      <c r="J548" t="s">
        <v>938</v>
      </c>
      <c r="K548" s="1">
        <v>12</v>
      </c>
      <c r="M548" s="1" t="str">
        <f>VLOOKUP(D548,HORARIOS!B:H,7,0)</f>
        <v>Día 1</v>
      </c>
      <c r="N548" s="1">
        <f>VLOOKUP(D548,HORARIOS!B:I,8,0)</f>
        <v>4</v>
      </c>
      <c r="O548" s="9">
        <f>VLOOKUP(D548,HORARIOS!B:D,3,0)</f>
        <v>0.52083333333333337</v>
      </c>
      <c r="P548" s="9" t="str">
        <f>VLOOKUP(A548,HORARIOS!A:E,5,0)</f>
        <v>18:00 hrs</v>
      </c>
    </row>
    <row r="549" spans="1:16" ht="15.75" customHeight="1" x14ac:dyDescent="0.25">
      <c r="A549" s="1" t="str">
        <f t="shared" si="8"/>
        <v>60414</v>
      </c>
      <c r="B549" s="1">
        <v>620</v>
      </c>
      <c r="C549" s="1">
        <v>13</v>
      </c>
      <c r="D549" s="1">
        <v>6041</v>
      </c>
      <c r="E549" s="1" t="s">
        <v>91</v>
      </c>
      <c r="F549" s="1" t="s">
        <v>36</v>
      </c>
      <c r="G549" s="1" t="s">
        <v>159</v>
      </c>
      <c r="H549" s="1" t="s">
        <v>160</v>
      </c>
      <c r="I549" t="s">
        <v>939</v>
      </c>
      <c r="J549" t="s">
        <v>940</v>
      </c>
      <c r="K549" s="1">
        <v>12</v>
      </c>
      <c r="M549" s="1" t="str">
        <f>VLOOKUP(D549,HORARIOS!B:H,7,0)</f>
        <v>Día 1</v>
      </c>
      <c r="N549" s="1">
        <f>VLOOKUP(D549,HORARIOS!B:I,8,0)</f>
        <v>4</v>
      </c>
      <c r="O549" s="9">
        <f>VLOOKUP(D549,HORARIOS!B:D,3,0)</f>
        <v>0.52083333333333337</v>
      </c>
      <c r="P549" s="9" t="str">
        <f>VLOOKUP(A549,HORARIOS!A:E,5,0)</f>
        <v>18:00 hrs</v>
      </c>
    </row>
    <row r="550" spans="1:16" ht="15.75" customHeight="1" x14ac:dyDescent="0.25">
      <c r="A550" s="1" t="str">
        <f t="shared" si="8"/>
        <v>604216</v>
      </c>
      <c r="B550" s="1">
        <v>622</v>
      </c>
      <c r="C550" s="1">
        <v>13</v>
      </c>
      <c r="D550" s="1">
        <v>6042</v>
      </c>
      <c r="E550" s="1" t="s">
        <v>44</v>
      </c>
      <c r="F550" s="1" t="s">
        <v>36</v>
      </c>
      <c r="G550" s="1" t="s">
        <v>37</v>
      </c>
      <c r="H550" s="1" t="s">
        <v>39</v>
      </c>
      <c r="I550" t="s">
        <v>941</v>
      </c>
      <c r="J550" t="s">
        <v>942</v>
      </c>
      <c r="K550" s="1">
        <v>12</v>
      </c>
      <c r="L550" s="1" t="s">
        <v>41</v>
      </c>
      <c r="M550" s="1" t="str">
        <f>VLOOKUP(D550,HORARIOS!B:H,7,0)</f>
        <v>Día 3</v>
      </c>
      <c r="N550" s="1">
        <f>VLOOKUP(D550,HORARIOS!B:I,8,0)</f>
        <v>16</v>
      </c>
      <c r="O550" s="9">
        <f>VLOOKUP(D550,HORARIOS!B:D,3,0)</f>
        <v>0.41666666666666669</v>
      </c>
      <c r="P550" s="9" t="str">
        <f>VLOOKUP(A550,HORARIOS!A:E,5,0)</f>
        <v>13:30 hrs</v>
      </c>
    </row>
    <row r="551" spans="1:16" ht="15.75" customHeight="1" x14ac:dyDescent="0.25">
      <c r="A551" s="1" t="str">
        <f t="shared" si="8"/>
        <v>604216</v>
      </c>
      <c r="B551" s="1">
        <v>623</v>
      </c>
      <c r="C551" s="1">
        <v>13</v>
      </c>
      <c r="D551" s="1">
        <v>6042</v>
      </c>
      <c r="E551" s="1" t="s">
        <v>44</v>
      </c>
      <c r="F551" s="1" t="s">
        <v>36</v>
      </c>
      <c r="G551" s="1" t="s">
        <v>51</v>
      </c>
      <c r="H551" s="1" t="s">
        <v>52</v>
      </c>
      <c r="I551" t="s">
        <v>943</v>
      </c>
      <c r="J551" t="s">
        <v>944</v>
      </c>
      <c r="K551" s="1">
        <v>12</v>
      </c>
      <c r="M551" s="1" t="str">
        <f>VLOOKUP(D551,HORARIOS!B:H,7,0)</f>
        <v>Día 3</v>
      </c>
      <c r="N551" s="1">
        <f>VLOOKUP(D551,HORARIOS!B:I,8,0)</f>
        <v>16</v>
      </c>
      <c r="O551" s="9">
        <f>VLOOKUP(D551,HORARIOS!B:D,3,0)</f>
        <v>0.41666666666666669</v>
      </c>
      <c r="P551" s="9" t="str">
        <f>VLOOKUP(A551,HORARIOS!A:E,5,0)</f>
        <v>13:30 hrs</v>
      </c>
    </row>
    <row r="552" spans="1:16" ht="15.75" customHeight="1" x14ac:dyDescent="0.25">
      <c r="A552" s="1" t="str">
        <f t="shared" si="8"/>
        <v>604216</v>
      </c>
      <c r="B552" s="1">
        <v>624</v>
      </c>
      <c r="C552" s="1">
        <v>13</v>
      </c>
      <c r="D552" s="1">
        <v>6042</v>
      </c>
      <c r="E552" s="1" t="s">
        <v>44</v>
      </c>
      <c r="F552" s="1" t="s">
        <v>36</v>
      </c>
      <c r="G552" s="1" t="s">
        <v>61</v>
      </c>
      <c r="H552" s="1" t="s">
        <v>62</v>
      </c>
      <c r="I552" t="s">
        <v>945</v>
      </c>
      <c r="J552" t="s">
        <v>945</v>
      </c>
      <c r="K552" s="1">
        <v>12</v>
      </c>
      <c r="L552" s="1" t="s">
        <v>64</v>
      </c>
      <c r="M552" s="1" t="str">
        <f>VLOOKUP(D552,HORARIOS!B:H,7,0)</f>
        <v>Día 3</v>
      </c>
      <c r="N552" s="1">
        <f>VLOOKUP(D552,HORARIOS!B:I,8,0)</f>
        <v>16</v>
      </c>
      <c r="O552" s="9">
        <f>VLOOKUP(D552,HORARIOS!B:D,3,0)</f>
        <v>0.41666666666666669</v>
      </c>
      <c r="P552" s="9" t="str">
        <f>VLOOKUP(A552,HORARIOS!A:E,5,0)</f>
        <v>13:30 hrs</v>
      </c>
    </row>
    <row r="553" spans="1:16" ht="15.75" customHeight="1" x14ac:dyDescent="0.25">
      <c r="A553" s="1" t="str">
        <f t="shared" si="8"/>
        <v>604216</v>
      </c>
      <c r="B553" s="1">
        <v>625</v>
      </c>
      <c r="C553" s="1">
        <v>13</v>
      </c>
      <c r="D553" s="1">
        <v>6042</v>
      </c>
      <c r="E553" s="1" t="s">
        <v>44</v>
      </c>
      <c r="F553" s="1" t="s">
        <v>36</v>
      </c>
      <c r="G553" s="1" t="s">
        <v>72</v>
      </c>
      <c r="H553" s="1" t="s">
        <v>73</v>
      </c>
      <c r="I553" t="s">
        <v>946</v>
      </c>
      <c r="J553" t="s">
        <v>947</v>
      </c>
      <c r="K553" s="1">
        <v>12</v>
      </c>
      <c r="M553" s="1" t="str">
        <f>VLOOKUP(D553,HORARIOS!B:H,7,0)</f>
        <v>Día 3</v>
      </c>
      <c r="N553" s="1">
        <f>VLOOKUP(D553,HORARIOS!B:I,8,0)</f>
        <v>16</v>
      </c>
      <c r="O553" s="9">
        <f>VLOOKUP(D553,HORARIOS!B:D,3,0)</f>
        <v>0.41666666666666669</v>
      </c>
      <c r="P553" s="9" t="str">
        <f>VLOOKUP(A553,HORARIOS!A:E,5,0)</f>
        <v>13:30 hrs</v>
      </c>
    </row>
    <row r="554" spans="1:16" ht="15.75" customHeight="1" x14ac:dyDescent="0.25">
      <c r="A554" s="1" t="str">
        <f t="shared" si="8"/>
        <v>604216</v>
      </c>
      <c r="B554" s="1">
        <v>626</v>
      </c>
      <c r="C554" s="1">
        <v>13</v>
      </c>
      <c r="D554" s="1">
        <v>6042</v>
      </c>
      <c r="E554" s="1" t="s">
        <v>44</v>
      </c>
      <c r="F554" s="1" t="s">
        <v>36</v>
      </c>
      <c r="G554" s="1" t="s">
        <v>88</v>
      </c>
      <c r="H554" s="1" t="s">
        <v>90</v>
      </c>
      <c r="I554" t="s">
        <v>1010</v>
      </c>
      <c r="J554" t="s">
        <v>1011</v>
      </c>
      <c r="K554" s="1">
        <v>12</v>
      </c>
      <c r="M554" s="1" t="str">
        <f>VLOOKUP(D554,HORARIOS!B:H,7,0)</f>
        <v>Día 3</v>
      </c>
      <c r="N554" s="1">
        <f>VLOOKUP(D554,HORARIOS!B:I,8,0)</f>
        <v>16</v>
      </c>
      <c r="O554" s="9">
        <f>VLOOKUP(D554,HORARIOS!B:D,3,0)</f>
        <v>0.41666666666666669</v>
      </c>
      <c r="P554" s="9" t="str">
        <f>VLOOKUP(A554,HORARIOS!A:E,5,0)</f>
        <v>13:30 hrs</v>
      </c>
    </row>
    <row r="555" spans="1:16" ht="15.75" customHeight="1" x14ac:dyDescent="0.25">
      <c r="A555" s="1" t="str">
        <f t="shared" si="8"/>
        <v>604216</v>
      </c>
      <c r="B555" s="1">
        <v>627</v>
      </c>
      <c r="C555" s="1">
        <v>13</v>
      </c>
      <c r="D555" s="1">
        <v>6042</v>
      </c>
      <c r="E555" s="1" t="s">
        <v>44</v>
      </c>
      <c r="F555" s="1" t="s">
        <v>36</v>
      </c>
      <c r="G555" s="1" t="s">
        <v>96</v>
      </c>
      <c r="H555" s="1" t="s">
        <v>62</v>
      </c>
      <c r="I555" t="s">
        <v>948</v>
      </c>
      <c r="J555" t="s">
        <v>948</v>
      </c>
      <c r="K555" s="1">
        <v>12</v>
      </c>
      <c r="M555" s="1" t="str">
        <f>VLOOKUP(D555,HORARIOS!B:H,7,0)</f>
        <v>Día 3</v>
      </c>
      <c r="N555" s="1">
        <f>VLOOKUP(D555,HORARIOS!B:I,8,0)</f>
        <v>16</v>
      </c>
      <c r="O555" s="9">
        <f>VLOOKUP(D555,HORARIOS!B:D,3,0)</f>
        <v>0.41666666666666669</v>
      </c>
      <c r="P555" s="9" t="str">
        <f>VLOOKUP(A555,HORARIOS!A:E,5,0)</f>
        <v>13:30 hrs</v>
      </c>
    </row>
    <row r="556" spans="1:16" ht="15.75" customHeight="1" x14ac:dyDescent="0.25">
      <c r="A556" s="1" t="str">
        <f t="shared" si="8"/>
        <v>604216</v>
      </c>
      <c r="B556" s="1">
        <v>628</v>
      </c>
      <c r="C556" s="1">
        <v>13</v>
      </c>
      <c r="D556" s="1">
        <v>6042</v>
      </c>
      <c r="E556" s="1" t="s">
        <v>44</v>
      </c>
      <c r="F556" s="1" t="s">
        <v>36</v>
      </c>
      <c r="G556" s="1" t="s">
        <v>98</v>
      </c>
      <c r="H556" s="1" t="s">
        <v>99</v>
      </c>
      <c r="I556" t="s">
        <v>949</v>
      </c>
      <c r="J556" t="s">
        <v>949</v>
      </c>
      <c r="K556" s="1">
        <v>12</v>
      </c>
      <c r="L556" s="1" t="s">
        <v>101</v>
      </c>
      <c r="M556" s="1" t="str">
        <f>VLOOKUP(D556,HORARIOS!B:H,7,0)</f>
        <v>Día 3</v>
      </c>
      <c r="N556" s="1">
        <f>VLOOKUP(D556,HORARIOS!B:I,8,0)</f>
        <v>16</v>
      </c>
      <c r="O556" s="9">
        <f>VLOOKUP(D556,HORARIOS!B:D,3,0)</f>
        <v>0.41666666666666669</v>
      </c>
      <c r="P556" s="9" t="str">
        <f>VLOOKUP(A556,HORARIOS!A:E,5,0)</f>
        <v>13:30 hrs</v>
      </c>
    </row>
    <row r="557" spans="1:16" ht="15.75" customHeight="1" x14ac:dyDescent="0.25">
      <c r="A557" s="1" t="str">
        <f t="shared" si="8"/>
        <v>604216</v>
      </c>
      <c r="B557" s="1">
        <v>630</v>
      </c>
      <c r="C557" s="1">
        <v>13</v>
      </c>
      <c r="D557" s="1">
        <v>6042</v>
      </c>
      <c r="E557" s="1" t="s">
        <v>44</v>
      </c>
      <c r="F557" s="1" t="s">
        <v>36</v>
      </c>
      <c r="G557" s="1" t="s">
        <v>98</v>
      </c>
      <c r="H557" s="1" t="s">
        <v>99</v>
      </c>
      <c r="I557" t="s">
        <v>950</v>
      </c>
      <c r="J557" t="s">
        <v>950</v>
      </c>
      <c r="K557" s="1">
        <v>12</v>
      </c>
      <c r="L557" s="1" t="s">
        <v>101</v>
      </c>
      <c r="M557" s="1" t="str">
        <f>VLOOKUP(D557,HORARIOS!B:H,7,0)</f>
        <v>Día 3</v>
      </c>
      <c r="N557" s="1">
        <f>VLOOKUP(D557,HORARIOS!B:I,8,0)</f>
        <v>16</v>
      </c>
      <c r="O557" s="9">
        <f>VLOOKUP(D557,HORARIOS!B:D,3,0)</f>
        <v>0.41666666666666669</v>
      </c>
      <c r="P557" s="9" t="str">
        <f>VLOOKUP(A557,HORARIOS!A:E,5,0)</f>
        <v>13:30 hrs</v>
      </c>
    </row>
    <row r="558" spans="1:16" ht="15.75" customHeight="1" x14ac:dyDescent="0.25">
      <c r="A558" s="1" t="str">
        <f t="shared" si="8"/>
        <v>604216</v>
      </c>
      <c r="B558" s="1">
        <v>631</v>
      </c>
      <c r="C558" s="1">
        <v>13</v>
      </c>
      <c r="D558" s="1">
        <v>6042</v>
      </c>
      <c r="E558" s="1" t="s">
        <v>44</v>
      </c>
      <c r="F558" s="1" t="s">
        <v>36</v>
      </c>
      <c r="G558" s="1" t="s">
        <v>98</v>
      </c>
      <c r="H558" s="1" t="s">
        <v>99</v>
      </c>
      <c r="I558" t="s">
        <v>951</v>
      </c>
      <c r="J558" t="s">
        <v>951</v>
      </c>
      <c r="K558" s="1">
        <v>12</v>
      </c>
      <c r="L558" s="1" t="s">
        <v>101</v>
      </c>
      <c r="M558" s="1" t="str">
        <f>VLOOKUP(D558,HORARIOS!B:H,7,0)</f>
        <v>Día 3</v>
      </c>
      <c r="N558" s="1">
        <f>VLOOKUP(D558,HORARIOS!B:I,8,0)</f>
        <v>16</v>
      </c>
      <c r="O558" s="9">
        <f>VLOOKUP(D558,HORARIOS!B:D,3,0)</f>
        <v>0.41666666666666669</v>
      </c>
      <c r="P558" s="9" t="str">
        <f>VLOOKUP(A558,HORARIOS!A:E,5,0)</f>
        <v>13:30 hrs</v>
      </c>
    </row>
    <row r="559" spans="1:16" ht="15.75" customHeight="1" x14ac:dyDescent="0.25">
      <c r="A559" s="1" t="str">
        <f t="shared" si="8"/>
        <v>604216</v>
      </c>
      <c r="B559" s="1">
        <v>632</v>
      </c>
      <c r="C559" s="1">
        <v>13</v>
      </c>
      <c r="D559" s="1">
        <v>6042</v>
      </c>
      <c r="E559" s="1" t="s">
        <v>44</v>
      </c>
      <c r="F559" s="1" t="s">
        <v>36</v>
      </c>
      <c r="G559" s="1" t="s">
        <v>114</v>
      </c>
      <c r="H559" s="1" t="s">
        <v>39</v>
      </c>
      <c r="I559" t="s">
        <v>52</v>
      </c>
      <c r="J559" t="s">
        <v>52</v>
      </c>
      <c r="K559" s="1">
        <v>2</v>
      </c>
      <c r="L559" s="1" t="s">
        <v>115</v>
      </c>
      <c r="M559" s="1" t="str">
        <f>VLOOKUP(D559,HORARIOS!B:H,7,0)</f>
        <v>Día 3</v>
      </c>
      <c r="N559" s="1">
        <f>VLOOKUP(D559,HORARIOS!B:I,8,0)</f>
        <v>16</v>
      </c>
      <c r="O559" s="9">
        <f>VLOOKUP(D559,HORARIOS!B:D,3,0)</f>
        <v>0.41666666666666669</v>
      </c>
      <c r="P559" s="9" t="str">
        <f>VLOOKUP(A559,HORARIOS!A:E,5,0)</f>
        <v>13:30 hrs</v>
      </c>
    </row>
    <row r="560" spans="1:16" ht="15.75" customHeight="1" x14ac:dyDescent="0.25">
      <c r="A560" s="1" t="str">
        <f t="shared" si="8"/>
        <v>604216</v>
      </c>
      <c r="B560" s="1">
        <v>633</v>
      </c>
      <c r="C560" s="1">
        <v>13</v>
      </c>
      <c r="D560" s="1">
        <v>6042</v>
      </c>
      <c r="E560" s="1" t="s">
        <v>44</v>
      </c>
      <c r="F560" s="1" t="s">
        <v>36</v>
      </c>
      <c r="G560" s="1" t="s">
        <v>134</v>
      </c>
      <c r="H560" s="1" t="s">
        <v>135</v>
      </c>
      <c r="I560" t="s">
        <v>952</v>
      </c>
      <c r="J560" t="s">
        <v>953</v>
      </c>
      <c r="K560" s="1">
        <v>12</v>
      </c>
      <c r="L560" s="1" t="s">
        <v>138</v>
      </c>
      <c r="M560" s="1" t="str">
        <f>VLOOKUP(D560,HORARIOS!B:H,7,0)</f>
        <v>Día 3</v>
      </c>
      <c r="N560" s="1">
        <f>VLOOKUP(D560,HORARIOS!B:I,8,0)</f>
        <v>16</v>
      </c>
      <c r="O560" s="9">
        <f>VLOOKUP(D560,HORARIOS!B:D,3,0)</f>
        <v>0.41666666666666669</v>
      </c>
      <c r="P560" s="9" t="str">
        <f>VLOOKUP(A560,HORARIOS!A:E,5,0)</f>
        <v>13:30 hrs</v>
      </c>
    </row>
    <row r="561" spans="1:16" ht="15.75" customHeight="1" x14ac:dyDescent="0.25">
      <c r="A561" s="1" t="str">
        <f t="shared" si="8"/>
        <v>604216</v>
      </c>
      <c r="B561" s="1">
        <v>634</v>
      </c>
      <c r="C561" s="1">
        <v>13</v>
      </c>
      <c r="D561" s="1">
        <v>6042</v>
      </c>
      <c r="E561" s="1" t="s">
        <v>44</v>
      </c>
      <c r="F561" s="1" t="s">
        <v>36</v>
      </c>
      <c r="G561" s="1" t="s">
        <v>145</v>
      </c>
      <c r="H561" s="1" t="s">
        <v>52</v>
      </c>
      <c r="I561" t="s">
        <v>954</v>
      </c>
      <c r="J561" t="s">
        <v>955</v>
      </c>
      <c r="K561" s="1">
        <v>12</v>
      </c>
      <c r="M561" s="1" t="str">
        <f>VLOOKUP(D561,HORARIOS!B:H,7,0)</f>
        <v>Día 3</v>
      </c>
      <c r="N561" s="1">
        <f>VLOOKUP(D561,HORARIOS!B:I,8,0)</f>
        <v>16</v>
      </c>
      <c r="O561" s="9">
        <f>VLOOKUP(D561,HORARIOS!B:D,3,0)</f>
        <v>0.41666666666666669</v>
      </c>
      <c r="P561" s="9" t="str">
        <f>VLOOKUP(A561,HORARIOS!A:E,5,0)</f>
        <v>13:30 hrs</v>
      </c>
    </row>
    <row r="562" spans="1:16" ht="15.75" customHeight="1" x14ac:dyDescent="0.25">
      <c r="A562" s="1" t="str">
        <f t="shared" si="8"/>
        <v>604216</v>
      </c>
      <c r="B562" s="1">
        <v>635</v>
      </c>
      <c r="C562" s="1">
        <v>13</v>
      </c>
      <c r="D562" s="1">
        <v>6042</v>
      </c>
      <c r="E562" s="1" t="s">
        <v>44</v>
      </c>
      <c r="F562" s="1" t="s">
        <v>36</v>
      </c>
      <c r="G562" s="1" t="s">
        <v>159</v>
      </c>
      <c r="H562" s="1" t="s">
        <v>160</v>
      </c>
      <c r="I562" t="s">
        <v>956</v>
      </c>
      <c r="J562" t="s">
        <v>957</v>
      </c>
      <c r="K562" s="1">
        <v>12</v>
      </c>
      <c r="M562" s="1" t="str">
        <f>VLOOKUP(D562,HORARIOS!B:H,7,0)</f>
        <v>Día 3</v>
      </c>
      <c r="N562" s="1">
        <f>VLOOKUP(D562,HORARIOS!B:I,8,0)</f>
        <v>16</v>
      </c>
      <c r="O562" s="9">
        <f>VLOOKUP(D562,HORARIOS!B:D,3,0)</f>
        <v>0.41666666666666669</v>
      </c>
      <c r="P562" s="9" t="str">
        <f>VLOOKUP(A562,HORARIOS!A:E,5,0)</f>
        <v>13:30 hrs</v>
      </c>
    </row>
    <row r="563" spans="1:16" ht="15.75" customHeight="1" x14ac:dyDescent="0.25">
      <c r="A563" s="1" t="str">
        <f t="shared" si="8"/>
        <v>604311</v>
      </c>
      <c r="B563" s="1">
        <v>636</v>
      </c>
      <c r="C563" s="1">
        <v>13</v>
      </c>
      <c r="D563" s="1">
        <v>6043</v>
      </c>
      <c r="E563" s="1" t="s">
        <v>75</v>
      </c>
      <c r="F563" s="1" t="s">
        <v>36</v>
      </c>
      <c r="G563" s="1" t="s">
        <v>37</v>
      </c>
      <c r="H563" s="1" t="s">
        <v>39</v>
      </c>
      <c r="I563" t="s">
        <v>958</v>
      </c>
      <c r="J563" t="s">
        <v>958</v>
      </c>
      <c r="K563" s="1">
        <v>12</v>
      </c>
      <c r="L563" s="1" t="s">
        <v>41</v>
      </c>
      <c r="M563" s="1" t="str">
        <f>VLOOKUP(D563,HORARIOS!B:H,7,0)</f>
        <v>Día 2</v>
      </c>
      <c r="N563" s="1">
        <f>VLOOKUP(D563,HORARIOS!B:I,8,0)</f>
        <v>11</v>
      </c>
      <c r="O563" s="9">
        <f>VLOOKUP(D563,HORARIOS!B:D,3,0)</f>
        <v>0.5625</v>
      </c>
      <c r="P563" s="9" t="str">
        <f>VLOOKUP(A563,HORARIOS!A:E,5,0)</f>
        <v>19:00 hrs</v>
      </c>
    </row>
    <row r="564" spans="1:16" ht="15.75" customHeight="1" x14ac:dyDescent="0.25">
      <c r="A564" s="1" t="str">
        <f t="shared" si="8"/>
        <v>604311</v>
      </c>
      <c r="B564" s="1">
        <v>638</v>
      </c>
      <c r="C564" s="1">
        <v>13</v>
      </c>
      <c r="D564" s="1">
        <v>6043</v>
      </c>
      <c r="E564" s="1" t="s">
        <v>75</v>
      </c>
      <c r="F564" s="1" t="s">
        <v>36</v>
      </c>
      <c r="G564" s="1" t="s">
        <v>51</v>
      </c>
      <c r="H564" s="1" t="s">
        <v>52</v>
      </c>
      <c r="I564" t="s">
        <v>959</v>
      </c>
      <c r="J564" t="s">
        <v>960</v>
      </c>
      <c r="K564" s="1">
        <v>12</v>
      </c>
      <c r="M564" s="1" t="str">
        <f>VLOOKUP(D564,HORARIOS!B:H,7,0)</f>
        <v>Día 2</v>
      </c>
      <c r="N564" s="1">
        <f>VLOOKUP(D564,HORARIOS!B:I,8,0)</f>
        <v>11</v>
      </c>
      <c r="O564" s="9">
        <f>VLOOKUP(D564,HORARIOS!B:D,3,0)</f>
        <v>0.5625</v>
      </c>
      <c r="P564" s="9" t="str">
        <f>VLOOKUP(A564,HORARIOS!A:E,5,0)</f>
        <v>19:00 hrs</v>
      </c>
    </row>
    <row r="565" spans="1:16" ht="15.75" customHeight="1" x14ac:dyDescent="0.25">
      <c r="A565" s="1" t="str">
        <f t="shared" si="8"/>
        <v>604311</v>
      </c>
      <c r="B565" s="1">
        <v>639</v>
      </c>
      <c r="C565" s="1">
        <v>13</v>
      </c>
      <c r="D565" s="1">
        <v>6043</v>
      </c>
      <c r="E565" s="1" t="s">
        <v>75</v>
      </c>
      <c r="F565" s="1" t="s">
        <v>36</v>
      </c>
      <c r="G565" s="1" t="s">
        <v>61</v>
      </c>
      <c r="H565" s="1" t="s">
        <v>62</v>
      </c>
      <c r="I565" t="s">
        <v>961</v>
      </c>
      <c r="J565" t="s">
        <v>961</v>
      </c>
      <c r="K565" s="1">
        <v>12</v>
      </c>
      <c r="L565" s="1" t="s">
        <v>64</v>
      </c>
      <c r="M565" s="1" t="str">
        <f>VLOOKUP(D565,HORARIOS!B:H,7,0)</f>
        <v>Día 2</v>
      </c>
      <c r="N565" s="1">
        <f>VLOOKUP(D565,HORARIOS!B:I,8,0)</f>
        <v>11</v>
      </c>
      <c r="O565" s="9">
        <f>VLOOKUP(D565,HORARIOS!B:D,3,0)</f>
        <v>0.5625</v>
      </c>
      <c r="P565" s="9" t="str">
        <f>VLOOKUP(A565,HORARIOS!A:E,5,0)</f>
        <v>19:00 hrs</v>
      </c>
    </row>
    <row r="566" spans="1:16" ht="15.75" customHeight="1" x14ac:dyDescent="0.25">
      <c r="A566" s="1" t="str">
        <f t="shared" si="8"/>
        <v>604311</v>
      </c>
      <c r="B566" s="1">
        <v>640</v>
      </c>
      <c r="C566" s="1">
        <v>13</v>
      </c>
      <c r="D566" s="1">
        <v>6043</v>
      </c>
      <c r="E566" s="1" t="s">
        <v>75</v>
      </c>
      <c r="F566" s="1" t="s">
        <v>36</v>
      </c>
      <c r="G566" s="1" t="s">
        <v>72</v>
      </c>
      <c r="H566" s="1" t="s">
        <v>73</v>
      </c>
      <c r="I566" t="s">
        <v>962</v>
      </c>
      <c r="J566" t="s">
        <v>963</v>
      </c>
      <c r="K566" s="1">
        <v>12</v>
      </c>
      <c r="M566" s="1" t="str">
        <f>VLOOKUP(D566,HORARIOS!B:H,7,0)</f>
        <v>Día 2</v>
      </c>
      <c r="N566" s="1">
        <f>VLOOKUP(D566,HORARIOS!B:I,8,0)</f>
        <v>11</v>
      </c>
      <c r="O566" s="9">
        <f>VLOOKUP(D566,HORARIOS!B:D,3,0)</f>
        <v>0.5625</v>
      </c>
      <c r="P566" s="9" t="str">
        <f>VLOOKUP(A566,HORARIOS!A:E,5,0)</f>
        <v>19:00 hrs</v>
      </c>
    </row>
    <row r="567" spans="1:16" ht="15.75" customHeight="1" x14ac:dyDescent="0.25">
      <c r="A567" s="1" t="str">
        <f t="shared" si="8"/>
        <v>604311</v>
      </c>
      <c r="B567" s="1">
        <v>641</v>
      </c>
      <c r="C567" s="1">
        <v>13</v>
      </c>
      <c r="D567" s="1">
        <v>6043</v>
      </c>
      <c r="E567" s="1" t="s">
        <v>75</v>
      </c>
      <c r="F567" s="1" t="s">
        <v>36</v>
      </c>
      <c r="G567" s="1" t="s">
        <v>88</v>
      </c>
      <c r="H567" s="1" t="s">
        <v>90</v>
      </c>
      <c r="I567" t="s">
        <v>1012</v>
      </c>
      <c r="J567" t="s">
        <v>1012</v>
      </c>
      <c r="K567" s="1">
        <v>12</v>
      </c>
      <c r="M567" s="1" t="str">
        <f>VLOOKUP(D567,HORARIOS!B:H,7,0)</f>
        <v>Día 2</v>
      </c>
      <c r="N567" s="1">
        <f>VLOOKUP(D567,HORARIOS!B:I,8,0)</f>
        <v>11</v>
      </c>
      <c r="O567" s="9">
        <f>VLOOKUP(D567,HORARIOS!B:D,3,0)</f>
        <v>0.5625</v>
      </c>
      <c r="P567" s="9" t="str">
        <f>VLOOKUP(A567,HORARIOS!A:E,5,0)</f>
        <v>19:00 hrs</v>
      </c>
    </row>
    <row r="568" spans="1:16" ht="15.75" customHeight="1" x14ac:dyDescent="0.25">
      <c r="A568" s="1" t="str">
        <f t="shared" si="8"/>
        <v>604311</v>
      </c>
      <c r="B568" s="1">
        <v>642</v>
      </c>
      <c r="C568" s="1">
        <v>13</v>
      </c>
      <c r="D568" s="1">
        <v>6043</v>
      </c>
      <c r="E568" s="1" t="s">
        <v>75</v>
      </c>
      <c r="F568" s="1" t="s">
        <v>36</v>
      </c>
      <c r="G568" s="1" t="s">
        <v>96</v>
      </c>
      <c r="H568" s="1" t="s">
        <v>62</v>
      </c>
      <c r="I568" t="s">
        <v>964</v>
      </c>
      <c r="J568" t="s">
        <v>964</v>
      </c>
      <c r="K568" s="1">
        <v>12</v>
      </c>
      <c r="M568" s="1" t="str">
        <f>VLOOKUP(D568,HORARIOS!B:H,7,0)</f>
        <v>Día 2</v>
      </c>
      <c r="N568" s="1">
        <f>VLOOKUP(D568,HORARIOS!B:I,8,0)</f>
        <v>11</v>
      </c>
      <c r="O568" s="9">
        <f>VLOOKUP(D568,HORARIOS!B:D,3,0)</f>
        <v>0.5625</v>
      </c>
      <c r="P568" s="9" t="str">
        <f>VLOOKUP(A568,HORARIOS!A:E,5,0)</f>
        <v>19:00 hrs</v>
      </c>
    </row>
    <row r="569" spans="1:16" ht="15.75" customHeight="1" x14ac:dyDescent="0.25">
      <c r="A569" s="1" t="str">
        <f t="shared" si="8"/>
        <v>604311</v>
      </c>
      <c r="B569" s="1">
        <v>643</v>
      </c>
      <c r="C569" s="1">
        <v>13</v>
      </c>
      <c r="D569" s="1">
        <v>6043</v>
      </c>
      <c r="E569" s="1" t="s">
        <v>75</v>
      </c>
      <c r="F569" s="1" t="s">
        <v>36</v>
      </c>
      <c r="G569" s="1" t="s">
        <v>98</v>
      </c>
      <c r="H569" s="1" t="s">
        <v>99</v>
      </c>
      <c r="I569" t="s">
        <v>965</v>
      </c>
      <c r="J569" t="s">
        <v>965</v>
      </c>
      <c r="K569" s="1">
        <v>12</v>
      </c>
      <c r="L569" s="1" t="s">
        <v>101</v>
      </c>
      <c r="M569" s="1" t="str">
        <f>VLOOKUP(D569,HORARIOS!B:H,7,0)</f>
        <v>Día 2</v>
      </c>
      <c r="N569" s="1">
        <f>VLOOKUP(D569,HORARIOS!B:I,8,0)</f>
        <v>11</v>
      </c>
      <c r="O569" s="9">
        <f>VLOOKUP(D569,HORARIOS!B:D,3,0)</f>
        <v>0.5625</v>
      </c>
      <c r="P569" s="9" t="str">
        <f>VLOOKUP(A569,HORARIOS!A:E,5,0)</f>
        <v>19:00 hrs</v>
      </c>
    </row>
    <row r="570" spans="1:16" ht="15.75" customHeight="1" x14ac:dyDescent="0.25">
      <c r="A570" s="1" t="str">
        <f t="shared" si="8"/>
        <v>604311</v>
      </c>
      <c r="B570" s="1">
        <v>644</v>
      </c>
      <c r="C570" s="1">
        <v>13</v>
      </c>
      <c r="D570" s="1">
        <v>6043</v>
      </c>
      <c r="E570" s="1" t="s">
        <v>75</v>
      </c>
      <c r="F570" s="1" t="s">
        <v>36</v>
      </c>
      <c r="G570" s="1" t="s">
        <v>98</v>
      </c>
      <c r="H570" s="1" t="s">
        <v>99</v>
      </c>
      <c r="I570" t="s">
        <v>966</v>
      </c>
      <c r="J570" t="s">
        <v>966</v>
      </c>
      <c r="K570" s="1">
        <v>12</v>
      </c>
      <c r="L570" s="1" t="s">
        <v>101</v>
      </c>
      <c r="M570" s="1" t="str">
        <f>VLOOKUP(D570,HORARIOS!B:H,7,0)</f>
        <v>Día 2</v>
      </c>
      <c r="N570" s="1">
        <f>VLOOKUP(D570,HORARIOS!B:I,8,0)</f>
        <v>11</v>
      </c>
      <c r="O570" s="9">
        <f>VLOOKUP(D570,HORARIOS!B:D,3,0)</f>
        <v>0.5625</v>
      </c>
      <c r="P570" s="9" t="str">
        <f>VLOOKUP(A570,HORARIOS!A:E,5,0)</f>
        <v>19:00 hrs</v>
      </c>
    </row>
    <row r="571" spans="1:16" ht="15.75" customHeight="1" x14ac:dyDescent="0.25">
      <c r="A571" s="1" t="str">
        <f t="shared" si="8"/>
        <v>604311</v>
      </c>
      <c r="B571" s="1">
        <v>646</v>
      </c>
      <c r="C571" s="1">
        <v>13</v>
      </c>
      <c r="D571" s="1">
        <v>6043</v>
      </c>
      <c r="E571" s="1" t="s">
        <v>75</v>
      </c>
      <c r="F571" s="1" t="s">
        <v>36</v>
      </c>
      <c r="G571" s="1" t="s">
        <v>98</v>
      </c>
      <c r="H571" s="1" t="s">
        <v>99</v>
      </c>
      <c r="I571" t="s">
        <v>967</v>
      </c>
      <c r="J571" t="s">
        <v>967</v>
      </c>
      <c r="K571" s="1">
        <v>12</v>
      </c>
      <c r="L571" s="1" t="s">
        <v>101</v>
      </c>
      <c r="M571" s="1" t="str">
        <f>VLOOKUP(D571,HORARIOS!B:H,7,0)</f>
        <v>Día 2</v>
      </c>
      <c r="N571" s="1">
        <f>VLOOKUP(D571,HORARIOS!B:I,8,0)</f>
        <v>11</v>
      </c>
      <c r="O571" s="9">
        <f>VLOOKUP(D571,HORARIOS!B:D,3,0)</f>
        <v>0.5625</v>
      </c>
      <c r="P571" s="9" t="str">
        <f>VLOOKUP(A571,HORARIOS!A:E,5,0)</f>
        <v>19:00 hrs</v>
      </c>
    </row>
    <row r="572" spans="1:16" ht="15.75" customHeight="1" x14ac:dyDescent="0.25">
      <c r="A572" s="1" t="str">
        <f t="shared" si="8"/>
        <v>604311</v>
      </c>
      <c r="B572" s="1">
        <v>647</v>
      </c>
      <c r="C572" s="1">
        <v>13</v>
      </c>
      <c r="D572" s="1">
        <v>6043</v>
      </c>
      <c r="E572" s="1" t="s">
        <v>75</v>
      </c>
      <c r="F572" s="1" t="s">
        <v>36</v>
      </c>
      <c r="G572" s="1" t="s">
        <v>114</v>
      </c>
      <c r="H572" s="1" t="s">
        <v>39</v>
      </c>
      <c r="I572" t="s">
        <v>52</v>
      </c>
      <c r="J572" t="s">
        <v>52</v>
      </c>
      <c r="K572" s="1">
        <v>2</v>
      </c>
      <c r="L572" s="1" t="s">
        <v>115</v>
      </c>
      <c r="M572" s="1" t="str">
        <f>VLOOKUP(D572,HORARIOS!B:H,7,0)</f>
        <v>Día 2</v>
      </c>
      <c r="N572" s="1">
        <f>VLOOKUP(D572,HORARIOS!B:I,8,0)</f>
        <v>11</v>
      </c>
      <c r="O572" s="9">
        <f>VLOOKUP(D572,HORARIOS!B:D,3,0)</f>
        <v>0.5625</v>
      </c>
      <c r="P572" s="9" t="str">
        <f>VLOOKUP(A572,HORARIOS!A:E,5,0)</f>
        <v>19:00 hrs</v>
      </c>
    </row>
    <row r="573" spans="1:16" ht="15.75" customHeight="1" x14ac:dyDescent="0.25">
      <c r="A573" s="1" t="str">
        <f t="shared" si="8"/>
        <v>604311</v>
      </c>
      <c r="B573" s="1">
        <v>648</v>
      </c>
      <c r="C573" s="1">
        <v>13</v>
      </c>
      <c r="D573" s="1">
        <v>6043</v>
      </c>
      <c r="E573" s="1" t="s">
        <v>75</v>
      </c>
      <c r="F573" s="1" t="s">
        <v>36</v>
      </c>
      <c r="G573" s="1" t="s">
        <v>134</v>
      </c>
      <c r="H573" s="1" t="s">
        <v>135</v>
      </c>
      <c r="I573" t="s">
        <v>968</v>
      </c>
      <c r="J573" t="s">
        <v>969</v>
      </c>
      <c r="K573" s="1">
        <v>12</v>
      </c>
      <c r="L573" s="1" t="s">
        <v>138</v>
      </c>
      <c r="M573" s="1" t="str">
        <f>VLOOKUP(D573,HORARIOS!B:H,7,0)</f>
        <v>Día 2</v>
      </c>
      <c r="N573" s="1">
        <f>VLOOKUP(D573,HORARIOS!B:I,8,0)</f>
        <v>11</v>
      </c>
      <c r="O573" s="9">
        <f>VLOOKUP(D573,HORARIOS!B:D,3,0)</f>
        <v>0.5625</v>
      </c>
      <c r="P573" s="9" t="str">
        <f>VLOOKUP(A573,HORARIOS!A:E,5,0)</f>
        <v>19:00 hrs</v>
      </c>
    </row>
    <row r="574" spans="1:16" ht="15.75" customHeight="1" x14ac:dyDescent="0.25">
      <c r="A574" s="1" t="str">
        <f t="shared" si="8"/>
        <v>604311</v>
      </c>
      <c r="B574" s="1">
        <v>649</v>
      </c>
      <c r="C574" s="1">
        <v>13</v>
      </c>
      <c r="D574" s="1">
        <v>6043</v>
      </c>
      <c r="E574" s="1" t="s">
        <v>75</v>
      </c>
      <c r="F574" s="1" t="s">
        <v>36</v>
      </c>
      <c r="G574" s="1" t="s">
        <v>145</v>
      </c>
      <c r="H574" s="1" t="s">
        <v>52</v>
      </c>
      <c r="I574" t="s">
        <v>970</v>
      </c>
      <c r="J574" t="s">
        <v>971</v>
      </c>
      <c r="K574" s="1">
        <v>12</v>
      </c>
      <c r="M574" s="1" t="str">
        <f>VLOOKUP(D574,HORARIOS!B:H,7,0)</f>
        <v>Día 2</v>
      </c>
      <c r="N574" s="1">
        <f>VLOOKUP(D574,HORARIOS!B:I,8,0)</f>
        <v>11</v>
      </c>
      <c r="O574" s="9">
        <f>VLOOKUP(D574,HORARIOS!B:D,3,0)</f>
        <v>0.5625</v>
      </c>
      <c r="P574" s="9" t="str">
        <f>VLOOKUP(A574,HORARIOS!A:E,5,0)</f>
        <v>19:00 hrs</v>
      </c>
    </row>
    <row r="575" spans="1:16" ht="15.75" customHeight="1" x14ac:dyDescent="0.25">
      <c r="A575" s="1" t="str">
        <f t="shared" si="8"/>
        <v>604311</v>
      </c>
      <c r="B575" s="1">
        <v>650</v>
      </c>
      <c r="C575" s="1">
        <v>13</v>
      </c>
      <c r="D575" s="1">
        <v>6043</v>
      </c>
      <c r="E575" s="1" t="s">
        <v>75</v>
      </c>
      <c r="F575" s="1" t="s">
        <v>36</v>
      </c>
      <c r="G575" s="1" t="s">
        <v>159</v>
      </c>
      <c r="H575" s="1" t="s">
        <v>160</v>
      </c>
      <c r="I575" t="s">
        <v>972</v>
      </c>
      <c r="J575" t="s">
        <v>973</v>
      </c>
      <c r="K575" s="1">
        <v>12</v>
      </c>
      <c r="M575" s="1" t="str">
        <f>VLOOKUP(D575,HORARIOS!B:H,7,0)</f>
        <v>Día 2</v>
      </c>
      <c r="N575" s="1">
        <f>VLOOKUP(D575,HORARIOS!B:I,8,0)</f>
        <v>11</v>
      </c>
      <c r="O575" s="9">
        <f>VLOOKUP(D575,HORARIOS!B:D,3,0)</f>
        <v>0.5625</v>
      </c>
      <c r="P575" s="9" t="str">
        <f>VLOOKUP(A575,HORARIOS!A:E,5,0)</f>
        <v>19:00 hrs</v>
      </c>
    </row>
    <row r="576" spans="1:16" ht="15.75" customHeight="1" x14ac:dyDescent="0.25">
      <c r="A576" s="1" t="str">
        <f t="shared" si="8"/>
        <v>604427</v>
      </c>
      <c r="B576" s="1">
        <v>651</v>
      </c>
      <c r="C576" s="1">
        <v>13</v>
      </c>
      <c r="D576" s="1">
        <v>6044</v>
      </c>
      <c r="E576" s="1" t="s">
        <v>94</v>
      </c>
      <c r="F576" s="1" t="s">
        <v>36</v>
      </c>
      <c r="G576" s="1" t="s">
        <v>37</v>
      </c>
      <c r="H576" s="1" t="s">
        <v>39</v>
      </c>
      <c r="I576" t="s">
        <v>974</v>
      </c>
      <c r="J576" t="s">
        <v>974</v>
      </c>
      <c r="K576" s="1">
        <v>12</v>
      </c>
      <c r="L576" s="1" t="s">
        <v>41</v>
      </c>
      <c r="M576" s="1" t="str">
        <f>VLOOKUP(D576,HORARIOS!B:H,7,0)</f>
        <v>Dia 5</v>
      </c>
      <c r="N576" s="1">
        <f>VLOOKUP(D576,HORARIOS!B:I,8,0)</f>
        <v>27</v>
      </c>
      <c r="O576" s="9">
        <f>VLOOKUP(D576,HORARIOS!B:D,3,0)</f>
        <v>0.41666666666666669</v>
      </c>
      <c r="P576" s="9" t="str">
        <f>VLOOKUP(A576,HORARIOS!A:E,5,0)</f>
        <v>13:30 hrs</v>
      </c>
    </row>
    <row r="577" spans="1:16" ht="15.75" customHeight="1" x14ac:dyDescent="0.25">
      <c r="A577" s="1" t="str">
        <f t="shared" si="8"/>
        <v>604427</v>
      </c>
      <c r="B577" s="1">
        <v>652</v>
      </c>
      <c r="C577" s="1">
        <v>13</v>
      </c>
      <c r="D577" s="1">
        <v>6044</v>
      </c>
      <c r="E577" s="1" t="s">
        <v>94</v>
      </c>
      <c r="F577" s="1" t="s">
        <v>36</v>
      </c>
      <c r="G577" s="1" t="s">
        <v>51</v>
      </c>
      <c r="H577" s="1" t="s">
        <v>52</v>
      </c>
      <c r="I577" t="s">
        <v>975</v>
      </c>
      <c r="J577" t="s">
        <v>975</v>
      </c>
      <c r="K577" s="1">
        <v>12</v>
      </c>
      <c r="M577" s="1" t="str">
        <f>VLOOKUP(D577,HORARIOS!B:H,7,0)</f>
        <v>Dia 5</v>
      </c>
      <c r="N577" s="1">
        <f>VLOOKUP(D577,HORARIOS!B:I,8,0)</f>
        <v>27</v>
      </c>
      <c r="O577" s="9">
        <f>VLOOKUP(D577,HORARIOS!B:D,3,0)</f>
        <v>0.41666666666666669</v>
      </c>
      <c r="P577" s="9" t="str">
        <f>VLOOKUP(A577,HORARIOS!A:E,5,0)</f>
        <v>13:30 hrs</v>
      </c>
    </row>
    <row r="578" spans="1:16" ht="15.75" customHeight="1" x14ac:dyDescent="0.25">
      <c r="A578" s="1" t="str">
        <f t="shared" si="8"/>
        <v>604427</v>
      </c>
      <c r="B578" s="1">
        <v>653</v>
      </c>
      <c r="C578" s="1">
        <v>13</v>
      </c>
      <c r="D578" s="1">
        <v>6044</v>
      </c>
      <c r="E578" s="1" t="s">
        <v>94</v>
      </c>
      <c r="F578" s="1" t="s">
        <v>36</v>
      </c>
      <c r="G578" s="1" t="s">
        <v>61</v>
      </c>
      <c r="H578" s="1" t="s">
        <v>62</v>
      </c>
      <c r="I578" t="s">
        <v>976</v>
      </c>
      <c r="J578" t="s">
        <v>977</v>
      </c>
      <c r="K578" s="1">
        <v>12</v>
      </c>
      <c r="L578" s="1" t="s">
        <v>64</v>
      </c>
      <c r="M578" s="1" t="str">
        <f>VLOOKUP(D578,HORARIOS!B:H,7,0)</f>
        <v>Dia 5</v>
      </c>
      <c r="N578" s="1">
        <f>VLOOKUP(D578,HORARIOS!B:I,8,0)</f>
        <v>27</v>
      </c>
      <c r="O578" s="9">
        <f>VLOOKUP(D578,HORARIOS!B:D,3,0)</f>
        <v>0.41666666666666669</v>
      </c>
      <c r="P578" s="9" t="str">
        <f>VLOOKUP(A578,HORARIOS!A:E,5,0)</f>
        <v>13:30 hrs</v>
      </c>
    </row>
    <row r="579" spans="1:16" ht="15.75" customHeight="1" x14ac:dyDescent="0.25">
      <c r="A579" s="1" t="str">
        <f t="shared" si="8"/>
        <v>604427</v>
      </c>
      <c r="B579" s="1">
        <v>655</v>
      </c>
      <c r="C579" s="1">
        <v>13</v>
      </c>
      <c r="D579" s="1">
        <v>6044</v>
      </c>
      <c r="E579" s="1" t="s">
        <v>94</v>
      </c>
      <c r="F579" s="1" t="s">
        <v>36</v>
      </c>
      <c r="G579" s="1" t="s">
        <v>72</v>
      </c>
      <c r="H579" s="1" t="s">
        <v>73</v>
      </c>
      <c r="I579" t="s">
        <v>978</v>
      </c>
      <c r="J579" t="s">
        <v>978</v>
      </c>
      <c r="K579" s="1">
        <v>12</v>
      </c>
      <c r="M579" s="1" t="str">
        <f>VLOOKUP(D579,HORARIOS!B:H,7,0)</f>
        <v>Dia 5</v>
      </c>
      <c r="N579" s="1">
        <f>VLOOKUP(D579,HORARIOS!B:I,8,0)</f>
        <v>27</v>
      </c>
      <c r="O579" s="9">
        <f>VLOOKUP(D579,HORARIOS!B:D,3,0)</f>
        <v>0.41666666666666669</v>
      </c>
      <c r="P579" s="9" t="str">
        <f>VLOOKUP(A579,HORARIOS!A:E,5,0)</f>
        <v>13:30 hrs</v>
      </c>
    </row>
    <row r="580" spans="1:16" ht="15.75" customHeight="1" x14ac:dyDescent="0.25">
      <c r="A580" s="1" t="str">
        <f t="shared" si="8"/>
        <v>604427</v>
      </c>
      <c r="B580" s="1">
        <v>656</v>
      </c>
      <c r="C580" s="1">
        <v>13</v>
      </c>
      <c r="D580" s="1">
        <v>6044</v>
      </c>
      <c r="E580" s="1" t="s">
        <v>94</v>
      </c>
      <c r="F580" s="1" t="s">
        <v>36</v>
      </c>
      <c r="G580" s="1" t="s">
        <v>88</v>
      </c>
      <c r="H580" s="1" t="s">
        <v>90</v>
      </c>
      <c r="I580" t="s">
        <v>1013</v>
      </c>
      <c r="J580" t="s">
        <v>1013</v>
      </c>
      <c r="K580" s="1">
        <v>12</v>
      </c>
      <c r="M580" s="1" t="str">
        <f>VLOOKUP(D580,HORARIOS!B:H,7,0)</f>
        <v>Dia 5</v>
      </c>
      <c r="N580" s="1">
        <f>VLOOKUP(D580,HORARIOS!B:I,8,0)</f>
        <v>27</v>
      </c>
      <c r="O580" s="9">
        <f>VLOOKUP(D580,HORARIOS!B:D,3,0)</f>
        <v>0.41666666666666669</v>
      </c>
      <c r="P580" s="9" t="str">
        <f>VLOOKUP(A580,HORARIOS!A:E,5,0)</f>
        <v>13:30 hrs</v>
      </c>
    </row>
    <row r="581" spans="1:16" ht="15.75" customHeight="1" x14ac:dyDescent="0.25">
      <c r="A581" s="1" t="str">
        <f t="shared" si="8"/>
        <v>604427</v>
      </c>
      <c r="B581" s="1">
        <v>657</v>
      </c>
      <c r="C581" s="1">
        <v>13</v>
      </c>
      <c r="D581" s="1">
        <v>6044</v>
      </c>
      <c r="E581" s="1" t="s">
        <v>94</v>
      </c>
      <c r="F581" s="1" t="s">
        <v>36</v>
      </c>
      <c r="G581" s="1" t="s">
        <v>96</v>
      </c>
      <c r="H581" s="1" t="s">
        <v>62</v>
      </c>
      <c r="I581" t="s">
        <v>979</v>
      </c>
      <c r="J581" t="s">
        <v>980</v>
      </c>
      <c r="K581" s="1">
        <v>12</v>
      </c>
      <c r="M581" s="1" t="str">
        <f>VLOOKUP(D581,HORARIOS!B:H,7,0)</f>
        <v>Dia 5</v>
      </c>
      <c r="N581" s="1">
        <f>VLOOKUP(D581,HORARIOS!B:I,8,0)</f>
        <v>27</v>
      </c>
      <c r="O581" s="9">
        <f>VLOOKUP(D581,HORARIOS!B:D,3,0)</f>
        <v>0.41666666666666669</v>
      </c>
      <c r="P581" s="9" t="str">
        <f>VLOOKUP(A581,HORARIOS!A:E,5,0)</f>
        <v>13:30 hrs</v>
      </c>
    </row>
    <row r="582" spans="1:16" ht="15.75" customHeight="1" x14ac:dyDescent="0.25">
      <c r="A582" s="1" t="str">
        <f t="shared" ref="A582:A601" si="9">D582&amp;N582</f>
        <v>604427</v>
      </c>
      <c r="B582" s="1">
        <v>658</v>
      </c>
      <c r="C582" s="1">
        <v>13</v>
      </c>
      <c r="D582" s="1">
        <v>6044</v>
      </c>
      <c r="E582" s="1" t="s">
        <v>94</v>
      </c>
      <c r="F582" s="1" t="s">
        <v>36</v>
      </c>
      <c r="G582" s="1" t="s">
        <v>98</v>
      </c>
      <c r="H582" s="1" t="s">
        <v>99</v>
      </c>
      <c r="I582" t="s">
        <v>981</v>
      </c>
      <c r="J582" t="s">
        <v>982</v>
      </c>
      <c r="K582" s="1">
        <v>12</v>
      </c>
      <c r="L582" s="1" t="s">
        <v>101</v>
      </c>
      <c r="M582" s="1" t="str">
        <f>VLOOKUP(D582,HORARIOS!B:H,7,0)</f>
        <v>Dia 5</v>
      </c>
      <c r="N582" s="1">
        <f>VLOOKUP(D582,HORARIOS!B:I,8,0)</f>
        <v>27</v>
      </c>
      <c r="O582" s="9">
        <f>VLOOKUP(D582,HORARIOS!B:D,3,0)</f>
        <v>0.41666666666666669</v>
      </c>
      <c r="P582" s="9" t="str">
        <f>VLOOKUP(A582,HORARIOS!A:E,5,0)</f>
        <v>13:30 hrs</v>
      </c>
    </row>
    <row r="583" spans="1:16" ht="15.75" customHeight="1" x14ac:dyDescent="0.25">
      <c r="A583" s="1" t="str">
        <f t="shared" si="9"/>
        <v>604427</v>
      </c>
      <c r="B583" s="1">
        <v>659</v>
      </c>
      <c r="C583" s="1">
        <v>13</v>
      </c>
      <c r="D583" s="1">
        <v>6044</v>
      </c>
      <c r="E583" s="1" t="s">
        <v>94</v>
      </c>
      <c r="F583" s="1" t="s">
        <v>36</v>
      </c>
      <c r="G583" s="1" t="s">
        <v>98</v>
      </c>
      <c r="H583" s="1" t="s">
        <v>99</v>
      </c>
      <c r="I583" t="s">
        <v>983</v>
      </c>
      <c r="J583" t="s">
        <v>984</v>
      </c>
      <c r="K583" s="1">
        <v>12</v>
      </c>
      <c r="L583" s="1" t="s">
        <v>101</v>
      </c>
      <c r="M583" s="1" t="str">
        <f>VLOOKUP(D583,HORARIOS!B:H,7,0)</f>
        <v>Dia 5</v>
      </c>
      <c r="N583" s="1">
        <f>VLOOKUP(D583,HORARIOS!B:I,8,0)</f>
        <v>27</v>
      </c>
      <c r="O583" s="9">
        <f>VLOOKUP(D583,HORARIOS!B:D,3,0)</f>
        <v>0.41666666666666669</v>
      </c>
      <c r="P583" s="9" t="str">
        <f>VLOOKUP(A583,HORARIOS!A:E,5,0)</f>
        <v>13:30 hrs</v>
      </c>
    </row>
    <row r="584" spans="1:16" ht="15.75" customHeight="1" x14ac:dyDescent="0.25">
      <c r="A584" s="1" t="str">
        <f t="shared" si="9"/>
        <v>604427</v>
      </c>
      <c r="B584" s="1">
        <v>660</v>
      </c>
      <c r="C584" s="1">
        <v>13</v>
      </c>
      <c r="D584" s="1">
        <v>6044</v>
      </c>
      <c r="E584" s="1" t="s">
        <v>94</v>
      </c>
      <c r="F584" s="1" t="s">
        <v>36</v>
      </c>
      <c r="G584" s="1" t="s">
        <v>98</v>
      </c>
      <c r="H584" s="1" t="s">
        <v>99</v>
      </c>
      <c r="I584" t="s">
        <v>985</v>
      </c>
      <c r="J584" t="s">
        <v>986</v>
      </c>
      <c r="K584" s="1">
        <v>12</v>
      </c>
      <c r="L584" s="1" t="s">
        <v>101</v>
      </c>
      <c r="M584" s="1" t="str">
        <f>VLOOKUP(D584,HORARIOS!B:H,7,0)</f>
        <v>Dia 5</v>
      </c>
      <c r="N584" s="1">
        <f>VLOOKUP(D584,HORARIOS!B:I,8,0)</f>
        <v>27</v>
      </c>
      <c r="O584" s="9">
        <f>VLOOKUP(D584,HORARIOS!B:D,3,0)</f>
        <v>0.41666666666666669</v>
      </c>
      <c r="P584" s="9" t="str">
        <f>VLOOKUP(A584,HORARIOS!A:E,5,0)</f>
        <v>13:30 hrs</v>
      </c>
    </row>
    <row r="585" spans="1:16" ht="15.75" customHeight="1" x14ac:dyDescent="0.25">
      <c r="A585" s="1" t="str">
        <f t="shared" si="9"/>
        <v>604427</v>
      </c>
      <c r="B585" s="1">
        <v>661</v>
      </c>
      <c r="C585" s="1">
        <v>13</v>
      </c>
      <c r="D585" s="1">
        <v>6044</v>
      </c>
      <c r="E585" s="1" t="s">
        <v>94</v>
      </c>
      <c r="F585" s="1" t="s">
        <v>36</v>
      </c>
      <c r="G585" s="1" t="s">
        <v>114</v>
      </c>
      <c r="H585" s="1" t="s">
        <v>39</v>
      </c>
      <c r="I585" t="s">
        <v>987</v>
      </c>
      <c r="J585" t="s">
        <v>52</v>
      </c>
      <c r="K585" s="1">
        <v>2</v>
      </c>
      <c r="L585" s="1" t="s">
        <v>115</v>
      </c>
      <c r="M585" s="1" t="str">
        <f>VLOOKUP(D585,HORARIOS!B:H,7,0)</f>
        <v>Dia 5</v>
      </c>
      <c r="N585" s="1">
        <f>VLOOKUP(D585,HORARIOS!B:I,8,0)</f>
        <v>27</v>
      </c>
      <c r="O585" s="9">
        <f>VLOOKUP(D585,HORARIOS!B:D,3,0)</f>
        <v>0.41666666666666669</v>
      </c>
      <c r="P585" s="9" t="str">
        <f>VLOOKUP(A585,HORARIOS!A:E,5,0)</f>
        <v>13:30 hrs</v>
      </c>
    </row>
    <row r="586" spans="1:16" ht="15.75" customHeight="1" x14ac:dyDescent="0.25">
      <c r="A586" s="1" t="str">
        <f t="shared" si="9"/>
        <v>604427</v>
      </c>
      <c r="B586" s="1">
        <v>663</v>
      </c>
      <c r="C586" s="1">
        <v>13</v>
      </c>
      <c r="D586" s="1">
        <v>6044</v>
      </c>
      <c r="E586" s="1" t="s">
        <v>94</v>
      </c>
      <c r="F586" s="1" t="s">
        <v>36</v>
      </c>
      <c r="G586" s="1" t="s">
        <v>134</v>
      </c>
      <c r="H586" s="1" t="s">
        <v>135</v>
      </c>
      <c r="I586" t="s">
        <v>988</v>
      </c>
      <c r="J586" t="s">
        <v>988</v>
      </c>
      <c r="K586" s="1">
        <v>12</v>
      </c>
      <c r="L586" s="1" t="s">
        <v>138</v>
      </c>
      <c r="M586" s="1" t="str">
        <f>VLOOKUP(D586,HORARIOS!B:H,7,0)</f>
        <v>Dia 5</v>
      </c>
      <c r="N586" s="1">
        <f>VLOOKUP(D586,HORARIOS!B:I,8,0)</f>
        <v>27</v>
      </c>
      <c r="O586" s="9">
        <f>VLOOKUP(D586,HORARIOS!B:D,3,0)</f>
        <v>0.41666666666666669</v>
      </c>
      <c r="P586" s="9" t="str">
        <f>VLOOKUP(A586,HORARIOS!A:E,5,0)</f>
        <v>13:30 hrs</v>
      </c>
    </row>
    <row r="587" spans="1:16" ht="15.75" customHeight="1" x14ac:dyDescent="0.25">
      <c r="A587" s="1" t="str">
        <f t="shared" si="9"/>
        <v>604427</v>
      </c>
      <c r="B587" s="1">
        <v>664</v>
      </c>
      <c r="C587" s="1">
        <v>13</v>
      </c>
      <c r="D587" s="1">
        <v>6044</v>
      </c>
      <c r="E587" s="1" t="s">
        <v>94</v>
      </c>
      <c r="F587" s="1" t="s">
        <v>36</v>
      </c>
      <c r="G587" s="1" t="s">
        <v>145</v>
      </c>
      <c r="H587" s="1" t="s">
        <v>52</v>
      </c>
      <c r="I587" t="s">
        <v>989</v>
      </c>
      <c r="J587" t="s">
        <v>989</v>
      </c>
      <c r="K587" s="1">
        <v>12</v>
      </c>
      <c r="M587" s="1" t="str">
        <f>VLOOKUP(D587,HORARIOS!B:H,7,0)</f>
        <v>Dia 5</v>
      </c>
      <c r="N587" s="1">
        <f>VLOOKUP(D587,HORARIOS!B:I,8,0)</f>
        <v>27</v>
      </c>
      <c r="O587" s="9">
        <f>VLOOKUP(D587,HORARIOS!B:D,3,0)</f>
        <v>0.41666666666666669</v>
      </c>
      <c r="P587" s="9" t="str">
        <f>VLOOKUP(A587,HORARIOS!A:E,5,0)</f>
        <v>13:30 hrs</v>
      </c>
    </row>
    <row r="588" spans="1:16" ht="15.75" customHeight="1" x14ac:dyDescent="0.25">
      <c r="A588" s="1" t="str">
        <f t="shared" si="9"/>
        <v>604427</v>
      </c>
      <c r="B588" s="1">
        <v>665</v>
      </c>
      <c r="C588" s="1">
        <v>13</v>
      </c>
      <c r="D588" s="1">
        <v>6044</v>
      </c>
      <c r="E588" s="1" t="s">
        <v>94</v>
      </c>
      <c r="F588" s="1" t="s">
        <v>36</v>
      </c>
      <c r="G588" s="1" t="s">
        <v>159</v>
      </c>
      <c r="H588" s="1" t="s">
        <v>160</v>
      </c>
      <c r="I588" t="s">
        <v>990</v>
      </c>
      <c r="J588" t="s">
        <v>990</v>
      </c>
      <c r="K588" s="1">
        <v>12</v>
      </c>
      <c r="M588" s="1" t="str">
        <f>VLOOKUP(D588,HORARIOS!B:H,7,0)</f>
        <v>Dia 5</v>
      </c>
      <c r="N588" s="1">
        <f>VLOOKUP(D588,HORARIOS!B:I,8,0)</f>
        <v>27</v>
      </c>
      <c r="O588" s="9">
        <f>VLOOKUP(D588,HORARIOS!B:D,3,0)</f>
        <v>0.41666666666666669</v>
      </c>
      <c r="P588" s="9" t="str">
        <f>VLOOKUP(A588,HORARIOS!A:E,5,0)</f>
        <v>13:30 hrs</v>
      </c>
    </row>
    <row r="589" spans="1:16" ht="15.75" customHeight="1" x14ac:dyDescent="0.25">
      <c r="A589" s="1" t="str">
        <f t="shared" si="9"/>
        <v>604518</v>
      </c>
      <c r="B589" s="1">
        <v>666</v>
      </c>
      <c r="C589" s="1">
        <v>13</v>
      </c>
      <c r="D589" s="1">
        <v>6045</v>
      </c>
      <c r="E589" s="1" t="s">
        <v>95</v>
      </c>
      <c r="F589" s="1" t="s">
        <v>36</v>
      </c>
      <c r="G589" s="1" t="s">
        <v>37</v>
      </c>
      <c r="H589" s="1" t="s">
        <v>39</v>
      </c>
      <c r="I589" t="s">
        <v>991</v>
      </c>
      <c r="J589" t="s">
        <v>992</v>
      </c>
      <c r="K589" s="1">
        <v>12</v>
      </c>
      <c r="L589" s="1" t="s">
        <v>41</v>
      </c>
      <c r="M589" s="1" t="str">
        <f>VLOOKUP(D589,HORARIOS!B:H,7,0)</f>
        <v>Día 3</v>
      </c>
      <c r="N589" s="1">
        <f>VLOOKUP(D589,HORARIOS!B:I,8,0)</f>
        <v>18</v>
      </c>
      <c r="O589" s="9">
        <f>VLOOKUP(D589,HORARIOS!B:D,3,0)</f>
        <v>0.54166666666666663</v>
      </c>
      <c r="P589" s="9" t="str">
        <f>VLOOKUP(A589,HORARIOS!A:E,5,0)</f>
        <v>16:00 hrs</v>
      </c>
    </row>
    <row r="590" spans="1:16" ht="15.75" customHeight="1" x14ac:dyDescent="0.25">
      <c r="A590" s="1" t="str">
        <f t="shared" si="9"/>
        <v>604518</v>
      </c>
      <c r="B590" s="1">
        <v>667</v>
      </c>
      <c r="C590" s="1">
        <v>13</v>
      </c>
      <c r="D590" s="1">
        <v>6045</v>
      </c>
      <c r="E590" s="1" t="s">
        <v>95</v>
      </c>
      <c r="F590" s="1" t="s">
        <v>36</v>
      </c>
      <c r="G590" s="1" t="s">
        <v>51</v>
      </c>
      <c r="H590" s="1" t="s">
        <v>52</v>
      </c>
      <c r="I590" t="s">
        <v>993</v>
      </c>
      <c r="J590" t="s">
        <v>993</v>
      </c>
      <c r="K590" s="1">
        <v>12</v>
      </c>
      <c r="M590" s="1" t="str">
        <f>VLOOKUP(D590,HORARIOS!B:H,7,0)</f>
        <v>Día 3</v>
      </c>
      <c r="N590" s="1">
        <f>VLOOKUP(D590,HORARIOS!B:I,8,0)</f>
        <v>18</v>
      </c>
      <c r="O590" s="9">
        <f>VLOOKUP(D590,HORARIOS!B:D,3,0)</f>
        <v>0.54166666666666663</v>
      </c>
      <c r="P590" s="9" t="str">
        <f>VLOOKUP(A590,HORARIOS!A:E,5,0)</f>
        <v>16:00 hrs</v>
      </c>
    </row>
    <row r="591" spans="1:16" ht="15.75" customHeight="1" x14ac:dyDescent="0.25">
      <c r="A591" s="1" t="str">
        <f t="shared" si="9"/>
        <v>604518</v>
      </c>
      <c r="B591" s="1">
        <v>668</v>
      </c>
      <c r="C591" s="1">
        <v>13</v>
      </c>
      <c r="D591" s="1">
        <v>6045</v>
      </c>
      <c r="E591" s="1" t="s">
        <v>95</v>
      </c>
      <c r="F591" s="1" t="s">
        <v>36</v>
      </c>
      <c r="G591" s="1" t="s">
        <v>61</v>
      </c>
      <c r="H591" s="1" t="s">
        <v>62</v>
      </c>
      <c r="I591" t="s">
        <v>994</v>
      </c>
      <c r="J591" t="s">
        <v>995</v>
      </c>
      <c r="K591" s="1">
        <v>12</v>
      </c>
      <c r="L591" s="1" t="s">
        <v>64</v>
      </c>
      <c r="M591" s="1" t="str">
        <f>VLOOKUP(D591,HORARIOS!B:H,7,0)</f>
        <v>Día 3</v>
      </c>
      <c r="N591" s="1">
        <f>VLOOKUP(D591,HORARIOS!B:I,8,0)</f>
        <v>18</v>
      </c>
      <c r="O591" s="9">
        <f>VLOOKUP(D591,HORARIOS!B:D,3,0)</f>
        <v>0.54166666666666663</v>
      </c>
      <c r="P591" s="9" t="str">
        <f>VLOOKUP(A591,HORARIOS!A:E,5,0)</f>
        <v>16:00 hrs</v>
      </c>
    </row>
    <row r="592" spans="1:16" ht="15.75" customHeight="1" x14ac:dyDescent="0.25">
      <c r="A592" s="1" t="str">
        <f t="shared" si="9"/>
        <v>604518</v>
      </c>
      <c r="B592" s="1">
        <v>669</v>
      </c>
      <c r="C592" s="1">
        <v>13</v>
      </c>
      <c r="D592" s="1">
        <v>6045</v>
      </c>
      <c r="E592" s="1" t="s">
        <v>95</v>
      </c>
      <c r="F592" s="1" t="s">
        <v>36</v>
      </c>
      <c r="G592" s="1" t="s">
        <v>72</v>
      </c>
      <c r="H592" s="1" t="s">
        <v>73</v>
      </c>
      <c r="I592" t="s">
        <v>996</v>
      </c>
      <c r="J592" t="s">
        <v>996</v>
      </c>
      <c r="K592" s="1">
        <v>12</v>
      </c>
      <c r="M592" s="1" t="str">
        <f>VLOOKUP(D592,HORARIOS!B:H,7,0)</f>
        <v>Día 3</v>
      </c>
      <c r="N592" s="1">
        <f>VLOOKUP(D592,HORARIOS!B:I,8,0)</f>
        <v>18</v>
      </c>
      <c r="O592" s="9">
        <f>VLOOKUP(D592,HORARIOS!B:D,3,0)</f>
        <v>0.54166666666666663</v>
      </c>
      <c r="P592" s="9" t="str">
        <f>VLOOKUP(A592,HORARIOS!A:E,5,0)</f>
        <v>16:00 hrs</v>
      </c>
    </row>
    <row r="593" spans="1:16" ht="15.75" customHeight="1" x14ac:dyDescent="0.25">
      <c r="A593" s="1" t="str">
        <f t="shared" si="9"/>
        <v>604518</v>
      </c>
      <c r="B593" s="1">
        <v>671</v>
      </c>
      <c r="C593" s="1">
        <v>13</v>
      </c>
      <c r="D593" s="1">
        <v>6045</v>
      </c>
      <c r="E593" s="1" t="s">
        <v>95</v>
      </c>
      <c r="F593" s="1" t="s">
        <v>36</v>
      </c>
      <c r="G593" s="1" t="s">
        <v>88</v>
      </c>
      <c r="H593" s="1" t="s">
        <v>90</v>
      </c>
      <c r="I593" t="s">
        <v>1014</v>
      </c>
      <c r="J593" t="s">
        <v>1014</v>
      </c>
      <c r="K593" s="1">
        <v>12</v>
      </c>
      <c r="M593" s="1" t="str">
        <f>VLOOKUP(D593,HORARIOS!B:H,7,0)</f>
        <v>Día 3</v>
      </c>
      <c r="N593" s="1">
        <f>VLOOKUP(D593,HORARIOS!B:I,8,0)</f>
        <v>18</v>
      </c>
      <c r="O593" s="9">
        <f>VLOOKUP(D593,HORARIOS!B:D,3,0)</f>
        <v>0.54166666666666663</v>
      </c>
      <c r="P593" s="9" t="str">
        <f>VLOOKUP(A593,HORARIOS!A:E,5,0)</f>
        <v>16:00 hrs</v>
      </c>
    </row>
    <row r="594" spans="1:16" ht="15.75" customHeight="1" x14ac:dyDescent="0.25">
      <c r="A594" s="1" t="str">
        <f t="shared" si="9"/>
        <v>604518</v>
      </c>
      <c r="B594" s="1">
        <v>672</v>
      </c>
      <c r="C594" s="1">
        <v>13</v>
      </c>
      <c r="D594" s="1">
        <v>6045</v>
      </c>
      <c r="E594" s="1" t="s">
        <v>95</v>
      </c>
      <c r="F594" s="1" t="s">
        <v>36</v>
      </c>
      <c r="G594" s="1" t="s">
        <v>96</v>
      </c>
      <c r="H594" s="1" t="s">
        <v>62</v>
      </c>
      <c r="I594" t="s">
        <v>997</v>
      </c>
      <c r="J594" t="s">
        <v>998</v>
      </c>
      <c r="K594" s="1">
        <v>12</v>
      </c>
      <c r="M594" s="1" t="str">
        <f>VLOOKUP(D594,HORARIOS!B:H,7,0)</f>
        <v>Día 3</v>
      </c>
      <c r="N594" s="1">
        <f>VLOOKUP(D594,HORARIOS!B:I,8,0)</f>
        <v>18</v>
      </c>
      <c r="O594" s="9">
        <f>VLOOKUP(D594,HORARIOS!B:D,3,0)</f>
        <v>0.54166666666666663</v>
      </c>
      <c r="P594" s="9" t="str">
        <f>VLOOKUP(A594,HORARIOS!A:E,5,0)</f>
        <v>16:00 hrs</v>
      </c>
    </row>
    <row r="595" spans="1:16" ht="15.75" customHeight="1" x14ac:dyDescent="0.25">
      <c r="A595" s="1" t="str">
        <f t="shared" si="9"/>
        <v>604518</v>
      </c>
      <c r="B595" s="1">
        <v>673</v>
      </c>
      <c r="C595" s="1">
        <v>13</v>
      </c>
      <c r="D595" s="1">
        <v>6045</v>
      </c>
      <c r="E595" s="1" t="s">
        <v>95</v>
      </c>
      <c r="F595" s="1" t="s">
        <v>36</v>
      </c>
      <c r="G595" s="1" t="s">
        <v>98</v>
      </c>
      <c r="H595" s="1" t="s">
        <v>99</v>
      </c>
      <c r="I595" t="s">
        <v>999</v>
      </c>
      <c r="J595" t="s">
        <v>1000</v>
      </c>
      <c r="K595" s="1">
        <v>12</v>
      </c>
      <c r="L595" s="1" t="s">
        <v>101</v>
      </c>
      <c r="M595" s="1" t="str">
        <f>VLOOKUP(D595,HORARIOS!B:H,7,0)</f>
        <v>Día 3</v>
      </c>
      <c r="N595" s="1">
        <f>VLOOKUP(D595,HORARIOS!B:I,8,0)</f>
        <v>18</v>
      </c>
      <c r="O595" s="9">
        <f>VLOOKUP(D595,HORARIOS!B:D,3,0)</f>
        <v>0.54166666666666663</v>
      </c>
      <c r="P595" s="9" t="str">
        <f>VLOOKUP(A595,HORARIOS!A:E,5,0)</f>
        <v>16:00 hrs</v>
      </c>
    </row>
    <row r="596" spans="1:16" ht="15.75" customHeight="1" x14ac:dyDescent="0.25">
      <c r="A596" s="1" t="str">
        <f t="shared" si="9"/>
        <v>604518</v>
      </c>
      <c r="B596" s="1">
        <v>674</v>
      </c>
      <c r="C596" s="1">
        <v>13</v>
      </c>
      <c r="D596" s="1">
        <v>6045</v>
      </c>
      <c r="E596" s="1" t="s">
        <v>95</v>
      </c>
      <c r="F596" s="1" t="s">
        <v>36</v>
      </c>
      <c r="G596" s="1" t="s">
        <v>98</v>
      </c>
      <c r="H596" s="1" t="s">
        <v>99</v>
      </c>
      <c r="I596" t="s">
        <v>1001</v>
      </c>
      <c r="J596" t="s">
        <v>1002</v>
      </c>
      <c r="K596" s="1">
        <v>12</v>
      </c>
      <c r="L596" s="1" t="s">
        <v>101</v>
      </c>
      <c r="M596" s="1" t="str">
        <f>VLOOKUP(D596,HORARIOS!B:H,7,0)</f>
        <v>Día 3</v>
      </c>
      <c r="N596" s="1">
        <f>VLOOKUP(D596,HORARIOS!B:I,8,0)</f>
        <v>18</v>
      </c>
      <c r="O596" s="9">
        <f>VLOOKUP(D596,HORARIOS!B:D,3,0)</f>
        <v>0.54166666666666663</v>
      </c>
      <c r="P596" s="9" t="str">
        <f>VLOOKUP(A596,HORARIOS!A:E,5,0)</f>
        <v>16:00 hrs</v>
      </c>
    </row>
    <row r="597" spans="1:16" ht="15.75" customHeight="1" x14ac:dyDescent="0.25">
      <c r="A597" s="1" t="str">
        <f t="shared" si="9"/>
        <v>604518</v>
      </c>
      <c r="B597" s="1">
        <v>675</v>
      </c>
      <c r="C597" s="1">
        <v>13</v>
      </c>
      <c r="D597" s="1">
        <v>6045</v>
      </c>
      <c r="E597" s="1" t="s">
        <v>95</v>
      </c>
      <c r="F597" s="1" t="s">
        <v>36</v>
      </c>
      <c r="G597" s="1" t="s">
        <v>98</v>
      </c>
      <c r="H597" s="1" t="s">
        <v>99</v>
      </c>
      <c r="I597" t="s">
        <v>1003</v>
      </c>
      <c r="J597" t="s">
        <v>1004</v>
      </c>
      <c r="K597" s="1">
        <v>12</v>
      </c>
      <c r="L597" s="1" t="s">
        <v>101</v>
      </c>
      <c r="M597" s="1" t="str">
        <f>VLOOKUP(D597,HORARIOS!B:H,7,0)</f>
        <v>Día 3</v>
      </c>
      <c r="N597" s="1">
        <f>VLOOKUP(D597,HORARIOS!B:I,8,0)</f>
        <v>18</v>
      </c>
      <c r="O597" s="9">
        <f>VLOOKUP(D597,HORARIOS!B:D,3,0)</f>
        <v>0.54166666666666663</v>
      </c>
      <c r="P597" s="9" t="str">
        <f>VLOOKUP(A597,HORARIOS!A:E,5,0)</f>
        <v>16:00 hrs</v>
      </c>
    </row>
    <row r="598" spans="1:16" ht="15.75" customHeight="1" x14ac:dyDescent="0.25">
      <c r="A598" s="1" t="str">
        <f t="shared" si="9"/>
        <v>604518</v>
      </c>
      <c r="B598" s="1">
        <v>676</v>
      </c>
      <c r="C598" s="1">
        <v>13</v>
      </c>
      <c r="D598" s="1">
        <v>6045</v>
      </c>
      <c r="E598" s="1" t="s">
        <v>95</v>
      </c>
      <c r="F598" s="1" t="s">
        <v>36</v>
      </c>
      <c r="G598" s="1" t="s">
        <v>114</v>
      </c>
      <c r="H598" s="1" t="s">
        <v>39</v>
      </c>
      <c r="I598" t="s">
        <v>987</v>
      </c>
      <c r="J598" t="s">
        <v>52</v>
      </c>
      <c r="K598" s="1">
        <v>2</v>
      </c>
      <c r="L598" s="1" t="s">
        <v>115</v>
      </c>
      <c r="M598" s="1" t="str">
        <f>VLOOKUP(D598,HORARIOS!B:H,7,0)</f>
        <v>Día 3</v>
      </c>
      <c r="N598" s="1">
        <f>VLOOKUP(D598,HORARIOS!B:I,8,0)</f>
        <v>18</v>
      </c>
      <c r="O598" s="9">
        <f>VLOOKUP(D598,HORARIOS!B:D,3,0)</f>
        <v>0.54166666666666663</v>
      </c>
      <c r="P598" s="9" t="str">
        <f>VLOOKUP(A598,HORARIOS!A:E,5,0)</f>
        <v>16:00 hrs</v>
      </c>
    </row>
    <row r="599" spans="1:16" ht="15.75" customHeight="1" x14ac:dyDescent="0.25">
      <c r="A599" s="1" t="str">
        <f t="shared" si="9"/>
        <v>604518</v>
      </c>
      <c r="B599" s="1">
        <v>677</v>
      </c>
      <c r="C599" s="1">
        <v>13</v>
      </c>
      <c r="D599" s="1">
        <v>6045</v>
      </c>
      <c r="E599" s="1" t="s">
        <v>95</v>
      </c>
      <c r="F599" s="1" t="s">
        <v>36</v>
      </c>
      <c r="G599" s="1" t="s">
        <v>134</v>
      </c>
      <c r="H599" s="1" t="s">
        <v>135</v>
      </c>
      <c r="I599" t="s">
        <v>1005</v>
      </c>
      <c r="J599" t="s">
        <v>1005</v>
      </c>
      <c r="K599" s="1">
        <v>12</v>
      </c>
      <c r="L599" s="1" t="s">
        <v>138</v>
      </c>
      <c r="M599" s="1" t="str">
        <f>VLOOKUP(D599,HORARIOS!B:H,7,0)</f>
        <v>Día 3</v>
      </c>
      <c r="N599" s="1">
        <f>VLOOKUP(D599,HORARIOS!B:I,8,0)</f>
        <v>18</v>
      </c>
      <c r="O599" s="9">
        <f>VLOOKUP(D599,HORARIOS!B:D,3,0)</f>
        <v>0.54166666666666663</v>
      </c>
      <c r="P599" s="9" t="str">
        <f>VLOOKUP(A599,HORARIOS!A:E,5,0)</f>
        <v>16:00 hrs</v>
      </c>
    </row>
    <row r="600" spans="1:16" ht="15.75" customHeight="1" x14ac:dyDescent="0.25">
      <c r="A600" s="1" t="str">
        <f t="shared" si="9"/>
        <v>604518</v>
      </c>
      <c r="B600" s="1">
        <v>679</v>
      </c>
      <c r="C600" s="1">
        <v>13</v>
      </c>
      <c r="D600" s="1">
        <v>6045</v>
      </c>
      <c r="E600" s="1" t="s">
        <v>95</v>
      </c>
      <c r="F600" s="1" t="s">
        <v>36</v>
      </c>
      <c r="G600" s="1" t="s">
        <v>145</v>
      </c>
      <c r="H600" s="1" t="s">
        <v>52</v>
      </c>
      <c r="I600" t="s">
        <v>1006</v>
      </c>
      <c r="J600" t="s">
        <v>1007</v>
      </c>
      <c r="K600" s="1">
        <v>12</v>
      </c>
      <c r="M600" s="1" t="str">
        <f>VLOOKUP(D600,HORARIOS!B:H,7,0)</f>
        <v>Día 3</v>
      </c>
      <c r="N600" s="1">
        <f>VLOOKUP(D600,HORARIOS!B:I,8,0)</f>
        <v>18</v>
      </c>
      <c r="O600" s="9">
        <f>VLOOKUP(D600,HORARIOS!B:D,3,0)</f>
        <v>0.54166666666666663</v>
      </c>
      <c r="P600" s="9" t="str">
        <f>VLOOKUP(A600,HORARIOS!A:E,5,0)</f>
        <v>16:00 hrs</v>
      </c>
    </row>
    <row r="601" spans="1:16" ht="15.75" customHeight="1" x14ac:dyDescent="0.25">
      <c r="A601" s="1" t="str">
        <f t="shared" si="9"/>
        <v>604518</v>
      </c>
      <c r="B601" s="1">
        <v>680</v>
      </c>
      <c r="C601" s="1">
        <v>13</v>
      </c>
      <c r="D601" s="1">
        <v>6045</v>
      </c>
      <c r="E601" s="1" t="s">
        <v>95</v>
      </c>
      <c r="F601" s="1" t="s">
        <v>36</v>
      </c>
      <c r="G601" s="1" t="s">
        <v>159</v>
      </c>
      <c r="H601" s="1" t="s">
        <v>160</v>
      </c>
      <c r="I601" t="s">
        <v>1008</v>
      </c>
      <c r="J601" t="s">
        <v>1009</v>
      </c>
      <c r="K601" s="1">
        <v>12</v>
      </c>
      <c r="M601" s="1" t="str">
        <f>VLOOKUP(D601,HORARIOS!B:H,7,0)</f>
        <v>Día 3</v>
      </c>
      <c r="N601" s="1">
        <f>VLOOKUP(D601,HORARIOS!B:I,8,0)</f>
        <v>18</v>
      </c>
      <c r="O601" s="9">
        <f>VLOOKUP(D601,HORARIOS!B:D,3,0)</f>
        <v>0.54166666666666663</v>
      </c>
      <c r="P601" s="9" t="str">
        <f>VLOOKUP(A601,HORARIOS!A:E,5,0)</f>
        <v>16:00 hrs</v>
      </c>
    </row>
    <row r="602" spans="1:16" ht="15.75" customHeight="1" x14ac:dyDescent="0.25"/>
    <row r="603" spans="1:16" ht="15.75" customHeight="1" x14ac:dyDescent="0.25"/>
    <row r="604" spans="1:16" ht="15.75" customHeight="1" x14ac:dyDescent="0.25"/>
    <row r="605" spans="1:16" ht="15.75" customHeight="1" x14ac:dyDescent="0.25"/>
    <row r="606" spans="1:16" ht="15.75" customHeight="1" x14ac:dyDescent="0.25"/>
    <row r="607" spans="1:16" ht="15.75" customHeight="1" x14ac:dyDescent="0.25"/>
    <row r="608" spans="1:16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P601"/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217"/>
  <sheetViews>
    <sheetView workbookViewId="0">
      <selection activeCell="E2" sqref="E2:E4"/>
    </sheetView>
  </sheetViews>
  <sheetFormatPr baseColWidth="10" defaultRowHeight="15" x14ac:dyDescent="0.25"/>
  <cols>
    <col min="1" max="1" width="5.140625" style="128" customWidth="1"/>
    <col min="2" max="2" width="27.140625" style="128" customWidth="1"/>
    <col min="3" max="3" width="13.140625" style="128" bestFit="1" customWidth="1"/>
    <col min="4" max="4" width="18.7109375" style="128" customWidth="1"/>
    <col min="5" max="5" width="77.140625" style="128" customWidth="1"/>
    <col min="6" max="16384" width="11.42578125" style="128"/>
  </cols>
  <sheetData>
    <row r="2" spans="1:12" ht="15.75" x14ac:dyDescent="0.25">
      <c r="E2" s="129" t="s">
        <v>2</v>
      </c>
      <c r="F2" s="130"/>
      <c r="G2" s="130"/>
      <c r="H2" s="130"/>
      <c r="I2" s="130"/>
      <c r="J2" s="130"/>
      <c r="K2" s="130"/>
      <c r="L2" s="130"/>
    </row>
    <row r="3" spans="1:12" ht="15.75" x14ac:dyDescent="0.25">
      <c r="E3" s="129" t="s">
        <v>3</v>
      </c>
      <c r="F3" s="130"/>
      <c r="G3" s="130"/>
      <c r="H3" s="130"/>
      <c r="I3" s="130"/>
      <c r="J3" s="130"/>
      <c r="K3" s="130"/>
      <c r="L3" s="130"/>
    </row>
    <row r="4" spans="1:12" ht="15.75" x14ac:dyDescent="0.25">
      <c r="E4" s="131" t="s">
        <v>7</v>
      </c>
      <c r="F4" s="132"/>
      <c r="G4" s="132"/>
      <c r="H4" s="132"/>
      <c r="I4" s="132"/>
      <c r="J4" s="132"/>
      <c r="K4" s="132"/>
      <c r="L4" s="132"/>
    </row>
    <row r="5" spans="1:12" x14ac:dyDescent="0.25">
      <c r="E5" s="133" t="s">
        <v>646</v>
      </c>
    </row>
    <row r="6" spans="1:12" ht="12" customHeight="1" x14ac:dyDescent="0.25">
      <c r="A6" s="191" t="str">
        <f>VLOOKUP(A9,[1]BD!C:D,2,0)</f>
        <v>Chalco de Diaz Covarrubias</v>
      </c>
      <c r="B6" s="191"/>
      <c r="C6" s="191"/>
      <c r="D6" s="191"/>
      <c r="E6" s="191"/>
    </row>
    <row r="7" spans="1:12" x14ac:dyDescent="0.25">
      <c r="A7" s="191"/>
      <c r="B7" s="191"/>
      <c r="C7" s="191"/>
      <c r="D7" s="191"/>
      <c r="E7" s="191"/>
    </row>
    <row r="8" spans="1:12" x14ac:dyDescent="0.25">
      <c r="A8" s="189" t="s">
        <v>21</v>
      </c>
      <c r="B8" s="189"/>
      <c r="C8" s="189"/>
      <c r="D8" s="189"/>
      <c r="E8" s="134" t="s">
        <v>23</v>
      </c>
    </row>
    <row r="9" spans="1:12" ht="34.5" customHeight="1" x14ac:dyDescent="0.25">
      <c r="A9" s="190">
        <v>6001</v>
      </c>
      <c r="B9" s="190"/>
      <c r="C9" s="190"/>
      <c r="D9" s="190"/>
      <c r="E9" s="135"/>
    </row>
    <row r="10" spans="1:12" ht="16.5" customHeight="1" x14ac:dyDescent="0.25">
      <c r="A10" s="136" t="s">
        <v>647</v>
      </c>
      <c r="B10" s="136" t="s">
        <v>24</v>
      </c>
      <c r="C10" s="136" t="s">
        <v>25</v>
      </c>
      <c r="D10" s="136" t="s">
        <v>648</v>
      </c>
      <c r="E10" s="136" t="s">
        <v>30</v>
      </c>
    </row>
    <row r="11" spans="1:12" ht="16.5" customHeight="1" x14ac:dyDescent="0.25">
      <c r="A11" s="136">
        <v>1</v>
      </c>
      <c r="B11" s="137" t="s">
        <v>37</v>
      </c>
      <c r="C11" s="137" t="s">
        <v>39</v>
      </c>
      <c r="D11" s="138" t="s">
        <v>40</v>
      </c>
      <c r="E11" s="135" t="s">
        <v>41</v>
      </c>
      <c r="F11" s="128" t="s">
        <v>649</v>
      </c>
      <c r="H11" s="128" t="s">
        <v>650</v>
      </c>
      <c r="J11" s="128" t="s">
        <v>651</v>
      </c>
    </row>
    <row r="12" spans="1:12" ht="16.5" customHeight="1" x14ac:dyDescent="0.25">
      <c r="A12" s="136">
        <v>2</v>
      </c>
      <c r="B12" s="137" t="s">
        <v>51</v>
      </c>
      <c r="C12" s="137" t="s">
        <v>52</v>
      </c>
      <c r="D12" s="138" t="s">
        <v>54</v>
      </c>
      <c r="E12" s="135"/>
    </row>
    <row r="13" spans="1:12" ht="16.5" customHeight="1" x14ac:dyDescent="0.25">
      <c r="A13" s="136">
        <v>3</v>
      </c>
      <c r="B13" s="137" t="s">
        <v>61</v>
      </c>
      <c r="C13" s="137" t="s">
        <v>62</v>
      </c>
      <c r="D13" s="138" t="s">
        <v>63</v>
      </c>
      <c r="E13" s="135" t="s">
        <v>64</v>
      </c>
    </row>
    <row r="14" spans="1:12" ht="16.5" customHeight="1" x14ac:dyDescent="0.25">
      <c r="A14" s="136">
        <v>4</v>
      </c>
      <c r="B14" s="137" t="s">
        <v>72</v>
      </c>
      <c r="C14" s="137" t="s">
        <v>73</v>
      </c>
      <c r="D14" s="138" t="s">
        <v>74</v>
      </c>
      <c r="E14" s="135"/>
    </row>
    <row r="15" spans="1:12" ht="16.5" customHeight="1" x14ac:dyDescent="0.25">
      <c r="A15" s="136">
        <v>5</v>
      </c>
      <c r="B15" s="137" t="s">
        <v>88</v>
      </c>
      <c r="C15" s="137" t="s">
        <v>90</v>
      </c>
      <c r="D15" s="138" t="s">
        <v>93</v>
      </c>
      <c r="E15" s="135"/>
    </row>
    <row r="16" spans="1:12" ht="16.5" customHeight="1" x14ac:dyDescent="0.25">
      <c r="A16" s="136">
        <v>6</v>
      </c>
      <c r="B16" s="137" t="s">
        <v>96</v>
      </c>
      <c r="C16" s="137" t="s">
        <v>62</v>
      </c>
      <c r="D16" s="138" t="s">
        <v>97</v>
      </c>
      <c r="E16" s="135"/>
    </row>
    <row r="17" spans="1:5" ht="16.5" customHeight="1" x14ac:dyDescent="0.25">
      <c r="A17" s="136">
        <v>7</v>
      </c>
      <c r="B17" s="137" t="s">
        <v>98</v>
      </c>
      <c r="C17" s="137" t="s">
        <v>99</v>
      </c>
      <c r="D17" s="138" t="s">
        <v>100</v>
      </c>
      <c r="E17" s="135" t="s">
        <v>101</v>
      </c>
    </row>
    <row r="18" spans="1:5" ht="16.5" customHeight="1" x14ac:dyDescent="0.25">
      <c r="A18" s="136">
        <v>8</v>
      </c>
      <c r="B18" s="137" t="s">
        <v>98</v>
      </c>
      <c r="C18" s="137" t="s">
        <v>99</v>
      </c>
      <c r="D18" s="138" t="s">
        <v>102</v>
      </c>
      <c r="E18" s="135" t="s">
        <v>101</v>
      </c>
    </row>
    <row r="19" spans="1:5" ht="16.5" customHeight="1" x14ac:dyDescent="0.25">
      <c r="A19" s="136">
        <v>9</v>
      </c>
      <c r="B19" s="137" t="s">
        <v>98</v>
      </c>
      <c r="C19" s="137" t="s">
        <v>99</v>
      </c>
      <c r="D19" s="138" t="s">
        <v>103</v>
      </c>
      <c r="E19" s="135" t="s">
        <v>101</v>
      </c>
    </row>
    <row r="20" spans="1:5" ht="16.5" customHeight="1" x14ac:dyDescent="0.25">
      <c r="A20" s="136">
        <v>10</v>
      </c>
      <c r="B20" s="137" t="s">
        <v>114</v>
      </c>
      <c r="C20" s="137" t="s">
        <v>39</v>
      </c>
      <c r="D20" s="138" t="s">
        <v>52</v>
      </c>
      <c r="E20" s="135" t="s">
        <v>115</v>
      </c>
    </row>
    <row r="21" spans="1:5" ht="29.25" customHeight="1" x14ac:dyDescent="0.25">
      <c r="A21" s="136">
        <v>11</v>
      </c>
      <c r="B21" s="137" t="s">
        <v>134</v>
      </c>
      <c r="C21" s="137" t="s">
        <v>135</v>
      </c>
      <c r="D21" s="138" t="s">
        <v>137</v>
      </c>
      <c r="E21" s="139" t="s">
        <v>138</v>
      </c>
    </row>
    <row r="22" spans="1:5" ht="16.5" customHeight="1" x14ac:dyDescent="0.25">
      <c r="A22" s="136">
        <v>12</v>
      </c>
      <c r="B22" s="137" t="s">
        <v>145</v>
      </c>
      <c r="C22" s="137" t="s">
        <v>52</v>
      </c>
      <c r="D22" s="138" t="s">
        <v>147</v>
      </c>
      <c r="E22" s="135"/>
    </row>
    <row r="23" spans="1:5" ht="16.5" customHeight="1" x14ac:dyDescent="0.25">
      <c r="A23" s="136">
        <v>13</v>
      </c>
      <c r="B23" s="137" t="s">
        <v>159</v>
      </c>
      <c r="C23" s="137" t="s">
        <v>160</v>
      </c>
      <c r="D23" s="138" t="s">
        <v>163</v>
      </c>
      <c r="E23" s="135"/>
    </row>
    <row r="24" spans="1:5" ht="16.5" customHeight="1" x14ac:dyDescent="0.25">
      <c r="A24" s="136"/>
      <c r="B24" s="136"/>
      <c r="C24" s="136"/>
      <c r="D24" s="140"/>
      <c r="E24" s="141"/>
    </row>
    <row r="31" spans="1:5" ht="15.75" x14ac:dyDescent="0.25">
      <c r="E31" s="129" t="s">
        <v>2</v>
      </c>
    </row>
    <row r="32" spans="1:5" ht="15.75" x14ac:dyDescent="0.25">
      <c r="E32" s="129" t="s">
        <v>3</v>
      </c>
    </row>
    <row r="33" spans="1:5" ht="15.75" x14ac:dyDescent="0.25">
      <c r="E33" s="131" t="s">
        <v>7</v>
      </c>
    </row>
    <row r="34" spans="1:5" x14ac:dyDescent="0.25">
      <c r="E34" s="133" t="s">
        <v>646</v>
      </c>
    </row>
    <row r="35" spans="1:5" x14ac:dyDescent="0.25">
      <c r="A35" s="191" t="str">
        <f>VLOOKUP(A38,[1]BD!C:D,2,0)</f>
        <v>Toluca de Lerdo</v>
      </c>
      <c r="B35" s="191"/>
      <c r="C35" s="191"/>
      <c r="D35" s="191"/>
      <c r="E35" s="191"/>
    </row>
    <row r="36" spans="1:5" x14ac:dyDescent="0.25">
      <c r="A36" s="191"/>
      <c r="B36" s="191"/>
      <c r="C36" s="191"/>
      <c r="D36" s="191"/>
      <c r="E36" s="191"/>
    </row>
    <row r="37" spans="1:5" x14ac:dyDescent="0.25">
      <c r="A37" s="189" t="s">
        <v>21</v>
      </c>
      <c r="B37" s="189"/>
      <c r="C37" s="189"/>
      <c r="D37" s="189"/>
      <c r="E37" s="134" t="s">
        <v>23</v>
      </c>
    </row>
    <row r="38" spans="1:5" ht="36" x14ac:dyDescent="0.25">
      <c r="A38" s="190">
        <v>6002</v>
      </c>
      <c r="B38" s="190"/>
      <c r="C38" s="190"/>
      <c r="D38" s="190"/>
      <c r="E38" s="135"/>
    </row>
    <row r="39" spans="1:5" x14ac:dyDescent="0.25">
      <c r="A39" s="136" t="s">
        <v>647</v>
      </c>
      <c r="B39" s="136" t="s">
        <v>24</v>
      </c>
      <c r="C39" s="136" t="s">
        <v>25</v>
      </c>
      <c r="D39" s="136" t="s">
        <v>648</v>
      </c>
      <c r="E39" s="136" t="s">
        <v>30</v>
      </c>
    </row>
    <row r="40" spans="1:5" ht="15.75" x14ac:dyDescent="0.25">
      <c r="A40" s="136">
        <v>1</v>
      </c>
      <c r="B40" s="137" t="s">
        <v>37</v>
      </c>
      <c r="C40" s="137" t="s">
        <v>39</v>
      </c>
      <c r="D40" s="138" t="s">
        <v>1015</v>
      </c>
      <c r="E40" s="135" t="s">
        <v>171</v>
      </c>
    </row>
    <row r="41" spans="1:5" ht="15.75" x14ac:dyDescent="0.25">
      <c r="A41" s="136">
        <v>2</v>
      </c>
      <c r="B41" s="137" t="s">
        <v>51</v>
      </c>
      <c r="C41" s="137" t="s">
        <v>52</v>
      </c>
      <c r="D41" s="138" t="s">
        <v>179</v>
      </c>
      <c r="E41" s="135"/>
    </row>
    <row r="42" spans="1:5" ht="15.75" x14ac:dyDescent="0.25">
      <c r="A42" s="136">
        <v>3</v>
      </c>
      <c r="B42" s="137" t="s">
        <v>61</v>
      </c>
      <c r="C42" s="137" t="s">
        <v>62</v>
      </c>
      <c r="D42" s="138" t="s">
        <v>183</v>
      </c>
      <c r="E42" s="135"/>
    </row>
    <row r="43" spans="1:5" ht="15.75" x14ac:dyDescent="0.25">
      <c r="A43" s="136">
        <v>4</v>
      </c>
      <c r="B43" s="137" t="s">
        <v>72</v>
      </c>
      <c r="C43" s="137" t="s">
        <v>73</v>
      </c>
      <c r="D43" s="138" t="s">
        <v>185</v>
      </c>
      <c r="E43" s="135"/>
    </row>
    <row r="44" spans="1:5" ht="15.75" x14ac:dyDescent="0.25">
      <c r="A44" s="136">
        <v>5</v>
      </c>
      <c r="B44" s="137" t="s">
        <v>88</v>
      </c>
      <c r="C44" s="137" t="s">
        <v>90</v>
      </c>
      <c r="D44" s="138" t="s">
        <v>186</v>
      </c>
      <c r="E44" s="135"/>
    </row>
    <row r="45" spans="1:5" ht="15.75" x14ac:dyDescent="0.25">
      <c r="A45" s="136">
        <v>6</v>
      </c>
      <c r="B45" s="137" t="s">
        <v>96</v>
      </c>
      <c r="C45" s="137" t="s">
        <v>62</v>
      </c>
      <c r="D45" s="138" t="s">
        <v>188</v>
      </c>
      <c r="E45" s="135"/>
    </row>
    <row r="46" spans="1:5" ht="15.75" x14ac:dyDescent="0.25">
      <c r="A46" s="136">
        <v>7</v>
      </c>
      <c r="B46" s="137" t="s">
        <v>98</v>
      </c>
      <c r="C46" s="137" t="s">
        <v>99</v>
      </c>
      <c r="D46" s="138" t="s">
        <v>189</v>
      </c>
      <c r="E46" s="135" t="s">
        <v>101</v>
      </c>
    </row>
    <row r="47" spans="1:5" ht="15.75" x14ac:dyDescent="0.25">
      <c r="A47" s="136">
        <v>8</v>
      </c>
      <c r="B47" s="137" t="s">
        <v>98</v>
      </c>
      <c r="C47" s="137" t="s">
        <v>99</v>
      </c>
      <c r="D47" s="138" t="s">
        <v>190</v>
      </c>
      <c r="E47" s="135" t="s">
        <v>101</v>
      </c>
    </row>
    <row r="48" spans="1:5" ht="15.75" x14ac:dyDescent="0.25">
      <c r="A48" s="136">
        <v>9</v>
      </c>
      <c r="B48" s="137" t="s">
        <v>114</v>
      </c>
      <c r="C48" s="137" t="s">
        <v>39</v>
      </c>
      <c r="D48" s="138" t="s">
        <v>52</v>
      </c>
      <c r="E48" s="135" t="s">
        <v>115</v>
      </c>
    </row>
    <row r="49" spans="1:5" ht="31.5" customHeight="1" x14ac:dyDescent="0.25">
      <c r="A49" s="136">
        <v>10</v>
      </c>
      <c r="B49" s="137" t="s">
        <v>134</v>
      </c>
      <c r="C49" s="137" t="s">
        <v>135</v>
      </c>
      <c r="D49" s="138" t="s">
        <v>192</v>
      </c>
      <c r="E49" s="139" t="s">
        <v>138</v>
      </c>
    </row>
    <row r="50" spans="1:5" ht="15.75" x14ac:dyDescent="0.25">
      <c r="A50" s="136">
        <v>11</v>
      </c>
      <c r="B50" s="137" t="s">
        <v>145</v>
      </c>
      <c r="C50" s="137" t="s">
        <v>52</v>
      </c>
      <c r="D50" s="138" t="s">
        <v>193</v>
      </c>
      <c r="E50" s="139"/>
    </row>
    <row r="51" spans="1:5" ht="15.75" x14ac:dyDescent="0.25">
      <c r="A51" s="136">
        <v>12</v>
      </c>
      <c r="B51" s="137" t="s">
        <v>159</v>
      </c>
      <c r="C51" s="137" t="s">
        <v>160</v>
      </c>
      <c r="D51" s="138" t="s">
        <v>194</v>
      </c>
      <c r="E51" s="135"/>
    </row>
    <row r="52" spans="1:5" ht="15.75" x14ac:dyDescent="0.25">
      <c r="A52" s="136"/>
      <c r="B52" s="136"/>
      <c r="C52" s="136"/>
      <c r="D52" s="140"/>
      <c r="E52" s="141"/>
    </row>
    <row r="56" spans="1:5" ht="15.75" x14ac:dyDescent="0.25">
      <c r="E56" s="129" t="s">
        <v>2</v>
      </c>
    </row>
    <row r="57" spans="1:5" ht="15.75" x14ac:dyDescent="0.25">
      <c r="E57" s="129" t="s">
        <v>3</v>
      </c>
    </row>
    <row r="58" spans="1:5" ht="15.75" x14ac:dyDescent="0.25">
      <c r="E58" s="131" t="s">
        <v>7</v>
      </c>
    </row>
    <row r="59" spans="1:5" x14ac:dyDescent="0.25">
      <c r="E59" s="133" t="s">
        <v>646</v>
      </c>
    </row>
    <row r="60" spans="1:5" x14ac:dyDescent="0.25">
      <c r="A60" s="191" t="str">
        <f>VLOOKUP(A63,[1]BD!C:D,2,0)</f>
        <v>Chimaihuacan</v>
      </c>
      <c r="B60" s="191"/>
      <c r="C60" s="191"/>
      <c r="D60" s="191"/>
      <c r="E60" s="191"/>
    </row>
    <row r="61" spans="1:5" x14ac:dyDescent="0.25">
      <c r="A61" s="191"/>
      <c r="B61" s="191"/>
      <c r="C61" s="191"/>
      <c r="D61" s="191"/>
      <c r="E61" s="191"/>
    </row>
    <row r="62" spans="1:5" x14ac:dyDescent="0.25">
      <c r="A62" s="189" t="s">
        <v>21</v>
      </c>
      <c r="B62" s="189"/>
      <c r="C62" s="189"/>
      <c r="D62" s="189"/>
      <c r="E62" s="134" t="s">
        <v>23</v>
      </c>
    </row>
    <row r="63" spans="1:5" ht="36" x14ac:dyDescent="0.25">
      <c r="A63" s="190">
        <v>6003</v>
      </c>
      <c r="B63" s="190"/>
      <c r="C63" s="190"/>
      <c r="D63" s="190"/>
      <c r="E63" s="135"/>
    </row>
    <row r="64" spans="1:5" x14ac:dyDescent="0.25">
      <c r="A64" s="136" t="s">
        <v>647</v>
      </c>
      <c r="B64" s="136" t="s">
        <v>24</v>
      </c>
      <c r="C64" s="136" t="s">
        <v>25</v>
      </c>
      <c r="D64" s="136" t="s">
        <v>648</v>
      </c>
      <c r="E64" s="136" t="s">
        <v>30</v>
      </c>
    </row>
    <row r="65" spans="1:5" ht="15.75" x14ac:dyDescent="0.25">
      <c r="A65" s="136">
        <v>1</v>
      </c>
      <c r="B65" s="137" t="s">
        <v>37</v>
      </c>
      <c r="C65" s="137" t="s">
        <v>39</v>
      </c>
      <c r="D65" s="138" t="s">
        <v>195</v>
      </c>
      <c r="E65" s="135" t="s">
        <v>41</v>
      </c>
    </row>
    <row r="66" spans="1:5" ht="15.75" x14ac:dyDescent="0.25">
      <c r="A66" s="136">
        <v>2</v>
      </c>
      <c r="B66" s="137" t="s">
        <v>51</v>
      </c>
      <c r="C66" s="137" t="s">
        <v>52</v>
      </c>
      <c r="D66" s="138" t="s">
        <v>196</v>
      </c>
      <c r="E66" s="135"/>
    </row>
    <row r="67" spans="1:5" ht="15.75" x14ac:dyDescent="0.25">
      <c r="A67" s="136">
        <v>3</v>
      </c>
      <c r="B67" s="137" t="s">
        <v>61</v>
      </c>
      <c r="C67" s="137" t="s">
        <v>62</v>
      </c>
      <c r="D67" s="138" t="s">
        <v>197</v>
      </c>
      <c r="E67" s="135" t="s">
        <v>64</v>
      </c>
    </row>
    <row r="68" spans="1:5" ht="15.75" x14ac:dyDescent="0.25">
      <c r="A68" s="136">
        <v>4</v>
      </c>
      <c r="B68" s="137" t="s">
        <v>72</v>
      </c>
      <c r="C68" s="137" t="s">
        <v>73</v>
      </c>
      <c r="D68" s="138" t="s">
        <v>198</v>
      </c>
      <c r="E68" s="135"/>
    </row>
    <row r="69" spans="1:5" ht="15.75" x14ac:dyDescent="0.25">
      <c r="A69" s="136">
        <v>5</v>
      </c>
      <c r="B69" s="137" t="s">
        <v>88</v>
      </c>
      <c r="C69" s="137" t="s">
        <v>90</v>
      </c>
      <c r="D69" s="138" t="s">
        <v>199</v>
      </c>
      <c r="E69" s="135"/>
    </row>
    <row r="70" spans="1:5" ht="15.75" x14ac:dyDescent="0.25">
      <c r="A70" s="136">
        <v>6</v>
      </c>
      <c r="B70" s="137" t="s">
        <v>96</v>
      </c>
      <c r="C70" s="137" t="s">
        <v>62</v>
      </c>
      <c r="D70" s="138" t="s">
        <v>200</v>
      </c>
      <c r="E70" s="135"/>
    </row>
    <row r="71" spans="1:5" ht="15.75" x14ac:dyDescent="0.25">
      <c r="A71" s="136">
        <v>7</v>
      </c>
      <c r="B71" s="137" t="s">
        <v>98</v>
      </c>
      <c r="C71" s="137" t="s">
        <v>99</v>
      </c>
      <c r="D71" s="138" t="s">
        <v>201</v>
      </c>
      <c r="E71" s="135" t="s">
        <v>101</v>
      </c>
    </row>
    <row r="72" spans="1:5" ht="15.75" x14ac:dyDescent="0.25">
      <c r="A72" s="136">
        <v>8</v>
      </c>
      <c r="B72" s="137" t="s">
        <v>98</v>
      </c>
      <c r="C72" s="137" t="s">
        <v>99</v>
      </c>
      <c r="D72" s="138" t="s">
        <v>202</v>
      </c>
      <c r="E72" s="135" t="s">
        <v>101</v>
      </c>
    </row>
    <row r="73" spans="1:5" ht="15.75" x14ac:dyDescent="0.25">
      <c r="A73" s="136">
        <v>9</v>
      </c>
      <c r="B73" s="137" t="s">
        <v>98</v>
      </c>
      <c r="C73" s="137" t="s">
        <v>99</v>
      </c>
      <c r="D73" s="138" t="s">
        <v>203</v>
      </c>
      <c r="E73" s="135" t="s">
        <v>101</v>
      </c>
    </row>
    <row r="74" spans="1:5" ht="15.75" x14ac:dyDescent="0.25">
      <c r="A74" s="136">
        <v>10</v>
      </c>
      <c r="B74" s="137" t="s">
        <v>98</v>
      </c>
      <c r="C74" s="137" t="s">
        <v>99</v>
      </c>
      <c r="D74" s="138" t="s">
        <v>204</v>
      </c>
      <c r="E74" s="135" t="s">
        <v>101</v>
      </c>
    </row>
    <row r="75" spans="1:5" ht="15.75" x14ac:dyDescent="0.25">
      <c r="A75" s="136">
        <v>11</v>
      </c>
      <c r="B75" s="137" t="s">
        <v>98</v>
      </c>
      <c r="C75" s="137" t="s">
        <v>99</v>
      </c>
      <c r="D75" s="138" t="s">
        <v>205</v>
      </c>
      <c r="E75" s="139" t="s">
        <v>101</v>
      </c>
    </row>
    <row r="76" spans="1:5" ht="15.75" x14ac:dyDescent="0.25">
      <c r="A76" s="136">
        <v>12</v>
      </c>
      <c r="B76" s="137" t="s">
        <v>98</v>
      </c>
      <c r="C76" s="137" t="s">
        <v>99</v>
      </c>
      <c r="D76" s="138" t="s">
        <v>206</v>
      </c>
      <c r="E76" s="139" t="s">
        <v>101</v>
      </c>
    </row>
    <row r="77" spans="1:5" ht="15.75" x14ac:dyDescent="0.25">
      <c r="A77" s="136">
        <v>13</v>
      </c>
      <c r="B77" s="137" t="s">
        <v>98</v>
      </c>
      <c r="C77" s="137" t="s">
        <v>99</v>
      </c>
      <c r="D77" s="138" t="s">
        <v>207</v>
      </c>
      <c r="E77" s="139" t="s">
        <v>101</v>
      </c>
    </row>
    <row r="78" spans="1:5" ht="15.75" x14ac:dyDescent="0.25">
      <c r="A78" s="136">
        <v>14</v>
      </c>
      <c r="B78" s="137" t="s">
        <v>114</v>
      </c>
      <c r="C78" s="137" t="s">
        <v>39</v>
      </c>
      <c r="D78" s="138" t="s">
        <v>52</v>
      </c>
      <c r="E78" s="139" t="s">
        <v>115</v>
      </c>
    </row>
    <row r="79" spans="1:5" ht="30" x14ac:dyDescent="0.25">
      <c r="A79" s="136">
        <v>15</v>
      </c>
      <c r="B79" s="137" t="s">
        <v>134</v>
      </c>
      <c r="C79" s="137" t="s">
        <v>135</v>
      </c>
      <c r="D79" s="138" t="s">
        <v>209</v>
      </c>
      <c r="E79" s="139" t="s">
        <v>138</v>
      </c>
    </row>
    <row r="80" spans="1:5" ht="15.75" x14ac:dyDescent="0.25">
      <c r="A80" s="136">
        <v>16</v>
      </c>
      <c r="B80" s="137" t="s">
        <v>145</v>
      </c>
      <c r="C80" s="137" t="s">
        <v>52</v>
      </c>
      <c r="D80" s="138" t="s">
        <v>210</v>
      </c>
      <c r="E80" s="139"/>
    </row>
    <row r="81" spans="1:5" ht="15.75" x14ac:dyDescent="0.25">
      <c r="A81" s="136">
        <v>17</v>
      </c>
      <c r="B81" s="137" t="s">
        <v>159</v>
      </c>
      <c r="C81" s="137" t="s">
        <v>160</v>
      </c>
      <c r="D81" s="138" t="s">
        <v>211</v>
      </c>
      <c r="E81" s="139"/>
    </row>
    <row r="82" spans="1:5" x14ac:dyDescent="0.25">
      <c r="A82" s="136"/>
      <c r="B82" s="136"/>
      <c r="C82" s="136"/>
      <c r="D82" s="136"/>
      <c r="E82" s="136"/>
    </row>
    <row r="87" spans="1:5" ht="15.75" x14ac:dyDescent="0.25">
      <c r="E87" s="129" t="s">
        <v>2</v>
      </c>
    </row>
    <row r="88" spans="1:5" ht="15.75" x14ac:dyDescent="0.25">
      <c r="E88" s="129" t="s">
        <v>3</v>
      </c>
    </row>
    <row r="89" spans="1:5" ht="15.75" x14ac:dyDescent="0.25">
      <c r="E89" s="131" t="s">
        <v>7</v>
      </c>
    </row>
    <row r="90" spans="1:5" x14ac:dyDescent="0.25">
      <c r="E90" s="133" t="s">
        <v>646</v>
      </c>
    </row>
    <row r="91" spans="1:5" x14ac:dyDescent="0.25">
      <c r="A91" s="191" t="str">
        <f>VLOOKUP(A94,[1]BD!C:D,2,0)</f>
        <v>Lerma de Villada</v>
      </c>
      <c r="B91" s="191"/>
      <c r="C91" s="191"/>
      <c r="D91" s="191"/>
      <c r="E91" s="191"/>
    </row>
    <row r="92" spans="1:5" x14ac:dyDescent="0.25">
      <c r="A92" s="191"/>
      <c r="B92" s="191"/>
      <c r="C92" s="191"/>
      <c r="D92" s="191"/>
      <c r="E92" s="191"/>
    </row>
    <row r="93" spans="1:5" x14ac:dyDescent="0.25">
      <c r="A93" s="189" t="s">
        <v>21</v>
      </c>
      <c r="B93" s="189"/>
      <c r="C93" s="189"/>
      <c r="D93" s="189"/>
      <c r="E93" s="134" t="s">
        <v>23</v>
      </c>
    </row>
    <row r="94" spans="1:5" ht="36" x14ac:dyDescent="0.25">
      <c r="A94" s="190">
        <v>6004</v>
      </c>
      <c r="B94" s="190"/>
      <c r="C94" s="190"/>
      <c r="D94" s="190"/>
      <c r="E94" s="135"/>
    </row>
    <row r="95" spans="1:5" x14ac:dyDescent="0.25">
      <c r="A95" s="136" t="s">
        <v>647</v>
      </c>
      <c r="B95" s="136" t="s">
        <v>24</v>
      </c>
      <c r="C95" s="136" t="s">
        <v>25</v>
      </c>
      <c r="D95" s="136" t="s">
        <v>648</v>
      </c>
      <c r="E95" s="136" t="s">
        <v>30</v>
      </c>
    </row>
    <row r="96" spans="1:5" ht="15.75" x14ac:dyDescent="0.25">
      <c r="A96" s="136">
        <v>1</v>
      </c>
      <c r="B96" s="137" t="s">
        <v>37</v>
      </c>
      <c r="C96" s="137" t="s">
        <v>39</v>
      </c>
      <c r="D96" s="138" t="s">
        <v>212</v>
      </c>
      <c r="E96" s="135" t="s">
        <v>41</v>
      </c>
    </row>
    <row r="97" spans="1:5" ht="15.75" x14ac:dyDescent="0.25">
      <c r="A97" s="136">
        <v>2</v>
      </c>
      <c r="B97" s="137" t="s">
        <v>51</v>
      </c>
      <c r="C97" s="137" t="s">
        <v>52</v>
      </c>
      <c r="D97" s="138" t="s">
        <v>213</v>
      </c>
      <c r="E97" s="135"/>
    </row>
    <row r="98" spans="1:5" ht="15.75" x14ac:dyDescent="0.25">
      <c r="A98" s="136">
        <v>3</v>
      </c>
      <c r="B98" s="137" t="s">
        <v>61</v>
      </c>
      <c r="C98" s="137" t="s">
        <v>62</v>
      </c>
      <c r="D98" s="138" t="s">
        <v>215</v>
      </c>
      <c r="E98" s="135" t="s">
        <v>64</v>
      </c>
    </row>
    <row r="99" spans="1:5" ht="15.75" x14ac:dyDescent="0.25">
      <c r="A99" s="136">
        <v>4</v>
      </c>
      <c r="B99" s="137" t="s">
        <v>72</v>
      </c>
      <c r="C99" s="137" t="s">
        <v>73</v>
      </c>
      <c r="D99" s="138" t="s">
        <v>216</v>
      </c>
      <c r="E99" s="135"/>
    </row>
    <row r="100" spans="1:5" ht="15.75" x14ac:dyDescent="0.25">
      <c r="A100" s="136">
        <v>5</v>
      </c>
      <c r="B100" s="137" t="s">
        <v>88</v>
      </c>
      <c r="C100" s="137" t="s">
        <v>90</v>
      </c>
      <c r="D100" s="138" t="s">
        <v>217</v>
      </c>
      <c r="E100" s="135"/>
    </row>
    <row r="101" spans="1:5" ht="15.75" x14ac:dyDescent="0.25">
      <c r="A101" s="136">
        <v>6</v>
      </c>
      <c r="B101" s="137" t="s">
        <v>96</v>
      </c>
      <c r="C101" s="137" t="s">
        <v>62</v>
      </c>
      <c r="D101" s="138" t="s">
        <v>219</v>
      </c>
      <c r="E101" s="135"/>
    </row>
    <row r="102" spans="1:5" ht="15.75" x14ac:dyDescent="0.25">
      <c r="A102" s="136">
        <v>7</v>
      </c>
      <c r="B102" s="137" t="s">
        <v>98</v>
      </c>
      <c r="C102" s="137" t="s">
        <v>99</v>
      </c>
      <c r="D102" s="138" t="s">
        <v>220</v>
      </c>
      <c r="E102" s="135" t="s">
        <v>101</v>
      </c>
    </row>
    <row r="103" spans="1:5" ht="15.75" x14ac:dyDescent="0.25">
      <c r="A103" s="136">
        <v>8</v>
      </c>
      <c r="B103" s="137" t="s">
        <v>98</v>
      </c>
      <c r="C103" s="137" t="s">
        <v>99</v>
      </c>
      <c r="D103" s="138" t="s">
        <v>221</v>
      </c>
      <c r="E103" s="135" t="s">
        <v>101</v>
      </c>
    </row>
    <row r="104" spans="1:5" ht="15.75" x14ac:dyDescent="0.25">
      <c r="A104" s="136">
        <v>9</v>
      </c>
      <c r="B104" s="137" t="s">
        <v>114</v>
      </c>
      <c r="C104" s="137" t="s">
        <v>39</v>
      </c>
      <c r="D104" s="138" t="s">
        <v>52</v>
      </c>
      <c r="E104" s="135" t="s">
        <v>115</v>
      </c>
    </row>
    <row r="105" spans="1:5" ht="15.75" x14ac:dyDescent="0.25">
      <c r="A105" s="136">
        <v>10</v>
      </c>
      <c r="B105" s="137" t="s">
        <v>134</v>
      </c>
      <c r="C105" s="137" t="s">
        <v>135</v>
      </c>
      <c r="D105" s="138" t="s">
        <v>222</v>
      </c>
      <c r="E105" s="135" t="s">
        <v>223</v>
      </c>
    </row>
    <row r="106" spans="1:5" ht="15.75" x14ac:dyDescent="0.25">
      <c r="A106" s="136">
        <v>11</v>
      </c>
      <c r="B106" s="137" t="s">
        <v>145</v>
      </c>
      <c r="C106" s="137" t="s">
        <v>52</v>
      </c>
      <c r="D106" s="138" t="s">
        <v>224</v>
      </c>
      <c r="E106" s="139"/>
    </row>
    <row r="107" spans="1:5" ht="15.75" x14ac:dyDescent="0.25">
      <c r="A107" s="136">
        <v>12</v>
      </c>
      <c r="B107" s="137" t="s">
        <v>159</v>
      </c>
      <c r="C107" s="137" t="s">
        <v>160</v>
      </c>
      <c r="D107" s="138" t="s">
        <v>225</v>
      </c>
      <c r="E107" s="135"/>
    </row>
    <row r="108" spans="1:5" ht="15.75" x14ac:dyDescent="0.25">
      <c r="A108" s="136"/>
      <c r="B108" s="136"/>
      <c r="C108" s="136"/>
      <c r="D108" s="140"/>
      <c r="E108" s="141"/>
    </row>
    <row r="112" spans="1:5" ht="15.75" x14ac:dyDescent="0.25">
      <c r="E112" s="129" t="s">
        <v>2</v>
      </c>
    </row>
    <row r="113" spans="1:5" ht="15.75" x14ac:dyDescent="0.25">
      <c r="E113" s="129" t="s">
        <v>3</v>
      </c>
    </row>
    <row r="114" spans="1:5" ht="15.75" x14ac:dyDescent="0.25">
      <c r="E114" s="131" t="s">
        <v>7</v>
      </c>
    </row>
    <row r="115" spans="1:5" x14ac:dyDescent="0.25">
      <c r="E115" s="133" t="s">
        <v>646</v>
      </c>
    </row>
    <row r="116" spans="1:5" x14ac:dyDescent="0.25">
      <c r="A116" s="191" t="str">
        <f>VLOOKUP(A119,[1]BD!C:D,2,0)</f>
        <v>Chimalhuacan</v>
      </c>
      <c r="B116" s="191"/>
      <c r="C116" s="191"/>
      <c r="D116" s="191"/>
      <c r="E116" s="191"/>
    </row>
    <row r="117" spans="1:5" x14ac:dyDescent="0.25">
      <c r="A117" s="191"/>
      <c r="B117" s="191"/>
      <c r="C117" s="191"/>
      <c r="D117" s="191"/>
      <c r="E117" s="191"/>
    </row>
    <row r="118" spans="1:5" x14ac:dyDescent="0.25">
      <c r="A118" s="189" t="s">
        <v>21</v>
      </c>
      <c r="B118" s="189"/>
      <c r="C118" s="189"/>
      <c r="D118" s="189"/>
      <c r="E118" s="134" t="s">
        <v>23</v>
      </c>
    </row>
    <row r="119" spans="1:5" ht="36" x14ac:dyDescent="0.25">
      <c r="A119" s="190">
        <v>6005</v>
      </c>
      <c r="B119" s="190"/>
      <c r="C119" s="190"/>
      <c r="D119" s="190"/>
      <c r="E119" s="135"/>
    </row>
    <row r="120" spans="1:5" x14ac:dyDescent="0.25">
      <c r="A120" s="136" t="s">
        <v>647</v>
      </c>
      <c r="B120" s="136" t="s">
        <v>24</v>
      </c>
      <c r="C120" s="136" t="s">
        <v>25</v>
      </c>
      <c r="D120" s="136" t="s">
        <v>648</v>
      </c>
      <c r="E120" s="136" t="s">
        <v>30</v>
      </c>
    </row>
    <row r="121" spans="1:5" ht="15.75" x14ac:dyDescent="0.25">
      <c r="A121" s="136">
        <v>1</v>
      </c>
      <c r="B121" s="137" t="s">
        <v>37</v>
      </c>
      <c r="C121" s="137" t="s">
        <v>39</v>
      </c>
      <c r="D121" s="138" t="s">
        <v>226</v>
      </c>
      <c r="E121" s="135" t="s">
        <v>41</v>
      </c>
    </row>
    <row r="122" spans="1:5" ht="15.75" x14ac:dyDescent="0.25">
      <c r="A122" s="136">
        <v>2</v>
      </c>
      <c r="B122" s="137" t="s">
        <v>51</v>
      </c>
      <c r="C122" s="137" t="s">
        <v>52</v>
      </c>
      <c r="D122" s="138" t="s">
        <v>227</v>
      </c>
      <c r="E122" s="135"/>
    </row>
    <row r="123" spans="1:5" ht="15.75" x14ac:dyDescent="0.25">
      <c r="A123" s="136">
        <v>3</v>
      </c>
      <c r="B123" s="137" t="s">
        <v>61</v>
      </c>
      <c r="C123" s="137" t="s">
        <v>62</v>
      </c>
      <c r="D123" s="138" t="s">
        <v>229</v>
      </c>
      <c r="E123" s="135" t="s">
        <v>64</v>
      </c>
    </row>
    <row r="124" spans="1:5" ht="15.75" x14ac:dyDescent="0.25">
      <c r="A124" s="136">
        <v>4</v>
      </c>
      <c r="B124" s="137" t="s">
        <v>72</v>
      </c>
      <c r="C124" s="137" t="s">
        <v>73</v>
      </c>
      <c r="D124" s="138" t="s">
        <v>230</v>
      </c>
      <c r="E124" s="135"/>
    </row>
    <row r="125" spans="1:5" ht="15.75" x14ac:dyDescent="0.25">
      <c r="A125" s="136">
        <v>5</v>
      </c>
      <c r="B125" s="137" t="s">
        <v>88</v>
      </c>
      <c r="C125" s="137" t="s">
        <v>90</v>
      </c>
      <c r="D125" s="138" t="s">
        <v>231</v>
      </c>
      <c r="E125" s="135"/>
    </row>
    <row r="126" spans="1:5" ht="15.75" x14ac:dyDescent="0.25">
      <c r="A126" s="136">
        <v>6</v>
      </c>
      <c r="B126" s="137" t="s">
        <v>96</v>
      </c>
      <c r="C126" s="137" t="s">
        <v>62</v>
      </c>
      <c r="D126" s="138" t="s">
        <v>233</v>
      </c>
      <c r="E126" s="135"/>
    </row>
    <row r="127" spans="1:5" ht="15.75" x14ac:dyDescent="0.25">
      <c r="A127" s="136">
        <v>7</v>
      </c>
      <c r="B127" s="137" t="s">
        <v>98</v>
      </c>
      <c r="C127" s="137" t="s">
        <v>99</v>
      </c>
      <c r="D127" s="138" t="s">
        <v>234</v>
      </c>
      <c r="E127" s="135" t="s">
        <v>101</v>
      </c>
    </row>
    <row r="128" spans="1:5" ht="15.75" x14ac:dyDescent="0.25">
      <c r="A128" s="136">
        <v>8</v>
      </c>
      <c r="B128" s="137" t="s">
        <v>98</v>
      </c>
      <c r="C128" s="137" t="s">
        <v>99</v>
      </c>
      <c r="D128" s="138" t="s">
        <v>235</v>
      </c>
      <c r="E128" s="135" t="s">
        <v>101</v>
      </c>
    </row>
    <row r="129" spans="1:5" ht="15.75" x14ac:dyDescent="0.25">
      <c r="A129" s="136">
        <v>9</v>
      </c>
      <c r="B129" s="137" t="s">
        <v>98</v>
      </c>
      <c r="C129" s="137" t="s">
        <v>99</v>
      </c>
      <c r="D129" s="138" t="s">
        <v>236</v>
      </c>
      <c r="E129" s="135" t="s">
        <v>101</v>
      </c>
    </row>
    <row r="130" spans="1:5" ht="15.75" x14ac:dyDescent="0.25">
      <c r="A130" s="136">
        <v>10</v>
      </c>
      <c r="B130" s="137" t="s">
        <v>114</v>
      </c>
      <c r="C130" s="137" t="s">
        <v>39</v>
      </c>
      <c r="D130" s="138" t="s">
        <v>52</v>
      </c>
      <c r="E130" s="135" t="s">
        <v>115</v>
      </c>
    </row>
    <row r="131" spans="1:5" ht="30" x14ac:dyDescent="0.25">
      <c r="A131" s="136">
        <v>11</v>
      </c>
      <c r="B131" s="137" t="s">
        <v>134</v>
      </c>
      <c r="C131" s="137" t="s">
        <v>135</v>
      </c>
      <c r="D131" s="138" t="s">
        <v>237</v>
      </c>
      <c r="E131" s="139" t="s">
        <v>138</v>
      </c>
    </row>
    <row r="132" spans="1:5" ht="15.75" x14ac:dyDescent="0.25">
      <c r="A132" s="136">
        <v>12</v>
      </c>
      <c r="B132" s="137" t="s">
        <v>145</v>
      </c>
      <c r="C132" s="137" t="s">
        <v>52</v>
      </c>
      <c r="D132" s="138" t="s">
        <v>238</v>
      </c>
      <c r="E132" s="139"/>
    </row>
    <row r="133" spans="1:5" ht="15.75" x14ac:dyDescent="0.25">
      <c r="A133" s="136">
        <v>13</v>
      </c>
      <c r="B133" s="137" t="s">
        <v>159</v>
      </c>
      <c r="C133" s="137" t="s">
        <v>160</v>
      </c>
      <c r="D133" s="138" t="s">
        <v>239</v>
      </c>
      <c r="E133" s="139"/>
    </row>
    <row r="134" spans="1:5" ht="15.75" x14ac:dyDescent="0.25">
      <c r="A134" s="136"/>
      <c r="B134" s="136"/>
      <c r="C134" s="136"/>
      <c r="D134" s="140"/>
      <c r="E134" s="141"/>
    </row>
    <row r="138" spans="1:5" ht="15.75" x14ac:dyDescent="0.25">
      <c r="E138" s="129" t="s">
        <v>2</v>
      </c>
    </row>
    <row r="139" spans="1:5" ht="15.75" x14ac:dyDescent="0.25">
      <c r="E139" s="129" t="s">
        <v>3</v>
      </c>
    </row>
    <row r="140" spans="1:5" ht="15.75" x14ac:dyDescent="0.25">
      <c r="E140" s="131" t="s">
        <v>7</v>
      </c>
    </row>
    <row r="141" spans="1:5" x14ac:dyDescent="0.25">
      <c r="E141" s="133" t="s">
        <v>646</v>
      </c>
    </row>
    <row r="142" spans="1:5" x14ac:dyDescent="0.25">
      <c r="A142" s="191" t="str">
        <f>VLOOKUP(A145,[1]BD!C:D,2,0)</f>
        <v>Ecatepec de Morelos</v>
      </c>
      <c r="B142" s="191"/>
      <c r="C142" s="191"/>
      <c r="D142" s="191"/>
      <c r="E142" s="191"/>
    </row>
    <row r="143" spans="1:5" x14ac:dyDescent="0.25">
      <c r="A143" s="191"/>
      <c r="B143" s="191"/>
      <c r="C143" s="191"/>
      <c r="D143" s="191"/>
      <c r="E143" s="191"/>
    </row>
    <row r="144" spans="1:5" x14ac:dyDescent="0.25">
      <c r="A144" s="189" t="s">
        <v>21</v>
      </c>
      <c r="B144" s="189"/>
      <c r="C144" s="189"/>
      <c r="D144" s="189"/>
      <c r="E144" s="134" t="s">
        <v>23</v>
      </c>
    </row>
    <row r="145" spans="1:5" ht="36" x14ac:dyDescent="0.25">
      <c r="A145" s="190">
        <v>6006</v>
      </c>
      <c r="B145" s="190"/>
      <c r="C145" s="190"/>
      <c r="D145" s="190"/>
      <c r="E145" s="135"/>
    </row>
    <row r="146" spans="1:5" x14ac:dyDescent="0.25">
      <c r="A146" s="136" t="s">
        <v>647</v>
      </c>
      <c r="B146" s="136" t="s">
        <v>24</v>
      </c>
      <c r="C146" s="136" t="s">
        <v>25</v>
      </c>
      <c r="D146" s="136" t="s">
        <v>648</v>
      </c>
      <c r="E146" s="136" t="s">
        <v>30</v>
      </c>
    </row>
    <row r="147" spans="1:5" ht="15.75" x14ac:dyDescent="0.25">
      <c r="A147" s="136">
        <v>1</v>
      </c>
      <c r="B147" s="137" t="s">
        <v>37</v>
      </c>
      <c r="C147" s="137" t="s">
        <v>39</v>
      </c>
      <c r="D147" s="138" t="s">
        <v>240</v>
      </c>
      <c r="E147" s="135" t="s">
        <v>41</v>
      </c>
    </row>
    <row r="148" spans="1:5" ht="15.75" x14ac:dyDescent="0.25">
      <c r="A148" s="136">
        <v>2</v>
      </c>
      <c r="B148" s="137" t="s">
        <v>51</v>
      </c>
      <c r="C148" s="137" t="s">
        <v>52</v>
      </c>
      <c r="D148" s="138" t="s">
        <v>241</v>
      </c>
      <c r="E148" s="135"/>
    </row>
    <row r="149" spans="1:5" ht="15.75" x14ac:dyDescent="0.25">
      <c r="A149" s="136">
        <v>3</v>
      </c>
      <c r="B149" s="137" t="s">
        <v>61</v>
      </c>
      <c r="C149" s="137" t="s">
        <v>62</v>
      </c>
      <c r="D149" s="138" t="s">
        <v>243</v>
      </c>
      <c r="E149" s="135" t="s">
        <v>64</v>
      </c>
    </row>
    <row r="150" spans="1:5" ht="15.75" x14ac:dyDescent="0.25">
      <c r="A150" s="136">
        <v>4</v>
      </c>
      <c r="B150" s="137" t="s">
        <v>72</v>
      </c>
      <c r="C150" s="137" t="s">
        <v>73</v>
      </c>
      <c r="D150" s="138" t="s">
        <v>245</v>
      </c>
      <c r="E150" s="135"/>
    </row>
    <row r="151" spans="1:5" ht="15.75" x14ac:dyDescent="0.25">
      <c r="A151" s="136">
        <v>5</v>
      </c>
      <c r="B151" s="137" t="s">
        <v>88</v>
      </c>
      <c r="C151" s="137" t="s">
        <v>90</v>
      </c>
      <c r="D151" s="138" t="s">
        <v>247</v>
      </c>
      <c r="E151" s="135"/>
    </row>
    <row r="152" spans="1:5" ht="15.75" x14ac:dyDescent="0.25">
      <c r="A152" s="136">
        <v>6</v>
      </c>
      <c r="B152" s="137" t="s">
        <v>96</v>
      </c>
      <c r="C152" s="137" t="s">
        <v>62</v>
      </c>
      <c r="D152" s="138" t="s">
        <v>249</v>
      </c>
      <c r="E152" s="135"/>
    </row>
    <row r="153" spans="1:5" ht="15.75" x14ac:dyDescent="0.25">
      <c r="A153" s="136">
        <v>7</v>
      </c>
      <c r="B153" s="137" t="s">
        <v>98</v>
      </c>
      <c r="C153" s="137" t="s">
        <v>99</v>
      </c>
      <c r="D153" s="138" t="s">
        <v>250</v>
      </c>
      <c r="E153" s="135" t="s">
        <v>101</v>
      </c>
    </row>
    <row r="154" spans="1:5" ht="15.75" x14ac:dyDescent="0.25">
      <c r="A154" s="136">
        <v>8</v>
      </c>
      <c r="B154" s="137" t="s">
        <v>98</v>
      </c>
      <c r="C154" s="137" t="s">
        <v>99</v>
      </c>
      <c r="D154" s="138" t="s">
        <v>251</v>
      </c>
      <c r="E154" s="135" t="s">
        <v>101</v>
      </c>
    </row>
    <row r="155" spans="1:5" ht="15.75" x14ac:dyDescent="0.25">
      <c r="A155" s="136">
        <v>9</v>
      </c>
      <c r="B155" s="137" t="s">
        <v>98</v>
      </c>
      <c r="C155" s="137" t="s">
        <v>99</v>
      </c>
      <c r="D155" s="138" t="s">
        <v>252</v>
      </c>
      <c r="E155" s="135" t="s">
        <v>101</v>
      </c>
    </row>
    <row r="156" spans="1:5" ht="15.75" x14ac:dyDescent="0.25">
      <c r="A156" s="136">
        <v>10</v>
      </c>
      <c r="B156" s="137" t="s">
        <v>114</v>
      </c>
      <c r="C156" s="137" t="s">
        <v>39</v>
      </c>
      <c r="D156" s="138" t="s">
        <v>52</v>
      </c>
      <c r="E156" s="135" t="s">
        <v>115</v>
      </c>
    </row>
    <row r="157" spans="1:5" ht="30" x14ac:dyDescent="0.25">
      <c r="A157" s="136">
        <v>11</v>
      </c>
      <c r="B157" s="137" t="s">
        <v>134</v>
      </c>
      <c r="C157" s="137" t="s">
        <v>135</v>
      </c>
      <c r="D157" s="138" t="s">
        <v>253</v>
      </c>
      <c r="E157" s="139" t="s">
        <v>138</v>
      </c>
    </row>
    <row r="158" spans="1:5" ht="15.75" x14ac:dyDescent="0.25">
      <c r="A158" s="136">
        <v>12</v>
      </c>
      <c r="B158" s="137" t="s">
        <v>145</v>
      </c>
      <c r="C158" s="137" t="s">
        <v>52</v>
      </c>
      <c r="D158" s="138" t="s">
        <v>254</v>
      </c>
      <c r="E158" s="135"/>
    </row>
    <row r="159" spans="1:5" ht="15.75" x14ac:dyDescent="0.25">
      <c r="A159" s="136">
        <v>13</v>
      </c>
      <c r="B159" s="137" t="s">
        <v>159</v>
      </c>
      <c r="C159" s="137" t="s">
        <v>160</v>
      </c>
      <c r="D159" s="138" t="s">
        <v>255</v>
      </c>
      <c r="E159" s="135"/>
    </row>
    <row r="160" spans="1:5" ht="15.75" x14ac:dyDescent="0.25">
      <c r="A160" s="136"/>
      <c r="B160" s="136"/>
      <c r="C160" s="136"/>
      <c r="D160" s="140"/>
      <c r="E160" s="141"/>
    </row>
    <row r="166" spans="1:5" ht="15.75" x14ac:dyDescent="0.25">
      <c r="E166" s="129" t="s">
        <v>2</v>
      </c>
    </row>
    <row r="167" spans="1:5" ht="15.75" x14ac:dyDescent="0.25">
      <c r="E167" s="129" t="s">
        <v>3</v>
      </c>
    </row>
    <row r="168" spans="1:5" ht="15.75" x14ac:dyDescent="0.25">
      <c r="E168" s="131" t="s">
        <v>7</v>
      </c>
    </row>
    <row r="169" spans="1:5" x14ac:dyDescent="0.25">
      <c r="E169" s="133" t="s">
        <v>646</v>
      </c>
    </row>
    <row r="170" spans="1:5" x14ac:dyDescent="0.25">
      <c r="A170" s="191" t="str">
        <f>VLOOKUP(A173,[1]BD!C:D,2,0)</f>
        <v>Tenancingo de Degollado</v>
      </c>
      <c r="B170" s="191"/>
      <c r="C170" s="191"/>
      <c r="D170" s="191"/>
      <c r="E170" s="191"/>
    </row>
    <row r="171" spans="1:5" x14ac:dyDescent="0.25">
      <c r="A171" s="191"/>
      <c r="B171" s="191"/>
      <c r="C171" s="191"/>
      <c r="D171" s="191"/>
      <c r="E171" s="191"/>
    </row>
    <row r="172" spans="1:5" x14ac:dyDescent="0.25">
      <c r="A172" s="189" t="s">
        <v>21</v>
      </c>
      <c r="B172" s="189"/>
      <c r="C172" s="189"/>
      <c r="D172" s="189"/>
      <c r="E172" s="134" t="s">
        <v>23</v>
      </c>
    </row>
    <row r="173" spans="1:5" ht="36" x14ac:dyDescent="0.25">
      <c r="A173" s="190">
        <v>6007</v>
      </c>
      <c r="B173" s="190"/>
      <c r="C173" s="190"/>
      <c r="D173" s="190"/>
      <c r="E173" s="135"/>
    </row>
    <row r="174" spans="1:5" x14ac:dyDescent="0.25">
      <c r="A174" s="136" t="s">
        <v>647</v>
      </c>
      <c r="B174" s="136" t="s">
        <v>24</v>
      </c>
      <c r="C174" s="136" t="s">
        <v>25</v>
      </c>
      <c r="D174" s="136" t="s">
        <v>648</v>
      </c>
      <c r="E174" s="136" t="s">
        <v>30</v>
      </c>
    </row>
    <row r="175" spans="1:5" ht="15.75" x14ac:dyDescent="0.25">
      <c r="A175" s="136">
        <v>1</v>
      </c>
      <c r="B175" s="137" t="s">
        <v>37</v>
      </c>
      <c r="C175" s="137" t="s">
        <v>39</v>
      </c>
      <c r="D175" s="138" t="s">
        <v>256</v>
      </c>
      <c r="E175" s="135" t="s">
        <v>41</v>
      </c>
    </row>
    <row r="176" spans="1:5" ht="15.75" x14ac:dyDescent="0.25">
      <c r="A176" s="136">
        <v>2</v>
      </c>
      <c r="B176" s="137" t="s">
        <v>51</v>
      </c>
      <c r="C176" s="137" t="s">
        <v>52</v>
      </c>
      <c r="D176" s="138" t="s">
        <v>257</v>
      </c>
      <c r="E176" s="135"/>
    </row>
    <row r="177" spans="1:5" ht="15.75" x14ac:dyDescent="0.25">
      <c r="A177" s="136">
        <v>3</v>
      </c>
      <c r="B177" s="137" t="s">
        <v>61</v>
      </c>
      <c r="C177" s="137" t="s">
        <v>62</v>
      </c>
      <c r="D177" s="138" t="s">
        <v>259</v>
      </c>
      <c r="E177" s="135" t="s">
        <v>64</v>
      </c>
    </row>
    <row r="178" spans="1:5" ht="15.75" x14ac:dyDescent="0.25">
      <c r="A178" s="136">
        <v>4</v>
      </c>
      <c r="B178" s="137" t="s">
        <v>72</v>
      </c>
      <c r="C178" s="137" t="s">
        <v>73</v>
      </c>
      <c r="D178" s="138" t="s">
        <v>260</v>
      </c>
      <c r="E178" s="135"/>
    </row>
    <row r="179" spans="1:5" ht="15.75" x14ac:dyDescent="0.25">
      <c r="A179" s="136">
        <v>5</v>
      </c>
      <c r="B179" s="137" t="s">
        <v>88</v>
      </c>
      <c r="C179" s="137" t="s">
        <v>90</v>
      </c>
      <c r="D179" s="138" t="s">
        <v>261</v>
      </c>
      <c r="E179" s="135"/>
    </row>
    <row r="180" spans="1:5" ht="15.75" x14ac:dyDescent="0.25">
      <c r="A180" s="136">
        <v>6</v>
      </c>
      <c r="B180" s="137" t="s">
        <v>96</v>
      </c>
      <c r="C180" s="137" t="s">
        <v>62</v>
      </c>
      <c r="D180" s="138" t="s">
        <v>263</v>
      </c>
      <c r="E180" s="135"/>
    </row>
    <row r="181" spans="1:5" ht="15.75" x14ac:dyDescent="0.25">
      <c r="A181" s="136">
        <v>7</v>
      </c>
      <c r="B181" s="137" t="s">
        <v>98</v>
      </c>
      <c r="C181" s="137" t="s">
        <v>99</v>
      </c>
      <c r="D181" s="138" t="s">
        <v>264</v>
      </c>
      <c r="E181" s="135" t="s">
        <v>101</v>
      </c>
    </row>
    <row r="182" spans="1:5" ht="15.75" x14ac:dyDescent="0.25">
      <c r="A182" s="136">
        <v>8</v>
      </c>
      <c r="B182" s="137" t="s">
        <v>98</v>
      </c>
      <c r="C182" s="137" t="s">
        <v>99</v>
      </c>
      <c r="D182" s="138" t="s">
        <v>265</v>
      </c>
      <c r="E182" s="135" t="s">
        <v>101</v>
      </c>
    </row>
    <row r="183" spans="1:5" ht="15.75" x14ac:dyDescent="0.25">
      <c r="A183" s="136">
        <v>9</v>
      </c>
      <c r="B183" s="137" t="s">
        <v>98</v>
      </c>
      <c r="C183" s="137" t="s">
        <v>99</v>
      </c>
      <c r="D183" s="138" t="s">
        <v>266</v>
      </c>
      <c r="E183" s="135" t="s">
        <v>101</v>
      </c>
    </row>
    <row r="184" spans="1:5" ht="15.75" x14ac:dyDescent="0.25">
      <c r="A184" s="136">
        <v>10</v>
      </c>
      <c r="B184" s="137" t="s">
        <v>98</v>
      </c>
      <c r="C184" s="137" t="s">
        <v>99</v>
      </c>
      <c r="D184" s="138" t="s">
        <v>267</v>
      </c>
      <c r="E184" s="135" t="s">
        <v>101</v>
      </c>
    </row>
    <row r="185" spans="1:5" ht="15.75" x14ac:dyDescent="0.25">
      <c r="A185" s="136">
        <v>11</v>
      </c>
      <c r="B185" s="137" t="s">
        <v>98</v>
      </c>
      <c r="C185" s="137" t="s">
        <v>99</v>
      </c>
      <c r="D185" s="138" t="s">
        <v>268</v>
      </c>
      <c r="E185" s="139" t="s">
        <v>101</v>
      </c>
    </row>
    <row r="186" spans="1:5" ht="15.75" x14ac:dyDescent="0.25">
      <c r="A186" s="136">
        <v>12</v>
      </c>
      <c r="B186" s="137" t="s">
        <v>114</v>
      </c>
      <c r="C186" s="137" t="s">
        <v>39</v>
      </c>
      <c r="D186" s="138" t="s">
        <v>52</v>
      </c>
      <c r="E186" s="135" t="s">
        <v>115</v>
      </c>
    </row>
    <row r="187" spans="1:5" ht="32.25" customHeight="1" x14ac:dyDescent="0.25">
      <c r="A187" s="136">
        <v>13</v>
      </c>
      <c r="B187" s="137" t="s">
        <v>134</v>
      </c>
      <c r="C187" s="137" t="s">
        <v>135</v>
      </c>
      <c r="D187" s="138" t="s">
        <v>269</v>
      </c>
      <c r="E187" s="139" t="s">
        <v>138</v>
      </c>
    </row>
    <row r="188" spans="1:5" ht="15.75" x14ac:dyDescent="0.25">
      <c r="A188" s="136">
        <v>14</v>
      </c>
      <c r="B188" s="137" t="s">
        <v>145</v>
      </c>
      <c r="C188" s="137" t="s">
        <v>52</v>
      </c>
      <c r="D188" s="138" t="s">
        <v>270</v>
      </c>
      <c r="E188" s="135"/>
    </row>
    <row r="189" spans="1:5" ht="15.75" x14ac:dyDescent="0.25">
      <c r="A189" s="136">
        <v>15</v>
      </c>
      <c r="B189" s="137" t="s">
        <v>159</v>
      </c>
      <c r="C189" s="137" t="s">
        <v>160</v>
      </c>
      <c r="D189" s="138" t="s">
        <v>271</v>
      </c>
      <c r="E189" s="135"/>
    </row>
    <row r="190" spans="1:5" ht="15.75" x14ac:dyDescent="0.25">
      <c r="A190" s="136"/>
      <c r="B190" s="136"/>
      <c r="C190" s="136"/>
      <c r="D190" s="140"/>
      <c r="E190" s="141"/>
    </row>
    <row r="196" spans="1:5" ht="15.75" x14ac:dyDescent="0.25">
      <c r="E196" s="129" t="s">
        <v>2</v>
      </c>
    </row>
    <row r="197" spans="1:5" ht="15.75" x14ac:dyDescent="0.25">
      <c r="E197" s="129" t="s">
        <v>3</v>
      </c>
    </row>
    <row r="198" spans="1:5" ht="15.75" x14ac:dyDescent="0.25">
      <c r="E198" s="131" t="s">
        <v>7</v>
      </c>
    </row>
    <row r="199" spans="1:5" x14ac:dyDescent="0.25">
      <c r="E199" s="133" t="s">
        <v>646</v>
      </c>
    </row>
    <row r="200" spans="1:5" x14ac:dyDescent="0.25">
      <c r="A200" s="191" t="str">
        <f>VLOOKUP(A203,[1]BD!C:D,2,0)</f>
        <v>Ecatepec de Morelos</v>
      </c>
      <c r="B200" s="191"/>
      <c r="C200" s="191"/>
      <c r="D200" s="191"/>
      <c r="E200" s="191"/>
    </row>
    <row r="201" spans="1:5" x14ac:dyDescent="0.25">
      <c r="A201" s="191"/>
      <c r="B201" s="191"/>
      <c r="C201" s="191"/>
      <c r="D201" s="191"/>
      <c r="E201" s="191"/>
    </row>
    <row r="202" spans="1:5" x14ac:dyDescent="0.25">
      <c r="A202" s="189" t="s">
        <v>21</v>
      </c>
      <c r="B202" s="189"/>
      <c r="C202" s="189"/>
      <c r="D202" s="189"/>
      <c r="E202" s="134" t="s">
        <v>23</v>
      </c>
    </row>
    <row r="203" spans="1:5" ht="36" x14ac:dyDescent="0.25">
      <c r="A203" s="190">
        <v>6008</v>
      </c>
      <c r="B203" s="190"/>
      <c r="C203" s="190"/>
      <c r="D203" s="190"/>
      <c r="E203" s="135"/>
    </row>
    <row r="204" spans="1:5" x14ac:dyDescent="0.25">
      <c r="A204" s="136" t="s">
        <v>647</v>
      </c>
      <c r="B204" s="136" t="s">
        <v>24</v>
      </c>
      <c r="C204" s="136" t="s">
        <v>25</v>
      </c>
      <c r="D204" s="136" t="s">
        <v>648</v>
      </c>
      <c r="E204" s="136" t="s">
        <v>30</v>
      </c>
    </row>
    <row r="205" spans="1:5" ht="15.75" x14ac:dyDescent="0.25">
      <c r="A205" s="136">
        <v>1</v>
      </c>
      <c r="B205" s="137" t="s">
        <v>37</v>
      </c>
      <c r="C205" s="137" t="s">
        <v>39</v>
      </c>
      <c r="D205" s="138" t="s">
        <v>272</v>
      </c>
      <c r="E205" s="135" t="s">
        <v>41</v>
      </c>
    </row>
    <row r="206" spans="1:5" ht="15.75" x14ac:dyDescent="0.25">
      <c r="A206" s="136">
        <v>2</v>
      </c>
      <c r="B206" s="137" t="s">
        <v>51</v>
      </c>
      <c r="C206" s="137" t="s">
        <v>52</v>
      </c>
      <c r="D206" s="138" t="s">
        <v>273</v>
      </c>
      <c r="E206" s="135"/>
    </row>
    <row r="207" spans="1:5" ht="15.75" x14ac:dyDescent="0.25">
      <c r="A207" s="136">
        <v>3</v>
      </c>
      <c r="B207" s="137" t="s">
        <v>61</v>
      </c>
      <c r="C207" s="137" t="s">
        <v>62</v>
      </c>
      <c r="D207" s="138" t="s">
        <v>275</v>
      </c>
      <c r="E207" s="135" t="s">
        <v>64</v>
      </c>
    </row>
    <row r="208" spans="1:5" ht="15.75" x14ac:dyDescent="0.25">
      <c r="A208" s="136">
        <v>4</v>
      </c>
      <c r="B208" s="137" t="s">
        <v>72</v>
      </c>
      <c r="C208" s="137" t="s">
        <v>73</v>
      </c>
      <c r="D208" s="138" t="s">
        <v>276</v>
      </c>
      <c r="E208" s="135"/>
    </row>
    <row r="209" spans="1:5" ht="15.75" x14ac:dyDescent="0.25">
      <c r="A209" s="136">
        <v>5</v>
      </c>
      <c r="B209" s="137" t="s">
        <v>88</v>
      </c>
      <c r="C209" s="137" t="s">
        <v>90</v>
      </c>
      <c r="D209" s="138" t="s">
        <v>277</v>
      </c>
      <c r="E209" s="135"/>
    </row>
    <row r="210" spans="1:5" ht="15.75" x14ac:dyDescent="0.25">
      <c r="A210" s="136">
        <v>6</v>
      </c>
      <c r="B210" s="137" t="s">
        <v>96</v>
      </c>
      <c r="C210" s="137" t="s">
        <v>62</v>
      </c>
      <c r="D210" s="138" t="s">
        <v>279</v>
      </c>
      <c r="E210" s="135"/>
    </row>
    <row r="211" spans="1:5" ht="15.75" x14ac:dyDescent="0.25">
      <c r="A211" s="136">
        <v>7</v>
      </c>
      <c r="B211" s="137" t="s">
        <v>98</v>
      </c>
      <c r="C211" s="137" t="s">
        <v>99</v>
      </c>
      <c r="D211" s="138" t="s">
        <v>280</v>
      </c>
      <c r="E211" s="135" t="s">
        <v>101</v>
      </c>
    </row>
    <row r="212" spans="1:5" ht="15.75" x14ac:dyDescent="0.25">
      <c r="A212" s="136">
        <v>8</v>
      </c>
      <c r="B212" s="137" t="s">
        <v>98</v>
      </c>
      <c r="C212" s="137" t="s">
        <v>99</v>
      </c>
      <c r="D212" s="138" t="s">
        <v>281</v>
      </c>
      <c r="E212" s="135" t="s">
        <v>101</v>
      </c>
    </row>
    <row r="213" spans="1:5" ht="15.75" x14ac:dyDescent="0.25">
      <c r="A213" s="136">
        <v>9</v>
      </c>
      <c r="B213" s="137" t="s">
        <v>98</v>
      </c>
      <c r="C213" s="137" t="s">
        <v>99</v>
      </c>
      <c r="D213" s="138" t="s">
        <v>282</v>
      </c>
      <c r="E213" s="135" t="s">
        <v>101</v>
      </c>
    </row>
    <row r="214" spans="1:5" ht="15.75" x14ac:dyDescent="0.25">
      <c r="A214" s="136">
        <v>10</v>
      </c>
      <c r="B214" s="137" t="s">
        <v>98</v>
      </c>
      <c r="C214" s="137" t="s">
        <v>99</v>
      </c>
      <c r="D214" s="138" t="s">
        <v>283</v>
      </c>
      <c r="E214" s="135" t="s">
        <v>101</v>
      </c>
    </row>
    <row r="215" spans="1:5" ht="15.75" x14ac:dyDescent="0.25">
      <c r="A215" s="136">
        <v>11</v>
      </c>
      <c r="B215" s="137" t="s">
        <v>98</v>
      </c>
      <c r="C215" s="137" t="s">
        <v>99</v>
      </c>
      <c r="D215" s="138" t="s">
        <v>284</v>
      </c>
      <c r="E215" s="139" t="s">
        <v>101</v>
      </c>
    </row>
    <row r="216" spans="1:5" ht="15.75" x14ac:dyDescent="0.25">
      <c r="A216" s="136">
        <v>12</v>
      </c>
      <c r="B216" s="137" t="s">
        <v>98</v>
      </c>
      <c r="C216" s="137" t="s">
        <v>99</v>
      </c>
      <c r="D216" s="138" t="s">
        <v>285</v>
      </c>
      <c r="E216" s="139" t="s">
        <v>101</v>
      </c>
    </row>
    <row r="217" spans="1:5" ht="15.75" x14ac:dyDescent="0.25">
      <c r="A217" s="136">
        <v>13</v>
      </c>
      <c r="B217" s="137" t="s">
        <v>114</v>
      </c>
      <c r="C217" s="137" t="s">
        <v>39</v>
      </c>
      <c r="D217" s="138" t="s">
        <v>52</v>
      </c>
      <c r="E217" s="139" t="s">
        <v>115</v>
      </c>
    </row>
    <row r="218" spans="1:5" ht="30" x14ac:dyDescent="0.25">
      <c r="A218" s="136">
        <v>14</v>
      </c>
      <c r="B218" s="137" t="s">
        <v>134</v>
      </c>
      <c r="C218" s="137" t="s">
        <v>135</v>
      </c>
      <c r="D218" s="138" t="s">
        <v>286</v>
      </c>
      <c r="E218" s="139" t="s">
        <v>138</v>
      </c>
    </row>
    <row r="219" spans="1:5" ht="15.75" x14ac:dyDescent="0.25">
      <c r="A219" s="136">
        <v>15</v>
      </c>
      <c r="B219" s="137" t="s">
        <v>145</v>
      </c>
      <c r="C219" s="137" t="s">
        <v>52</v>
      </c>
      <c r="D219" s="138" t="s">
        <v>287</v>
      </c>
      <c r="E219" s="139"/>
    </row>
    <row r="220" spans="1:5" ht="15.75" x14ac:dyDescent="0.25">
      <c r="A220" s="136">
        <v>16</v>
      </c>
      <c r="B220" s="137" t="s">
        <v>159</v>
      </c>
      <c r="C220" s="137" t="s">
        <v>160</v>
      </c>
      <c r="D220" s="138" t="s">
        <v>288</v>
      </c>
      <c r="E220" s="135"/>
    </row>
    <row r="221" spans="1:5" ht="15.75" x14ac:dyDescent="0.25">
      <c r="A221" s="136"/>
      <c r="B221" s="136"/>
      <c r="C221" s="136"/>
      <c r="D221" s="140"/>
      <c r="E221" s="141"/>
    </row>
    <row r="227" spans="1:5" ht="15.75" x14ac:dyDescent="0.25">
      <c r="E227" s="129" t="s">
        <v>2</v>
      </c>
    </row>
    <row r="228" spans="1:5" ht="15.75" x14ac:dyDescent="0.25">
      <c r="E228" s="129" t="s">
        <v>3</v>
      </c>
    </row>
    <row r="229" spans="1:5" ht="15.75" x14ac:dyDescent="0.25">
      <c r="E229" s="131" t="s">
        <v>7</v>
      </c>
    </row>
    <row r="230" spans="1:5" x14ac:dyDescent="0.25">
      <c r="E230" s="133" t="s">
        <v>646</v>
      </c>
    </row>
    <row r="231" spans="1:5" x14ac:dyDescent="0.25">
      <c r="A231" s="191" t="str">
        <f>VLOOKUP(A234,[1]BD!C:D,2,0)</f>
        <v>Tejupilco de Hidalgo</v>
      </c>
      <c r="B231" s="191"/>
      <c r="C231" s="191"/>
      <c r="D231" s="191"/>
      <c r="E231" s="191"/>
    </row>
    <row r="232" spans="1:5" x14ac:dyDescent="0.25">
      <c r="A232" s="191"/>
      <c r="B232" s="191"/>
      <c r="C232" s="191"/>
      <c r="D232" s="191"/>
      <c r="E232" s="191"/>
    </row>
    <row r="233" spans="1:5" x14ac:dyDescent="0.25">
      <c r="A233" s="189" t="s">
        <v>21</v>
      </c>
      <c r="B233" s="189"/>
      <c r="C233" s="189"/>
      <c r="D233" s="189"/>
      <c r="E233" s="134" t="s">
        <v>23</v>
      </c>
    </row>
    <row r="234" spans="1:5" ht="36" x14ac:dyDescent="0.25">
      <c r="A234" s="190">
        <v>6009</v>
      </c>
      <c r="B234" s="190"/>
      <c r="C234" s="190"/>
      <c r="D234" s="190"/>
      <c r="E234" s="135"/>
    </row>
    <row r="235" spans="1:5" x14ac:dyDescent="0.25">
      <c r="A235" s="136" t="s">
        <v>647</v>
      </c>
      <c r="B235" s="136" t="s">
        <v>24</v>
      </c>
      <c r="C235" s="136" t="s">
        <v>25</v>
      </c>
      <c r="D235" s="136" t="s">
        <v>648</v>
      </c>
      <c r="E235" s="136" t="s">
        <v>30</v>
      </c>
    </row>
    <row r="236" spans="1:5" ht="15.75" x14ac:dyDescent="0.25">
      <c r="A236" s="136">
        <v>1</v>
      </c>
      <c r="B236" s="137" t="s">
        <v>37</v>
      </c>
      <c r="C236" s="137" t="s">
        <v>39</v>
      </c>
      <c r="D236" s="138" t="s">
        <v>289</v>
      </c>
      <c r="E236" s="135" t="s">
        <v>41</v>
      </c>
    </row>
    <row r="237" spans="1:5" ht="15.75" x14ac:dyDescent="0.25">
      <c r="A237" s="136">
        <v>2</v>
      </c>
      <c r="B237" s="137" t="s">
        <v>51</v>
      </c>
      <c r="C237" s="137" t="s">
        <v>52</v>
      </c>
      <c r="D237" s="138" t="s">
        <v>290</v>
      </c>
      <c r="E237" s="135"/>
    </row>
    <row r="238" spans="1:5" ht="15.75" x14ac:dyDescent="0.25">
      <c r="A238" s="136">
        <v>3</v>
      </c>
      <c r="B238" s="137" t="s">
        <v>61</v>
      </c>
      <c r="C238" s="137" t="s">
        <v>62</v>
      </c>
      <c r="D238" s="138" t="s">
        <v>292</v>
      </c>
      <c r="E238" s="135" t="s">
        <v>64</v>
      </c>
    </row>
    <row r="239" spans="1:5" ht="15.75" x14ac:dyDescent="0.25">
      <c r="A239" s="136">
        <v>4</v>
      </c>
      <c r="B239" s="137" t="s">
        <v>72</v>
      </c>
      <c r="C239" s="137" t="s">
        <v>73</v>
      </c>
      <c r="D239" s="138" t="s">
        <v>293</v>
      </c>
      <c r="E239" s="135"/>
    </row>
    <row r="240" spans="1:5" ht="15.75" x14ac:dyDescent="0.25">
      <c r="A240" s="136">
        <v>5</v>
      </c>
      <c r="B240" s="137" t="s">
        <v>88</v>
      </c>
      <c r="C240" s="137" t="s">
        <v>90</v>
      </c>
      <c r="D240" s="138" t="s">
        <v>294</v>
      </c>
      <c r="E240" s="135"/>
    </row>
    <row r="241" spans="1:5" ht="15.75" x14ac:dyDescent="0.25">
      <c r="A241" s="136">
        <v>6</v>
      </c>
      <c r="B241" s="137" t="s">
        <v>96</v>
      </c>
      <c r="C241" s="137" t="s">
        <v>62</v>
      </c>
      <c r="D241" s="138" t="s">
        <v>296</v>
      </c>
      <c r="E241" s="135"/>
    </row>
    <row r="242" spans="1:5" ht="15.75" x14ac:dyDescent="0.25">
      <c r="A242" s="136">
        <v>7</v>
      </c>
      <c r="B242" s="137" t="s">
        <v>98</v>
      </c>
      <c r="C242" s="137" t="s">
        <v>99</v>
      </c>
      <c r="D242" s="138" t="s">
        <v>297</v>
      </c>
      <c r="E242" s="135" t="s">
        <v>101</v>
      </c>
    </row>
    <row r="243" spans="1:5" ht="15.75" x14ac:dyDescent="0.25">
      <c r="A243" s="136">
        <v>8</v>
      </c>
      <c r="B243" s="137" t="s">
        <v>98</v>
      </c>
      <c r="C243" s="137" t="s">
        <v>99</v>
      </c>
      <c r="D243" s="138" t="s">
        <v>298</v>
      </c>
      <c r="E243" s="135" t="s">
        <v>101</v>
      </c>
    </row>
    <row r="244" spans="1:5" ht="15.75" x14ac:dyDescent="0.25">
      <c r="A244" s="136">
        <v>9</v>
      </c>
      <c r="B244" s="137" t="s">
        <v>98</v>
      </c>
      <c r="C244" s="137" t="s">
        <v>99</v>
      </c>
      <c r="D244" s="138" t="s">
        <v>299</v>
      </c>
      <c r="E244" s="135" t="s">
        <v>101</v>
      </c>
    </row>
    <row r="245" spans="1:5" ht="15.75" x14ac:dyDescent="0.25">
      <c r="A245" s="136">
        <v>10</v>
      </c>
      <c r="B245" s="137" t="s">
        <v>98</v>
      </c>
      <c r="C245" s="137" t="s">
        <v>99</v>
      </c>
      <c r="D245" s="138" t="s">
        <v>300</v>
      </c>
      <c r="E245" s="135" t="s">
        <v>101</v>
      </c>
    </row>
    <row r="246" spans="1:5" ht="15.75" x14ac:dyDescent="0.25">
      <c r="A246" s="136">
        <v>11</v>
      </c>
      <c r="B246" s="137" t="s">
        <v>114</v>
      </c>
      <c r="C246" s="137" t="s">
        <v>39</v>
      </c>
      <c r="D246" s="138" t="s">
        <v>52</v>
      </c>
      <c r="E246" s="139" t="s">
        <v>115</v>
      </c>
    </row>
    <row r="247" spans="1:5" ht="32.25" customHeight="1" x14ac:dyDescent="0.25">
      <c r="A247" s="136">
        <v>12</v>
      </c>
      <c r="B247" s="137" t="s">
        <v>134</v>
      </c>
      <c r="C247" s="137" t="s">
        <v>135</v>
      </c>
      <c r="D247" s="138" t="s">
        <v>302</v>
      </c>
      <c r="E247" s="139" t="s">
        <v>138</v>
      </c>
    </row>
    <row r="248" spans="1:5" ht="15.75" x14ac:dyDescent="0.25">
      <c r="A248" s="136">
        <v>13</v>
      </c>
      <c r="B248" s="137" t="s">
        <v>145</v>
      </c>
      <c r="C248" s="137" t="s">
        <v>52</v>
      </c>
      <c r="D248" s="138" t="s">
        <v>303</v>
      </c>
      <c r="E248" s="135"/>
    </row>
    <row r="249" spans="1:5" ht="15.75" x14ac:dyDescent="0.25">
      <c r="A249" s="136">
        <v>14</v>
      </c>
      <c r="B249" s="137" t="s">
        <v>159</v>
      </c>
      <c r="C249" s="137" t="s">
        <v>160</v>
      </c>
      <c r="D249" s="138" t="s">
        <v>304</v>
      </c>
      <c r="E249" s="135"/>
    </row>
    <row r="250" spans="1:5" ht="15.75" x14ac:dyDescent="0.25">
      <c r="A250" s="136"/>
      <c r="B250" s="136"/>
      <c r="C250" s="136"/>
      <c r="D250" s="140"/>
      <c r="E250" s="141"/>
    </row>
    <row r="258" spans="1:5" ht="15.75" x14ac:dyDescent="0.25">
      <c r="E258" s="129" t="s">
        <v>2</v>
      </c>
    </row>
    <row r="259" spans="1:5" ht="15.75" x14ac:dyDescent="0.25">
      <c r="E259" s="129" t="s">
        <v>3</v>
      </c>
    </row>
    <row r="260" spans="1:5" ht="15.75" x14ac:dyDescent="0.25">
      <c r="E260" s="131" t="s">
        <v>7</v>
      </c>
    </row>
    <row r="261" spans="1:5" x14ac:dyDescent="0.25">
      <c r="E261" s="133" t="s">
        <v>646</v>
      </c>
    </row>
    <row r="262" spans="1:5" x14ac:dyDescent="0.25">
      <c r="A262" s="191" t="str">
        <f>VLOOKUP(A265,[1]BD!C:D,2,0)</f>
        <v>Valle de Bravo</v>
      </c>
      <c r="B262" s="191"/>
      <c r="C262" s="191"/>
      <c r="D262" s="191"/>
      <c r="E262" s="191"/>
    </row>
    <row r="263" spans="1:5" x14ac:dyDescent="0.25">
      <c r="A263" s="191"/>
      <c r="B263" s="191"/>
      <c r="C263" s="191"/>
      <c r="D263" s="191"/>
      <c r="E263" s="191"/>
    </row>
    <row r="264" spans="1:5" x14ac:dyDescent="0.25">
      <c r="A264" s="189" t="s">
        <v>21</v>
      </c>
      <c r="B264" s="189"/>
      <c r="C264" s="189"/>
      <c r="D264" s="189"/>
      <c r="E264" s="134" t="s">
        <v>23</v>
      </c>
    </row>
    <row r="265" spans="1:5" ht="36" x14ac:dyDescent="0.25">
      <c r="A265" s="190">
        <v>6010</v>
      </c>
      <c r="B265" s="190"/>
      <c r="C265" s="190"/>
      <c r="D265" s="190"/>
      <c r="E265" s="135"/>
    </row>
    <row r="266" spans="1:5" x14ac:dyDescent="0.25">
      <c r="A266" s="136" t="s">
        <v>647</v>
      </c>
      <c r="B266" s="136" t="s">
        <v>24</v>
      </c>
      <c r="C266" s="136" t="s">
        <v>25</v>
      </c>
      <c r="D266" s="136" t="s">
        <v>648</v>
      </c>
      <c r="E266" s="136" t="s">
        <v>30</v>
      </c>
    </row>
    <row r="267" spans="1:5" ht="15.75" x14ac:dyDescent="0.25">
      <c r="A267" s="136">
        <v>1</v>
      </c>
      <c r="B267" s="138" t="s">
        <v>37</v>
      </c>
      <c r="C267" s="138" t="s">
        <v>39</v>
      </c>
      <c r="D267" s="138" t="s">
        <v>1016</v>
      </c>
      <c r="E267" s="135" t="s">
        <v>305</v>
      </c>
    </row>
    <row r="268" spans="1:5" ht="15.75" x14ac:dyDescent="0.25">
      <c r="A268" s="136">
        <v>2</v>
      </c>
      <c r="B268" s="138" t="s">
        <v>51</v>
      </c>
      <c r="C268" s="138" t="s">
        <v>52</v>
      </c>
      <c r="D268" s="138" t="s">
        <v>307</v>
      </c>
      <c r="E268" s="135"/>
    </row>
    <row r="269" spans="1:5" ht="15.75" x14ac:dyDescent="0.25">
      <c r="A269" s="136">
        <v>3</v>
      </c>
      <c r="B269" s="138" t="s">
        <v>61</v>
      </c>
      <c r="C269" s="138" t="s">
        <v>62</v>
      </c>
      <c r="D269" s="138" t="s">
        <v>308</v>
      </c>
      <c r="E269" s="135" t="s">
        <v>64</v>
      </c>
    </row>
    <row r="270" spans="1:5" ht="15.75" x14ac:dyDescent="0.25">
      <c r="A270" s="136">
        <v>4</v>
      </c>
      <c r="B270" s="138" t="s">
        <v>72</v>
      </c>
      <c r="C270" s="138" t="s">
        <v>73</v>
      </c>
      <c r="D270" s="138" t="s">
        <v>309</v>
      </c>
      <c r="E270" s="135"/>
    </row>
    <row r="271" spans="1:5" ht="15.75" x14ac:dyDescent="0.25">
      <c r="A271" s="136">
        <v>5</v>
      </c>
      <c r="B271" s="138" t="s">
        <v>88</v>
      </c>
      <c r="C271" s="138" t="s">
        <v>90</v>
      </c>
      <c r="D271" s="138" t="s">
        <v>310</v>
      </c>
      <c r="E271" s="135"/>
    </row>
    <row r="272" spans="1:5" ht="15.75" x14ac:dyDescent="0.25">
      <c r="A272" s="136">
        <v>6</v>
      </c>
      <c r="B272" s="138" t="s">
        <v>96</v>
      </c>
      <c r="C272" s="138" t="s">
        <v>62</v>
      </c>
      <c r="D272" s="138" t="s">
        <v>312</v>
      </c>
      <c r="E272" s="135"/>
    </row>
    <row r="273" spans="1:5" ht="15.75" x14ac:dyDescent="0.25">
      <c r="A273" s="136">
        <v>7</v>
      </c>
      <c r="B273" s="138" t="s">
        <v>98</v>
      </c>
      <c r="C273" s="138" t="s">
        <v>99</v>
      </c>
      <c r="D273" s="138" t="s">
        <v>313</v>
      </c>
      <c r="E273" s="135" t="s">
        <v>101</v>
      </c>
    </row>
    <row r="274" spans="1:5" ht="15.75" x14ac:dyDescent="0.25">
      <c r="A274" s="136">
        <v>8</v>
      </c>
      <c r="B274" s="138" t="s">
        <v>98</v>
      </c>
      <c r="C274" s="138" t="s">
        <v>99</v>
      </c>
      <c r="D274" s="138" t="s">
        <v>314</v>
      </c>
      <c r="E274" s="135" t="s">
        <v>101</v>
      </c>
    </row>
    <row r="275" spans="1:5" ht="15.75" x14ac:dyDescent="0.25">
      <c r="A275" s="136">
        <v>9</v>
      </c>
      <c r="B275" s="138" t="s">
        <v>98</v>
      </c>
      <c r="C275" s="138" t="s">
        <v>99</v>
      </c>
      <c r="D275" s="138" t="s">
        <v>315</v>
      </c>
      <c r="E275" s="135" t="s">
        <v>101</v>
      </c>
    </row>
    <row r="276" spans="1:5" ht="15.75" x14ac:dyDescent="0.25">
      <c r="A276" s="136">
        <v>10</v>
      </c>
      <c r="B276" s="138" t="s">
        <v>114</v>
      </c>
      <c r="C276" s="138" t="s">
        <v>39</v>
      </c>
      <c r="D276" s="138" t="s">
        <v>52</v>
      </c>
      <c r="E276" s="135" t="s">
        <v>115</v>
      </c>
    </row>
    <row r="277" spans="1:5" ht="30" x14ac:dyDescent="0.25">
      <c r="A277" s="136">
        <v>11</v>
      </c>
      <c r="B277" s="138" t="s">
        <v>134</v>
      </c>
      <c r="C277" s="138" t="s">
        <v>135</v>
      </c>
      <c r="D277" s="138" t="s">
        <v>317</v>
      </c>
      <c r="E277" s="139" t="s">
        <v>138</v>
      </c>
    </row>
    <row r="278" spans="1:5" ht="15.75" x14ac:dyDescent="0.25">
      <c r="A278" s="136">
        <v>12</v>
      </c>
      <c r="B278" s="138" t="s">
        <v>145</v>
      </c>
      <c r="C278" s="138" t="s">
        <v>52</v>
      </c>
      <c r="D278" s="138" t="s">
        <v>318</v>
      </c>
      <c r="E278" s="135"/>
    </row>
    <row r="279" spans="1:5" ht="15.75" x14ac:dyDescent="0.25">
      <c r="A279" s="136">
        <v>13</v>
      </c>
      <c r="B279" s="138" t="s">
        <v>159</v>
      </c>
      <c r="C279" s="138" t="s">
        <v>319</v>
      </c>
      <c r="D279" s="138" t="s">
        <v>320</v>
      </c>
      <c r="E279" s="135"/>
    </row>
    <row r="280" spans="1:5" ht="15.75" x14ac:dyDescent="0.25">
      <c r="A280" s="136"/>
      <c r="B280" s="136"/>
      <c r="C280" s="136"/>
      <c r="D280" s="140"/>
      <c r="E280" s="141"/>
    </row>
    <row r="284" spans="1:5" ht="15.75" x14ac:dyDescent="0.25">
      <c r="E284" s="129" t="s">
        <v>2</v>
      </c>
    </row>
    <row r="285" spans="1:5" ht="15.75" x14ac:dyDescent="0.25">
      <c r="E285" s="129" t="s">
        <v>3</v>
      </c>
    </row>
    <row r="286" spans="1:5" ht="15.75" x14ac:dyDescent="0.25">
      <c r="E286" s="131" t="s">
        <v>7</v>
      </c>
    </row>
    <row r="287" spans="1:5" x14ac:dyDescent="0.25">
      <c r="E287" s="133" t="s">
        <v>646</v>
      </c>
    </row>
    <row r="288" spans="1:5" x14ac:dyDescent="0.25">
      <c r="A288" s="191" t="str">
        <f>VLOOKUP(A291,[1]BD!C:D,2,0)</f>
        <v>Tultitlan de Mariano Escobedo</v>
      </c>
      <c r="B288" s="191"/>
      <c r="C288" s="191"/>
      <c r="D288" s="191"/>
      <c r="E288" s="191"/>
    </row>
    <row r="289" spans="1:5" x14ac:dyDescent="0.25">
      <c r="A289" s="191"/>
      <c r="B289" s="191"/>
      <c r="C289" s="191"/>
      <c r="D289" s="191"/>
      <c r="E289" s="191"/>
    </row>
    <row r="290" spans="1:5" x14ac:dyDescent="0.25">
      <c r="A290" s="189" t="s">
        <v>21</v>
      </c>
      <c r="B290" s="189"/>
      <c r="C290" s="189"/>
      <c r="D290" s="189"/>
      <c r="E290" s="134" t="s">
        <v>23</v>
      </c>
    </row>
    <row r="291" spans="1:5" ht="36" x14ac:dyDescent="0.25">
      <c r="A291" s="190">
        <v>6011</v>
      </c>
      <c r="B291" s="190"/>
      <c r="C291" s="190"/>
      <c r="D291" s="190"/>
      <c r="E291" s="135"/>
    </row>
    <row r="292" spans="1:5" x14ac:dyDescent="0.25">
      <c r="A292" s="136" t="s">
        <v>647</v>
      </c>
      <c r="B292" s="136" t="s">
        <v>24</v>
      </c>
      <c r="C292" s="136" t="s">
        <v>25</v>
      </c>
      <c r="D292" s="136" t="s">
        <v>648</v>
      </c>
      <c r="E292" s="136" t="s">
        <v>30</v>
      </c>
    </row>
    <row r="293" spans="1:5" ht="15.75" x14ac:dyDescent="0.25">
      <c r="A293" s="136">
        <v>1</v>
      </c>
      <c r="B293" s="137" t="s">
        <v>37</v>
      </c>
      <c r="C293" s="137" t="s">
        <v>39</v>
      </c>
      <c r="D293" s="138" t="s">
        <v>321</v>
      </c>
      <c r="E293" s="135" t="s">
        <v>41</v>
      </c>
    </row>
    <row r="294" spans="1:5" ht="15.75" x14ac:dyDescent="0.25">
      <c r="A294" s="136">
        <v>2</v>
      </c>
      <c r="B294" s="137" t="s">
        <v>51</v>
      </c>
      <c r="C294" s="137" t="s">
        <v>52</v>
      </c>
      <c r="D294" s="138" t="s">
        <v>322</v>
      </c>
      <c r="E294" s="135"/>
    </row>
    <row r="295" spans="1:5" ht="15.75" x14ac:dyDescent="0.25">
      <c r="A295" s="136">
        <v>3</v>
      </c>
      <c r="B295" s="137" t="s">
        <v>61</v>
      </c>
      <c r="C295" s="137" t="s">
        <v>62</v>
      </c>
      <c r="D295" s="138" t="s">
        <v>324</v>
      </c>
      <c r="E295" s="135" t="s">
        <v>64</v>
      </c>
    </row>
    <row r="296" spans="1:5" ht="15.75" x14ac:dyDescent="0.25">
      <c r="A296" s="136">
        <v>4</v>
      </c>
      <c r="B296" s="137" t="s">
        <v>72</v>
      </c>
      <c r="C296" s="137" t="s">
        <v>73</v>
      </c>
      <c r="D296" s="138" t="s">
        <v>325</v>
      </c>
      <c r="E296" s="135"/>
    </row>
    <row r="297" spans="1:5" ht="15.75" x14ac:dyDescent="0.25">
      <c r="A297" s="136">
        <v>5</v>
      </c>
      <c r="B297" s="137" t="s">
        <v>88</v>
      </c>
      <c r="C297" s="137" t="s">
        <v>90</v>
      </c>
      <c r="D297" s="138" t="s">
        <v>326</v>
      </c>
      <c r="E297" s="135"/>
    </row>
    <row r="298" spans="1:5" ht="15.75" x14ac:dyDescent="0.25">
      <c r="A298" s="136">
        <v>6</v>
      </c>
      <c r="B298" s="137" t="s">
        <v>96</v>
      </c>
      <c r="C298" s="137" t="s">
        <v>62</v>
      </c>
      <c r="D298" s="138" t="s">
        <v>328</v>
      </c>
      <c r="E298" s="135"/>
    </row>
    <row r="299" spans="1:5" ht="15.75" x14ac:dyDescent="0.25">
      <c r="A299" s="136">
        <v>7</v>
      </c>
      <c r="B299" s="137" t="s">
        <v>98</v>
      </c>
      <c r="C299" s="137" t="s">
        <v>99</v>
      </c>
      <c r="D299" s="138" t="s">
        <v>329</v>
      </c>
      <c r="E299" s="135" t="s">
        <v>101</v>
      </c>
    </row>
    <row r="300" spans="1:5" ht="15.75" x14ac:dyDescent="0.25">
      <c r="A300" s="136">
        <v>8</v>
      </c>
      <c r="B300" s="137" t="s">
        <v>98</v>
      </c>
      <c r="C300" s="137" t="s">
        <v>99</v>
      </c>
      <c r="D300" s="138" t="s">
        <v>330</v>
      </c>
      <c r="E300" s="135" t="s">
        <v>101</v>
      </c>
    </row>
    <row r="301" spans="1:5" ht="15.75" x14ac:dyDescent="0.25">
      <c r="A301" s="136">
        <v>9</v>
      </c>
      <c r="B301" s="137" t="s">
        <v>98</v>
      </c>
      <c r="C301" s="137" t="s">
        <v>99</v>
      </c>
      <c r="D301" s="138" t="s">
        <v>331</v>
      </c>
      <c r="E301" s="135" t="s">
        <v>101</v>
      </c>
    </row>
    <row r="302" spans="1:5" ht="15.75" x14ac:dyDescent="0.25">
      <c r="A302" s="136">
        <v>10</v>
      </c>
      <c r="B302" s="137" t="s">
        <v>114</v>
      </c>
      <c r="C302" s="137" t="s">
        <v>39</v>
      </c>
      <c r="D302" s="138" t="s">
        <v>52</v>
      </c>
      <c r="E302" s="135" t="s">
        <v>115</v>
      </c>
    </row>
    <row r="303" spans="1:5" ht="30" x14ac:dyDescent="0.25">
      <c r="A303" s="136">
        <v>11</v>
      </c>
      <c r="B303" s="137" t="s">
        <v>134</v>
      </c>
      <c r="C303" s="137" t="s">
        <v>135</v>
      </c>
      <c r="D303" s="138" t="s">
        <v>333</v>
      </c>
      <c r="E303" s="139" t="s">
        <v>138</v>
      </c>
    </row>
    <row r="304" spans="1:5" ht="15.75" x14ac:dyDescent="0.25">
      <c r="A304" s="136">
        <v>12</v>
      </c>
      <c r="B304" s="137" t="s">
        <v>145</v>
      </c>
      <c r="C304" s="137" t="s">
        <v>52</v>
      </c>
      <c r="D304" s="138" t="s">
        <v>335</v>
      </c>
      <c r="E304" s="139"/>
    </row>
    <row r="305" spans="1:5" ht="15.75" x14ac:dyDescent="0.25">
      <c r="A305" s="136">
        <v>13</v>
      </c>
      <c r="B305" s="137" t="s">
        <v>159</v>
      </c>
      <c r="C305" s="137" t="s">
        <v>160</v>
      </c>
      <c r="D305" s="138" t="s">
        <v>337</v>
      </c>
      <c r="E305" s="139"/>
    </row>
    <row r="306" spans="1:5" x14ac:dyDescent="0.25">
      <c r="A306" s="136"/>
      <c r="B306" s="136"/>
      <c r="C306" s="136"/>
      <c r="D306" s="136"/>
      <c r="E306" s="136"/>
    </row>
    <row r="310" spans="1:5" ht="15.75" x14ac:dyDescent="0.25">
      <c r="E310" s="129" t="s">
        <v>2</v>
      </c>
    </row>
    <row r="311" spans="1:5" ht="15.75" x14ac:dyDescent="0.25">
      <c r="E311" s="129" t="s">
        <v>3</v>
      </c>
    </row>
    <row r="312" spans="1:5" ht="15.75" x14ac:dyDescent="0.25">
      <c r="E312" s="131" t="s">
        <v>7</v>
      </c>
    </row>
    <row r="313" spans="1:5" x14ac:dyDescent="0.25">
      <c r="E313" s="133" t="s">
        <v>646</v>
      </c>
    </row>
    <row r="314" spans="1:5" x14ac:dyDescent="0.25">
      <c r="A314" s="191" t="str">
        <f>VLOOKUP(A317,[1]BD!C:D,2,0)</f>
        <v>Teoloyucan</v>
      </c>
      <c r="B314" s="191"/>
      <c r="C314" s="191"/>
      <c r="D314" s="191"/>
      <c r="E314" s="191"/>
    </row>
    <row r="315" spans="1:5" x14ac:dyDescent="0.25">
      <c r="A315" s="191"/>
      <c r="B315" s="191"/>
      <c r="C315" s="191"/>
      <c r="D315" s="191"/>
      <c r="E315" s="191"/>
    </row>
    <row r="316" spans="1:5" x14ac:dyDescent="0.25">
      <c r="A316" s="189" t="s">
        <v>21</v>
      </c>
      <c r="B316" s="189"/>
      <c r="C316" s="189"/>
      <c r="D316" s="189"/>
      <c r="E316" s="134" t="s">
        <v>23</v>
      </c>
    </row>
    <row r="317" spans="1:5" ht="36" x14ac:dyDescent="0.25">
      <c r="A317" s="190">
        <v>6012</v>
      </c>
      <c r="B317" s="190"/>
      <c r="C317" s="190"/>
      <c r="D317" s="190"/>
      <c r="E317" s="135"/>
    </row>
    <row r="318" spans="1:5" x14ac:dyDescent="0.25">
      <c r="A318" s="136" t="s">
        <v>647</v>
      </c>
      <c r="B318" s="136" t="s">
        <v>24</v>
      </c>
      <c r="C318" s="136" t="s">
        <v>25</v>
      </c>
      <c r="D318" s="136" t="s">
        <v>648</v>
      </c>
      <c r="E318" s="136" t="s">
        <v>30</v>
      </c>
    </row>
    <row r="319" spans="1:5" ht="15.75" x14ac:dyDescent="0.25">
      <c r="A319" s="136">
        <v>1</v>
      </c>
      <c r="B319" s="137" t="s">
        <v>37</v>
      </c>
      <c r="C319" s="137" t="s">
        <v>39</v>
      </c>
      <c r="D319" s="138" t="s">
        <v>339</v>
      </c>
      <c r="E319" s="135" t="s">
        <v>41</v>
      </c>
    </row>
    <row r="320" spans="1:5" ht="15.75" x14ac:dyDescent="0.25">
      <c r="A320" s="136">
        <v>2</v>
      </c>
      <c r="B320" s="137" t="s">
        <v>51</v>
      </c>
      <c r="C320" s="137" t="s">
        <v>52</v>
      </c>
      <c r="D320" s="138" t="s">
        <v>341</v>
      </c>
      <c r="E320" s="135"/>
    </row>
    <row r="321" spans="1:5" ht="15.75" x14ac:dyDescent="0.25">
      <c r="A321" s="136">
        <v>3</v>
      </c>
      <c r="B321" s="137" t="s">
        <v>61</v>
      </c>
      <c r="C321" s="137" t="s">
        <v>62</v>
      </c>
      <c r="D321" s="138" t="s">
        <v>342</v>
      </c>
      <c r="E321" s="135" t="s">
        <v>64</v>
      </c>
    </row>
    <row r="322" spans="1:5" ht="15.75" x14ac:dyDescent="0.25">
      <c r="A322" s="136">
        <v>4</v>
      </c>
      <c r="B322" s="137" t="s">
        <v>72</v>
      </c>
      <c r="C322" s="137" t="s">
        <v>73</v>
      </c>
      <c r="D322" s="138" t="s">
        <v>344</v>
      </c>
      <c r="E322" s="135"/>
    </row>
    <row r="323" spans="1:5" ht="15.75" x14ac:dyDescent="0.25">
      <c r="A323" s="136">
        <v>5</v>
      </c>
      <c r="B323" s="137" t="s">
        <v>88</v>
      </c>
      <c r="C323" s="137" t="s">
        <v>90</v>
      </c>
      <c r="D323" s="138" t="s">
        <v>346</v>
      </c>
      <c r="E323" s="135"/>
    </row>
    <row r="324" spans="1:5" ht="15.75" x14ac:dyDescent="0.25">
      <c r="A324" s="136">
        <v>6</v>
      </c>
      <c r="B324" s="137" t="s">
        <v>96</v>
      </c>
      <c r="C324" s="137" t="s">
        <v>62</v>
      </c>
      <c r="D324" s="138" t="s">
        <v>347</v>
      </c>
      <c r="E324" s="135"/>
    </row>
    <row r="325" spans="1:5" ht="15.75" x14ac:dyDescent="0.25">
      <c r="A325" s="136">
        <v>7</v>
      </c>
      <c r="B325" s="137" t="s">
        <v>98</v>
      </c>
      <c r="C325" s="137" t="s">
        <v>99</v>
      </c>
      <c r="D325" s="138" t="s">
        <v>349</v>
      </c>
      <c r="E325" s="135" t="s">
        <v>101</v>
      </c>
    </row>
    <row r="326" spans="1:5" ht="15.75" x14ac:dyDescent="0.25">
      <c r="A326" s="136">
        <v>8</v>
      </c>
      <c r="B326" s="137" t="s">
        <v>98</v>
      </c>
      <c r="C326" s="137" t="s">
        <v>99</v>
      </c>
      <c r="D326" s="138" t="s">
        <v>351</v>
      </c>
      <c r="E326" s="135" t="s">
        <v>101</v>
      </c>
    </row>
    <row r="327" spans="1:5" ht="15.75" x14ac:dyDescent="0.25">
      <c r="A327" s="136">
        <v>9</v>
      </c>
      <c r="B327" s="137" t="s">
        <v>98</v>
      </c>
      <c r="C327" s="137" t="s">
        <v>352</v>
      </c>
      <c r="D327" s="138" t="s">
        <v>354</v>
      </c>
      <c r="E327" s="135" t="s">
        <v>101</v>
      </c>
    </row>
    <row r="328" spans="1:5" ht="15.75" x14ac:dyDescent="0.25">
      <c r="A328" s="136">
        <v>10</v>
      </c>
      <c r="B328" s="137" t="s">
        <v>114</v>
      </c>
      <c r="C328" s="137" t="s">
        <v>39</v>
      </c>
      <c r="D328" s="138" t="s">
        <v>52</v>
      </c>
      <c r="E328" s="135" t="s">
        <v>115</v>
      </c>
    </row>
    <row r="329" spans="1:5" ht="30" x14ac:dyDescent="0.25">
      <c r="A329" s="136">
        <v>11</v>
      </c>
      <c r="B329" s="137" t="s">
        <v>134</v>
      </c>
      <c r="C329" s="137" t="s">
        <v>135</v>
      </c>
      <c r="D329" s="138" t="s">
        <v>356</v>
      </c>
      <c r="E329" s="139" t="s">
        <v>138</v>
      </c>
    </row>
    <row r="330" spans="1:5" ht="15.75" x14ac:dyDescent="0.25">
      <c r="A330" s="136">
        <v>12</v>
      </c>
      <c r="B330" s="137" t="s">
        <v>145</v>
      </c>
      <c r="C330" s="137" t="s">
        <v>52</v>
      </c>
      <c r="D330" s="138" t="s">
        <v>358</v>
      </c>
      <c r="E330" s="139"/>
    </row>
    <row r="331" spans="1:5" ht="15.75" x14ac:dyDescent="0.25">
      <c r="A331" s="136">
        <v>13</v>
      </c>
      <c r="B331" s="137" t="s">
        <v>159</v>
      </c>
      <c r="C331" s="137" t="s">
        <v>160</v>
      </c>
      <c r="D331" s="138" t="s">
        <v>360</v>
      </c>
      <c r="E331" s="139"/>
    </row>
    <row r="332" spans="1:5" x14ac:dyDescent="0.25">
      <c r="A332" s="136"/>
      <c r="B332" s="136"/>
      <c r="C332" s="136"/>
      <c r="D332" s="136"/>
      <c r="E332" s="136"/>
    </row>
    <row r="336" spans="1:5" ht="15.75" x14ac:dyDescent="0.25">
      <c r="E336" s="129" t="s">
        <v>2</v>
      </c>
    </row>
    <row r="337" spans="1:5" ht="15.75" x14ac:dyDescent="0.25">
      <c r="E337" s="129" t="s">
        <v>3</v>
      </c>
    </row>
    <row r="338" spans="1:5" ht="15.75" x14ac:dyDescent="0.25">
      <c r="E338" s="131" t="s">
        <v>7</v>
      </c>
    </row>
    <row r="339" spans="1:5" x14ac:dyDescent="0.25">
      <c r="E339" s="133" t="s">
        <v>646</v>
      </c>
    </row>
    <row r="340" spans="1:5" x14ac:dyDescent="0.25">
      <c r="A340" s="191" t="str">
        <f>VLOOKUP(A343,[1]BD!C:D,2,0)</f>
        <v>Atlacomulco de Fabela</v>
      </c>
      <c r="B340" s="191"/>
      <c r="C340" s="191"/>
      <c r="D340" s="191"/>
      <c r="E340" s="191"/>
    </row>
    <row r="341" spans="1:5" x14ac:dyDescent="0.25">
      <c r="A341" s="191"/>
      <c r="B341" s="191"/>
      <c r="C341" s="191"/>
      <c r="D341" s="191"/>
      <c r="E341" s="191"/>
    </row>
    <row r="342" spans="1:5" x14ac:dyDescent="0.25">
      <c r="A342" s="189" t="s">
        <v>21</v>
      </c>
      <c r="B342" s="189"/>
      <c r="C342" s="189"/>
      <c r="D342" s="189"/>
      <c r="E342" s="134" t="s">
        <v>23</v>
      </c>
    </row>
    <row r="343" spans="1:5" ht="36" x14ac:dyDescent="0.25">
      <c r="A343" s="190">
        <v>6013</v>
      </c>
      <c r="B343" s="190"/>
      <c r="C343" s="190"/>
      <c r="D343" s="190"/>
      <c r="E343" s="135"/>
    </row>
    <row r="344" spans="1:5" x14ac:dyDescent="0.25">
      <c r="A344" s="136" t="s">
        <v>647</v>
      </c>
      <c r="B344" s="136" t="s">
        <v>24</v>
      </c>
      <c r="C344" s="136" t="s">
        <v>25</v>
      </c>
      <c r="D344" s="136" t="s">
        <v>648</v>
      </c>
      <c r="E344" s="136" t="s">
        <v>30</v>
      </c>
    </row>
    <row r="345" spans="1:5" ht="15.75" x14ac:dyDescent="0.25">
      <c r="A345" s="136">
        <v>1</v>
      </c>
      <c r="B345" s="137" t="s">
        <v>37</v>
      </c>
      <c r="C345" s="137" t="s">
        <v>39</v>
      </c>
      <c r="D345" s="138" t="s">
        <v>362</v>
      </c>
      <c r="E345" s="135" t="s">
        <v>41</v>
      </c>
    </row>
    <row r="346" spans="1:5" ht="15.75" x14ac:dyDescent="0.25">
      <c r="A346" s="136">
        <v>2</v>
      </c>
      <c r="B346" s="137" t="s">
        <v>51</v>
      </c>
      <c r="C346" s="137" t="s">
        <v>52</v>
      </c>
      <c r="D346" s="138" t="s">
        <v>364</v>
      </c>
      <c r="E346" s="135"/>
    </row>
    <row r="347" spans="1:5" ht="15.75" x14ac:dyDescent="0.25">
      <c r="A347" s="136">
        <v>3</v>
      </c>
      <c r="B347" s="137" t="s">
        <v>61</v>
      </c>
      <c r="C347" s="137" t="s">
        <v>62</v>
      </c>
      <c r="D347" s="138" t="s">
        <v>365</v>
      </c>
      <c r="E347" s="135" t="s">
        <v>64</v>
      </c>
    </row>
    <row r="348" spans="1:5" ht="15.75" x14ac:dyDescent="0.25">
      <c r="A348" s="136">
        <v>4</v>
      </c>
      <c r="B348" s="137" t="s">
        <v>72</v>
      </c>
      <c r="C348" s="137" t="s">
        <v>73</v>
      </c>
      <c r="D348" s="138" t="s">
        <v>367</v>
      </c>
      <c r="E348" s="135"/>
    </row>
    <row r="349" spans="1:5" ht="15.75" x14ac:dyDescent="0.25">
      <c r="A349" s="136">
        <v>5</v>
      </c>
      <c r="B349" s="137" t="s">
        <v>88</v>
      </c>
      <c r="C349" s="137" t="s">
        <v>90</v>
      </c>
      <c r="D349" s="138" t="s">
        <v>369</v>
      </c>
      <c r="E349" s="135"/>
    </row>
    <row r="350" spans="1:5" ht="15.75" x14ac:dyDescent="0.25">
      <c r="A350" s="136">
        <v>6</v>
      </c>
      <c r="B350" s="137" t="s">
        <v>96</v>
      </c>
      <c r="C350" s="137" t="s">
        <v>62</v>
      </c>
      <c r="D350" s="138" t="s">
        <v>370</v>
      </c>
      <c r="E350" s="135"/>
    </row>
    <row r="351" spans="1:5" ht="15.75" x14ac:dyDescent="0.25">
      <c r="A351" s="136">
        <v>7</v>
      </c>
      <c r="B351" s="137" t="s">
        <v>98</v>
      </c>
      <c r="C351" s="137" t="s">
        <v>352</v>
      </c>
      <c r="D351" s="138" t="s">
        <v>372</v>
      </c>
      <c r="E351" s="135" t="s">
        <v>101</v>
      </c>
    </row>
    <row r="352" spans="1:5" ht="15.75" x14ac:dyDescent="0.25">
      <c r="A352" s="136">
        <v>8</v>
      </c>
      <c r="B352" s="137" t="s">
        <v>98</v>
      </c>
      <c r="C352" s="137" t="s">
        <v>352</v>
      </c>
      <c r="D352" s="138" t="s">
        <v>374</v>
      </c>
      <c r="E352" s="135" t="s">
        <v>101</v>
      </c>
    </row>
    <row r="353" spans="1:5" ht="15.75" x14ac:dyDescent="0.25">
      <c r="A353" s="136">
        <v>9</v>
      </c>
      <c r="B353" s="137" t="s">
        <v>98</v>
      </c>
      <c r="C353" s="137" t="s">
        <v>352</v>
      </c>
      <c r="D353" s="138" t="s">
        <v>376</v>
      </c>
      <c r="E353" s="135" t="s">
        <v>101</v>
      </c>
    </row>
    <row r="354" spans="1:5" ht="15.75" x14ac:dyDescent="0.25">
      <c r="A354" s="136">
        <v>10</v>
      </c>
      <c r="B354" s="137" t="s">
        <v>114</v>
      </c>
      <c r="C354" s="137" t="s">
        <v>39</v>
      </c>
      <c r="D354" s="138" t="s">
        <v>52</v>
      </c>
      <c r="E354" s="135" t="s">
        <v>115</v>
      </c>
    </row>
    <row r="355" spans="1:5" ht="30" x14ac:dyDescent="0.25">
      <c r="A355" s="136">
        <v>11</v>
      </c>
      <c r="B355" s="137" t="s">
        <v>134</v>
      </c>
      <c r="C355" s="137" t="s">
        <v>135</v>
      </c>
      <c r="D355" s="138" t="s">
        <v>378</v>
      </c>
      <c r="E355" s="139" t="s">
        <v>138</v>
      </c>
    </row>
    <row r="356" spans="1:5" ht="15.75" x14ac:dyDescent="0.25">
      <c r="A356" s="136">
        <v>12</v>
      </c>
      <c r="B356" s="137" t="s">
        <v>145</v>
      </c>
      <c r="C356" s="137" t="s">
        <v>52</v>
      </c>
      <c r="D356" s="138" t="s">
        <v>379</v>
      </c>
      <c r="E356" s="139"/>
    </row>
    <row r="357" spans="1:5" ht="15.75" x14ac:dyDescent="0.25">
      <c r="A357" s="136">
        <v>13</v>
      </c>
      <c r="B357" s="137" t="s">
        <v>159</v>
      </c>
      <c r="C357" s="137" t="s">
        <v>160</v>
      </c>
      <c r="D357" s="138" t="s">
        <v>381</v>
      </c>
      <c r="E357" s="139"/>
    </row>
    <row r="358" spans="1:5" x14ac:dyDescent="0.25">
      <c r="A358" s="136"/>
      <c r="B358" s="136"/>
      <c r="C358" s="136"/>
      <c r="D358" s="136"/>
      <c r="E358" s="136"/>
    </row>
    <row r="364" spans="1:5" ht="15.75" x14ac:dyDescent="0.25">
      <c r="E364" s="129" t="s">
        <v>2</v>
      </c>
    </row>
    <row r="365" spans="1:5" ht="15.75" x14ac:dyDescent="0.25">
      <c r="E365" s="129" t="s">
        <v>3</v>
      </c>
    </row>
    <row r="366" spans="1:5" ht="15.75" x14ac:dyDescent="0.25">
      <c r="E366" s="131" t="s">
        <v>7</v>
      </c>
    </row>
    <row r="367" spans="1:5" x14ac:dyDescent="0.25">
      <c r="E367" s="133" t="s">
        <v>646</v>
      </c>
    </row>
    <row r="368" spans="1:5" x14ac:dyDescent="0.25">
      <c r="A368" s="191" t="str">
        <f>VLOOKUP(A371,[1]BD!C:D,2,0)</f>
        <v>Jilotepec de Andres Molina Enriquez</v>
      </c>
      <c r="B368" s="191"/>
      <c r="C368" s="191"/>
      <c r="D368" s="191"/>
      <c r="E368" s="191"/>
    </row>
    <row r="369" spans="1:5" x14ac:dyDescent="0.25">
      <c r="A369" s="191"/>
      <c r="B369" s="191"/>
      <c r="C369" s="191"/>
      <c r="D369" s="191"/>
      <c r="E369" s="191"/>
    </row>
    <row r="370" spans="1:5" x14ac:dyDescent="0.25">
      <c r="A370" s="189" t="s">
        <v>21</v>
      </c>
      <c r="B370" s="189"/>
      <c r="C370" s="189"/>
      <c r="D370" s="189"/>
      <c r="E370" s="134" t="s">
        <v>23</v>
      </c>
    </row>
    <row r="371" spans="1:5" ht="36" x14ac:dyDescent="0.25">
      <c r="A371" s="190">
        <v>6014</v>
      </c>
      <c r="B371" s="190"/>
      <c r="C371" s="190"/>
      <c r="D371" s="190"/>
      <c r="E371" s="135"/>
    </row>
    <row r="372" spans="1:5" x14ac:dyDescent="0.25">
      <c r="A372" s="136" t="s">
        <v>647</v>
      </c>
      <c r="B372" s="136" t="s">
        <v>24</v>
      </c>
      <c r="C372" s="136" t="s">
        <v>25</v>
      </c>
      <c r="D372" s="136" t="s">
        <v>648</v>
      </c>
      <c r="E372" s="136" t="s">
        <v>30</v>
      </c>
    </row>
    <row r="373" spans="1:5" ht="15.75" x14ac:dyDescent="0.25">
      <c r="A373" s="136">
        <v>1</v>
      </c>
      <c r="B373" s="137" t="s">
        <v>37</v>
      </c>
      <c r="C373" s="137" t="s">
        <v>39</v>
      </c>
      <c r="D373" s="138" t="s">
        <v>383</v>
      </c>
      <c r="E373" s="135" t="s">
        <v>41</v>
      </c>
    </row>
    <row r="374" spans="1:5" ht="15.75" x14ac:dyDescent="0.25">
      <c r="A374" s="136">
        <v>2</v>
      </c>
      <c r="B374" s="137" t="s">
        <v>51</v>
      </c>
      <c r="C374" s="137" t="s">
        <v>52</v>
      </c>
      <c r="D374" s="138" t="s">
        <v>385</v>
      </c>
      <c r="E374" s="135"/>
    </row>
    <row r="375" spans="1:5" ht="15.75" x14ac:dyDescent="0.25">
      <c r="A375" s="136">
        <v>3</v>
      </c>
      <c r="B375" s="137" t="s">
        <v>61</v>
      </c>
      <c r="C375" s="137" t="s">
        <v>62</v>
      </c>
      <c r="D375" s="138" t="s">
        <v>386</v>
      </c>
      <c r="E375" s="135" t="s">
        <v>64</v>
      </c>
    </row>
    <row r="376" spans="1:5" ht="15.75" x14ac:dyDescent="0.25">
      <c r="A376" s="136">
        <v>4</v>
      </c>
      <c r="B376" s="137" t="s">
        <v>72</v>
      </c>
      <c r="C376" s="137" t="s">
        <v>73</v>
      </c>
      <c r="D376" s="138" t="s">
        <v>388</v>
      </c>
      <c r="E376" s="135"/>
    </row>
    <row r="377" spans="1:5" ht="15.75" x14ac:dyDescent="0.25">
      <c r="A377" s="136">
        <v>5</v>
      </c>
      <c r="B377" s="137" t="s">
        <v>88</v>
      </c>
      <c r="C377" s="137" t="s">
        <v>90</v>
      </c>
      <c r="D377" s="138" t="s">
        <v>390</v>
      </c>
      <c r="E377" s="135"/>
    </row>
    <row r="378" spans="1:5" ht="15.75" x14ac:dyDescent="0.25">
      <c r="A378" s="136">
        <v>6</v>
      </c>
      <c r="B378" s="137" t="s">
        <v>96</v>
      </c>
      <c r="C378" s="137" t="s">
        <v>62</v>
      </c>
      <c r="D378" s="138" t="s">
        <v>391</v>
      </c>
      <c r="E378" s="135"/>
    </row>
    <row r="379" spans="1:5" ht="15.75" x14ac:dyDescent="0.25">
      <c r="A379" s="136">
        <v>7</v>
      </c>
      <c r="B379" s="137" t="s">
        <v>98</v>
      </c>
      <c r="C379" s="137" t="s">
        <v>352</v>
      </c>
      <c r="D379" s="138" t="s">
        <v>393</v>
      </c>
      <c r="E379" s="135" t="s">
        <v>101</v>
      </c>
    </row>
    <row r="380" spans="1:5" ht="15.75" x14ac:dyDescent="0.25">
      <c r="A380" s="136">
        <v>8</v>
      </c>
      <c r="B380" s="137" t="s">
        <v>114</v>
      </c>
      <c r="C380" s="137" t="s">
        <v>39</v>
      </c>
      <c r="D380" s="138" t="s">
        <v>52</v>
      </c>
      <c r="E380" s="135" t="s">
        <v>115</v>
      </c>
    </row>
    <row r="381" spans="1:5" ht="15.75" x14ac:dyDescent="0.25">
      <c r="A381" s="136">
        <v>9</v>
      </c>
      <c r="B381" s="137" t="s">
        <v>134</v>
      </c>
      <c r="C381" s="137" t="s">
        <v>135</v>
      </c>
      <c r="D381" s="138" t="s">
        <v>395</v>
      </c>
      <c r="E381" s="135" t="s">
        <v>138</v>
      </c>
    </row>
    <row r="382" spans="1:5" ht="15.75" x14ac:dyDescent="0.25">
      <c r="A382" s="136">
        <v>10</v>
      </c>
      <c r="B382" s="137" t="s">
        <v>145</v>
      </c>
      <c r="C382" s="137" t="s">
        <v>52</v>
      </c>
      <c r="D382" s="138" t="s">
        <v>397</v>
      </c>
      <c r="E382" s="135"/>
    </row>
    <row r="383" spans="1:5" ht="15.75" x14ac:dyDescent="0.25">
      <c r="A383" s="136">
        <v>11</v>
      </c>
      <c r="B383" s="137" t="s">
        <v>159</v>
      </c>
      <c r="C383" s="137" t="s">
        <v>160</v>
      </c>
      <c r="D383" s="138" t="s">
        <v>399</v>
      </c>
      <c r="E383" s="139"/>
    </row>
    <row r="384" spans="1:5" x14ac:dyDescent="0.25">
      <c r="A384" s="136"/>
      <c r="B384" s="136"/>
      <c r="C384" s="136"/>
      <c r="D384" s="136"/>
      <c r="E384" s="136"/>
    </row>
    <row r="389" spans="1:5" ht="15.75" x14ac:dyDescent="0.25">
      <c r="E389" s="129" t="s">
        <v>2</v>
      </c>
    </row>
    <row r="390" spans="1:5" ht="15.75" x14ac:dyDescent="0.25">
      <c r="E390" s="129" t="s">
        <v>3</v>
      </c>
    </row>
    <row r="391" spans="1:5" ht="15.75" x14ac:dyDescent="0.25">
      <c r="E391" s="131" t="s">
        <v>7</v>
      </c>
    </row>
    <row r="392" spans="1:5" x14ac:dyDescent="0.25">
      <c r="E392" s="133" t="s">
        <v>646</v>
      </c>
    </row>
    <row r="393" spans="1:5" x14ac:dyDescent="0.25">
      <c r="A393" s="191" t="str">
        <f>VLOOKUP(A396,[1]BD!C:D,2,0)</f>
        <v>Ixtlahuaca de Rayon</v>
      </c>
      <c r="B393" s="191"/>
      <c r="C393" s="191"/>
      <c r="D393" s="191"/>
      <c r="E393" s="191"/>
    </row>
    <row r="394" spans="1:5" x14ac:dyDescent="0.25">
      <c r="A394" s="191"/>
      <c r="B394" s="191"/>
      <c r="C394" s="191"/>
      <c r="D394" s="191"/>
      <c r="E394" s="191"/>
    </row>
    <row r="395" spans="1:5" x14ac:dyDescent="0.25">
      <c r="A395" s="189" t="s">
        <v>21</v>
      </c>
      <c r="B395" s="189"/>
      <c r="C395" s="189"/>
      <c r="D395" s="189"/>
      <c r="E395" s="134" t="s">
        <v>23</v>
      </c>
    </row>
    <row r="396" spans="1:5" ht="36" x14ac:dyDescent="0.25">
      <c r="A396" s="190">
        <v>6015</v>
      </c>
      <c r="B396" s="190"/>
      <c r="C396" s="190"/>
      <c r="D396" s="190"/>
      <c r="E396" s="135"/>
    </row>
    <row r="397" spans="1:5" x14ac:dyDescent="0.25">
      <c r="A397" s="136" t="s">
        <v>647</v>
      </c>
      <c r="B397" s="136" t="s">
        <v>24</v>
      </c>
      <c r="C397" s="136" t="s">
        <v>25</v>
      </c>
      <c r="D397" s="136" t="s">
        <v>648</v>
      </c>
      <c r="E397" s="136" t="s">
        <v>30</v>
      </c>
    </row>
    <row r="398" spans="1:5" ht="15.75" x14ac:dyDescent="0.25">
      <c r="A398" s="136">
        <v>1</v>
      </c>
      <c r="B398" s="137" t="s">
        <v>37</v>
      </c>
      <c r="C398" s="137" t="s">
        <v>39</v>
      </c>
      <c r="D398" s="138" t="s">
        <v>401</v>
      </c>
      <c r="E398" s="135" t="s">
        <v>41</v>
      </c>
    </row>
    <row r="399" spans="1:5" ht="15.75" x14ac:dyDescent="0.25">
      <c r="A399" s="136">
        <v>2</v>
      </c>
      <c r="B399" s="137" t="s">
        <v>51</v>
      </c>
      <c r="C399" s="137" t="s">
        <v>52</v>
      </c>
      <c r="D399" s="138" t="s">
        <v>403</v>
      </c>
      <c r="E399" s="135"/>
    </row>
    <row r="400" spans="1:5" ht="15.75" x14ac:dyDescent="0.25">
      <c r="A400" s="136">
        <v>3</v>
      </c>
      <c r="B400" s="137" t="s">
        <v>61</v>
      </c>
      <c r="C400" s="137" t="s">
        <v>62</v>
      </c>
      <c r="D400" s="138" t="s">
        <v>404</v>
      </c>
      <c r="E400" s="135" t="s">
        <v>64</v>
      </c>
    </row>
    <row r="401" spans="1:5" ht="15.75" x14ac:dyDescent="0.25">
      <c r="A401" s="136">
        <v>4</v>
      </c>
      <c r="B401" s="137" t="s">
        <v>72</v>
      </c>
      <c r="C401" s="137" t="s">
        <v>73</v>
      </c>
      <c r="D401" s="138" t="s">
        <v>406</v>
      </c>
      <c r="E401" s="135"/>
    </row>
    <row r="402" spans="1:5" ht="15.75" x14ac:dyDescent="0.25">
      <c r="A402" s="136">
        <v>5</v>
      </c>
      <c r="B402" s="137" t="s">
        <v>88</v>
      </c>
      <c r="C402" s="137" t="s">
        <v>90</v>
      </c>
      <c r="D402" s="138" t="s">
        <v>408</v>
      </c>
      <c r="E402" s="135"/>
    </row>
    <row r="403" spans="1:5" ht="15.75" x14ac:dyDescent="0.25">
      <c r="A403" s="136">
        <v>6</v>
      </c>
      <c r="B403" s="137" t="s">
        <v>96</v>
      </c>
      <c r="C403" s="137" t="s">
        <v>62</v>
      </c>
      <c r="D403" s="138" t="s">
        <v>409</v>
      </c>
      <c r="E403" s="135"/>
    </row>
    <row r="404" spans="1:5" ht="15.75" x14ac:dyDescent="0.25">
      <c r="A404" s="136">
        <v>7</v>
      </c>
      <c r="B404" s="137" t="s">
        <v>98</v>
      </c>
      <c r="C404" s="137" t="s">
        <v>352</v>
      </c>
      <c r="D404" s="138" t="s">
        <v>410</v>
      </c>
      <c r="E404" s="135" t="s">
        <v>101</v>
      </c>
    </row>
    <row r="405" spans="1:5" ht="15.75" x14ac:dyDescent="0.25">
      <c r="A405" s="136">
        <v>8</v>
      </c>
      <c r="B405" s="137" t="s">
        <v>98</v>
      </c>
      <c r="C405" s="137" t="s">
        <v>352</v>
      </c>
      <c r="D405" s="138" t="s">
        <v>411</v>
      </c>
      <c r="E405" s="135" t="s">
        <v>101</v>
      </c>
    </row>
    <row r="406" spans="1:5" ht="15.75" x14ac:dyDescent="0.25">
      <c r="A406" s="136">
        <v>9</v>
      </c>
      <c r="B406" s="137" t="s">
        <v>98</v>
      </c>
      <c r="C406" s="137" t="s">
        <v>352</v>
      </c>
      <c r="D406" s="138" t="s">
        <v>412</v>
      </c>
      <c r="E406" s="135" t="s">
        <v>101</v>
      </c>
    </row>
    <row r="407" spans="1:5" ht="15.75" x14ac:dyDescent="0.25">
      <c r="A407" s="136">
        <v>10</v>
      </c>
      <c r="B407" s="137" t="s">
        <v>114</v>
      </c>
      <c r="C407" s="137" t="s">
        <v>39</v>
      </c>
      <c r="D407" s="138" t="s">
        <v>52</v>
      </c>
      <c r="E407" s="135" t="s">
        <v>115</v>
      </c>
    </row>
    <row r="408" spans="1:5" ht="30" x14ac:dyDescent="0.25">
      <c r="A408" s="136">
        <v>11</v>
      </c>
      <c r="B408" s="137" t="s">
        <v>134</v>
      </c>
      <c r="C408" s="137" t="s">
        <v>135</v>
      </c>
      <c r="D408" s="138" t="s">
        <v>414</v>
      </c>
      <c r="E408" s="139" t="s">
        <v>138</v>
      </c>
    </row>
    <row r="409" spans="1:5" ht="15.75" x14ac:dyDescent="0.25">
      <c r="A409" s="136">
        <v>12</v>
      </c>
      <c r="B409" s="137" t="s">
        <v>145</v>
      </c>
      <c r="C409" s="137" t="s">
        <v>52</v>
      </c>
      <c r="D409" s="138" t="s">
        <v>416</v>
      </c>
      <c r="E409" s="139"/>
    </row>
    <row r="410" spans="1:5" ht="15.75" x14ac:dyDescent="0.25">
      <c r="A410" s="136">
        <v>13</v>
      </c>
      <c r="B410" s="137" t="s">
        <v>159</v>
      </c>
      <c r="C410" s="137" t="s">
        <v>160</v>
      </c>
      <c r="D410" s="138" t="s">
        <v>418</v>
      </c>
      <c r="E410" s="139"/>
    </row>
    <row r="411" spans="1:5" x14ac:dyDescent="0.25">
      <c r="A411" s="136"/>
      <c r="B411" s="136"/>
      <c r="C411" s="136"/>
      <c r="D411" s="136"/>
      <c r="E411" s="136"/>
    </row>
    <row r="415" spans="1:5" x14ac:dyDescent="0.25">
      <c r="A415" s="128" t="s">
        <v>652</v>
      </c>
    </row>
    <row r="416" spans="1:5" ht="15.75" x14ac:dyDescent="0.25">
      <c r="E416" s="129" t="s">
        <v>2</v>
      </c>
    </row>
    <row r="417" spans="1:5" ht="15.75" x14ac:dyDescent="0.25">
      <c r="E417" s="129" t="s">
        <v>3</v>
      </c>
    </row>
    <row r="418" spans="1:5" ht="15.75" x14ac:dyDescent="0.25">
      <c r="E418" s="131" t="s">
        <v>7</v>
      </c>
    </row>
    <row r="419" spans="1:5" x14ac:dyDescent="0.25">
      <c r="E419" s="133" t="s">
        <v>646</v>
      </c>
    </row>
    <row r="420" spans="1:5" x14ac:dyDescent="0.25">
      <c r="A420" s="191" t="str">
        <f>VLOOKUP(A423,[1]BD!C:D,2,0)</f>
        <v>Ciudad Adolfo Lopez Mateos</v>
      </c>
      <c r="B420" s="191"/>
      <c r="C420" s="191"/>
      <c r="D420" s="191"/>
      <c r="E420" s="191"/>
    </row>
    <row r="421" spans="1:5" x14ac:dyDescent="0.25">
      <c r="A421" s="191"/>
      <c r="B421" s="191"/>
      <c r="C421" s="191"/>
      <c r="D421" s="191"/>
      <c r="E421" s="191"/>
    </row>
    <row r="422" spans="1:5" x14ac:dyDescent="0.25">
      <c r="A422" s="189" t="s">
        <v>21</v>
      </c>
      <c r="B422" s="189"/>
      <c r="C422" s="189"/>
      <c r="D422" s="189"/>
      <c r="E422" s="134" t="s">
        <v>23</v>
      </c>
    </row>
    <row r="423" spans="1:5" ht="36" x14ac:dyDescent="0.25">
      <c r="A423" s="190">
        <v>6016</v>
      </c>
      <c r="B423" s="190"/>
      <c r="C423" s="190"/>
      <c r="D423" s="190"/>
      <c r="E423" s="135"/>
    </row>
    <row r="424" spans="1:5" x14ac:dyDescent="0.25">
      <c r="A424" s="136" t="s">
        <v>647</v>
      </c>
      <c r="B424" s="136" t="s">
        <v>24</v>
      </c>
      <c r="C424" s="136" t="s">
        <v>25</v>
      </c>
      <c r="D424" s="136" t="s">
        <v>648</v>
      </c>
      <c r="E424" s="136" t="s">
        <v>30</v>
      </c>
    </row>
    <row r="425" spans="1:5" ht="15.75" x14ac:dyDescent="0.25">
      <c r="A425" s="136">
        <v>1</v>
      </c>
      <c r="B425" s="137" t="s">
        <v>37</v>
      </c>
      <c r="C425" s="137" t="s">
        <v>39</v>
      </c>
      <c r="D425" s="138" t="s">
        <v>420</v>
      </c>
      <c r="E425" s="135" t="s">
        <v>41</v>
      </c>
    </row>
    <row r="426" spans="1:5" ht="15.75" x14ac:dyDescent="0.25">
      <c r="A426" s="136">
        <v>2</v>
      </c>
      <c r="B426" s="137" t="s">
        <v>51</v>
      </c>
      <c r="C426" s="137" t="s">
        <v>52</v>
      </c>
      <c r="D426" s="138" t="s">
        <v>422</v>
      </c>
      <c r="E426" s="135"/>
    </row>
    <row r="427" spans="1:5" ht="15.75" x14ac:dyDescent="0.25">
      <c r="A427" s="136">
        <v>3</v>
      </c>
      <c r="B427" s="137" t="s">
        <v>61</v>
      </c>
      <c r="C427" s="137" t="s">
        <v>62</v>
      </c>
      <c r="D427" s="138" t="s">
        <v>423</v>
      </c>
      <c r="E427" s="135" t="s">
        <v>64</v>
      </c>
    </row>
    <row r="428" spans="1:5" ht="15.75" x14ac:dyDescent="0.25">
      <c r="A428" s="136">
        <v>4</v>
      </c>
      <c r="B428" s="137" t="s">
        <v>72</v>
      </c>
      <c r="C428" s="137" t="s">
        <v>73</v>
      </c>
      <c r="D428" s="138" t="s">
        <v>425</v>
      </c>
      <c r="E428" s="135"/>
    </row>
    <row r="429" spans="1:5" ht="15.75" x14ac:dyDescent="0.25">
      <c r="A429" s="136">
        <v>5</v>
      </c>
      <c r="B429" s="137" t="s">
        <v>88</v>
      </c>
      <c r="C429" s="137" t="s">
        <v>90</v>
      </c>
      <c r="D429" s="138" t="s">
        <v>427</v>
      </c>
      <c r="E429" s="135"/>
    </row>
    <row r="430" spans="1:5" ht="15.75" x14ac:dyDescent="0.25">
      <c r="A430" s="136">
        <v>6</v>
      </c>
      <c r="B430" s="137" t="s">
        <v>96</v>
      </c>
      <c r="C430" s="137" t="s">
        <v>62</v>
      </c>
      <c r="D430" s="138" t="s">
        <v>428</v>
      </c>
      <c r="E430" s="135"/>
    </row>
    <row r="431" spans="1:5" ht="15.75" x14ac:dyDescent="0.25">
      <c r="A431" s="136">
        <v>7</v>
      </c>
      <c r="B431" s="137" t="s">
        <v>98</v>
      </c>
      <c r="C431" s="137" t="s">
        <v>352</v>
      </c>
      <c r="D431" s="138" t="s">
        <v>430</v>
      </c>
      <c r="E431" s="135" t="s">
        <v>101</v>
      </c>
    </row>
    <row r="432" spans="1:5" ht="15.75" x14ac:dyDescent="0.25">
      <c r="A432" s="136">
        <v>8</v>
      </c>
      <c r="B432" s="137" t="s">
        <v>98</v>
      </c>
      <c r="C432" s="137" t="s">
        <v>352</v>
      </c>
      <c r="D432" s="138" t="s">
        <v>432</v>
      </c>
      <c r="E432" s="135" t="s">
        <v>101</v>
      </c>
    </row>
    <row r="433" spans="1:5" ht="15.75" x14ac:dyDescent="0.25">
      <c r="A433" s="136">
        <v>9</v>
      </c>
      <c r="B433" s="137" t="s">
        <v>98</v>
      </c>
      <c r="C433" s="137" t="s">
        <v>352</v>
      </c>
      <c r="D433" s="138" t="s">
        <v>434</v>
      </c>
      <c r="E433" s="135" t="s">
        <v>101</v>
      </c>
    </row>
    <row r="434" spans="1:5" ht="15.75" x14ac:dyDescent="0.25">
      <c r="A434" s="136">
        <v>10</v>
      </c>
      <c r="B434" s="137" t="s">
        <v>98</v>
      </c>
      <c r="C434" s="137" t="s">
        <v>352</v>
      </c>
      <c r="D434" s="138" t="s">
        <v>436</v>
      </c>
      <c r="E434" s="135" t="s">
        <v>101</v>
      </c>
    </row>
    <row r="435" spans="1:5" ht="15.75" x14ac:dyDescent="0.25">
      <c r="A435" s="136">
        <v>11</v>
      </c>
      <c r="B435" s="137" t="s">
        <v>114</v>
      </c>
      <c r="C435" s="137" t="s">
        <v>39</v>
      </c>
      <c r="D435" s="138" t="s">
        <v>52</v>
      </c>
      <c r="E435" s="139" t="s">
        <v>115</v>
      </c>
    </row>
    <row r="436" spans="1:5" ht="30" x14ac:dyDescent="0.25">
      <c r="A436" s="136">
        <v>12</v>
      </c>
      <c r="B436" s="137" t="s">
        <v>134</v>
      </c>
      <c r="C436" s="137" t="s">
        <v>135</v>
      </c>
      <c r="D436" s="138" t="s">
        <v>438</v>
      </c>
      <c r="E436" s="139" t="s">
        <v>138</v>
      </c>
    </row>
    <row r="437" spans="1:5" ht="15.75" x14ac:dyDescent="0.25">
      <c r="A437" s="136">
        <v>13</v>
      </c>
      <c r="B437" s="137" t="s">
        <v>145</v>
      </c>
      <c r="C437" s="137" t="s">
        <v>52</v>
      </c>
      <c r="D437" s="138" t="s">
        <v>440</v>
      </c>
      <c r="E437" s="139"/>
    </row>
    <row r="438" spans="1:5" ht="15.75" x14ac:dyDescent="0.25">
      <c r="A438" s="136">
        <v>14</v>
      </c>
      <c r="B438" s="137" t="s">
        <v>159</v>
      </c>
      <c r="C438" s="137" t="s">
        <v>160</v>
      </c>
      <c r="D438" s="138" t="s">
        <v>442</v>
      </c>
      <c r="E438" s="139"/>
    </row>
    <row r="439" spans="1:5" x14ac:dyDescent="0.25">
      <c r="A439" s="136"/>
      <c r="B439" s="136"/>
      <c r="C439" s="136"/>
      <c r="D439" s="136"/>
      <c r="E439" s="136"/>
    </row>
    <row r="444" spans="1:5" ht="15.75" x14ac:dyDescent="0.25">
      <c r="E444" s="129" t="s">
        <v>2</v>
      </c>
    </row>
    <row r="445" spans="1:5" ht="15.75" x14ac:dyDescent="0.25">
      <c r="E445" s="129" t="s">
        <v>3</v>
      </c>
    </row>
    <row r="446" spans="1:5" ht="15.75" x14ac:dyDescent="0.25">
      <c r="E446" s="131" t="s">
        <v>7</v>
      </c>
    </row>
    <row r="447" spans="1:5" x14ac:dyDescent="0.25">
      <c r="E447" s="133" t="s">
        <v>646</v>
      </c>
    </row>
    <row r="448" spans="1:5" x14ac:dyDescent="0.25">
      <c r="A448" s="191" t="str">
        <f>VLOOKUP(A451,[1]BD!C:D,2,0)</f>
        <v>Huixquilucan de degollado</v>
      </c>
      <c r="B448" s="191"/>
      <c r="C448" s="191"/>
      <c r="D448" s="191"/>
      <c r="E448" s="191"/>
    </row>
    <row r="449" spans="1:5" x14ac:dyDescent="0.25">
      <c r="A449" s="191"/>
      <c r="B449" s="191"/>
      <c r="C449" s="191"/>
      <c r="D449" s="191"/>
      <c r="E449" s="191"/>
    </row>
    <row r="450" spans="1:5" x14ac:dyDescent="0.25">
      <c r="A450" s="189" t="s">
        <v>21</v>
      </c>
      <c r="B450" s="189"/>
      <c r="C450" s="189"/>
      <c r="D450" s="189"/>
      <c r="E450" s="134" t="s">
        <v>23</v>
      </c>
    </row>
    <row r="451" spans="1:5" ht="36" x14ac:dyDescent="0.25">
      <c r="A451" s="190">
        <v>6017</v>
      </c>
      <c r="B451" s="190"/>
      <c r="C451" s="190"/>
      <c r="D451" s="190"/>
      <c r="E451" s="135"/>
    </row>
    <row r="452" spans="1:5" x14ac:dyDescent="0.25">
      <c r="A452" s="136" t="s">
        <v>647</v>
      </c>
      <c r="B452" s="136" t="s">
        <v>24</v>
      </c>
      <c r="C452" s="136" t="s">
        <v>25</v>
      </c>
      <c r="D452" s="136" t="s">
        <v>648</v>
      </c>
      <c r="E452" s="136" t="s">
        <v>30</v>
      </c>
    </row>
    <row r="453" spans="1:5" ht="15.75" x14ac:dyDescent="0.25">
      <c r="A453" s="136">
        <v>1</v>
      </c>
      <c r="B453" s="137" t="s">
        <v>37</v>
      </c>
      <c r="C453" s="137" t="s">
        <v>39</v>
      </c>
      <c r="D453" s="138" t="s">
        <v>444</v>
      </c>
      <c r="E453" s="135" t="s">
        <v>41</v>
      </c>
    </row>
    <row r="454" spans="1:5" ht="15.75" x14ac:dyDescent="0.25">
      <c r="A454" s="136">
        <v>2</v>
      </c>
      <c r="B454" s="137" t="s">
        <v>51</v>
      </c>
      <c r="C454" s="137" t="s">
        <v>52</v>
      </c>
      <c r="D454" s="138" t="s">
        <v>446</v>
      </c>
      <c r="E454" s="135"/>
    </row>
    <row r="455" spans="1:5" ht="15.75" x14ac:dyDescent="0.25">
      <c r="A455" s="136">
        <v>3</v>
      </c>
      <c r="B455" s="137" t="s">
        <v>61</v>
      </c>
      <c r="C455" s="137" t="s">
        <v>62</v>
      </c>
      <c r="D455" s="138" t="s">
        <v>447</v>
      </c>
      <c r="E455" s="135" t="s">
        <v>64</v>
      </c>
    </row>
    <row r="456" spans="1:5" ht="15.75" x14ac:dyDescent="0.25">
      <c r="A456" s="136">
        <v>4</v>
      </c>
      <c r="B456" s="137" t="s">
        <v>72</v>
      </c>
      <c r="C456" s="137" t="s">
        <v>73</v>
      </c>
      <c r="D456" s="138" t="s">
        <v>449</v>
      </c>
      <c r="E456" s="135"/>
    </row>
    <row r="457" spans="1:5" ht="15.75" x14ac:dyDescent="0.25">
      <c r="A457" s="136">
        <v>5</v>
      </c>
      <c r="B457" s="137" t="s">
        <v>88</v>
      </c>
      <c r="C457" s="137" t="s">
        <v>90</v>
      </c>
      <c r="D457" s="138" t="s">
        <v>451</v>
      </c>
      <c r="E457" s="135"/>
    </row>
    <row r="458" spans="1:5" ht="15.75" x14ac:dyDescent="0.25">
      <c r="A458" s="136">
        <v>6</v>
      </c>
      <c r="B458" s="137" t="s">
        <v>96</v>
      </c>
      <c r="C458" s="137" t="s">
        <v>62</v>
      </c>
      <c r="D458" s="138" t="s">
        <v>452</v>
      </c>
      <c r="E458" s="135"/>
    </row>
    <row r="459" spans="1:5" ht="15.75" x14ac:dyDescent="0.25">
      <c r="A459" s="136">
        <v>7</v>
      </c>
      <c r="B459" s="137" t="s">
        <v>98</v>
      </c>
      <c r="C459" s="137" t="s">
        <v>352</v>
      </c>
      <c r="D459" s="138" t="s">
        <v>454</v>
      </c>
      <c r="E459" s="135" t="s">
        <v>101</v>
      </c>
    </row>
    <row r="460" spans="1:5" ht="15.75" x14ac:dyDescent="0.25">
      <c r="A460" s="136">
        <v>8</v>
      </c>
      <c r="B460" s="137" t="s">
        <v>98</v>
      </c>
      <c r="C460" s="137" t="s">
        <v>352</v>
      </c>
      <c r="D460" s="138" t="s">
        <v>456</v>
      </c>
      <c r="E460" s="135" t="s">
        <v>101</v>
      </c>
    </row>
    <row r="461" spans="1:5" ht="15.75" x14ac:dyDescent="0.25">
      <c r="A461" s="136">
        <v>9</v>
      </c>
      <c r="B461" s="137" t="s">
        <v>98</v>
      </c>
      <c r="C461" s="137" t="s">
        <v>352</v>
      </c>
      <c r="D461" s="138" t="s">
        <v>458</v>
      </c>
      <c r="E461" s="135" t="s">
        <v>101</v>
      </c>
    </row>
    <row r="462" spans="1:5" ht="15.75" x14ac:dyDescent="0.25">
      <c r="A462" s="136">
        <v>10</v>
      </c>
      <c r="B462" s="137" t="s">
        <v>98</v>
      </c>
      <c r="C462" s="137" t="s">
        <v>352</v>
      </c>
      <c r="D462" s="138" t="s">
        <v>460</v>
      </c>
      <c r="E462" s="135" t="s">
        <v>101</v>
      </c>
    </row>
    <row r="463" spans="1:5" ht="15.75" x14ac:dyDescent="0.25">
      <c r="A463" s="136">
        <v>11</v>
      </c>
      <c r="B463" s="137" t="s">
        <v>114</v>
      </c>
      <c r="C463" s="137" t="s">
        <v>39</v>
      </c>
      <c r="D463" s="138" t="s">
        <v>52</v>
      </c>
      <c r="E463" s="139" t="s">
        <v>115</v>
      </c>
    </row>
    <row r="464" spans="1:5" ht="30" x14ac:dyDescent="0.25">
      <c r="A464" s="136">
        <v>12</v>
      </c>
      <c r="B464" s="137" t="s">
        <v>134</v>
      </c>
      <c r="C464" s="137" t="s">
        <v>135</v>
      </c>
      <c r="D464" s="138" t="s">
        <v>462</v>
      </c>
      <c r="E464" s="139" t="s">
        <v>138</v>
      </c>
    </row>
    <row r="465" spans="1:5" ht="15.75" x14ac:dyDescent="0.25">
      <c r="A465" s="136">
        <v>13</v>
      </c>
      <c r="B465" s="137" t="s">
        <v>145</v>
      </c>
      <c r="C465" s="137" t="s">
        <v>52</v>
      </c>
      <c r="D465" s="138" t="s">
        <v>464</v>
      </c>
      <c r="E465" s="139"/>
    </row>
    <row r="466" spans="1:5" ht="15.75" x14ac:dyDescent="0.25">
      <c r="A466" s="136">
        <v>14</v>
      </c>
      <c r="B466" s="137" t="s">
        <v>159</v>
      </c>
      <c r="C466" s="137" t="s">
        <v>160</v>
      </c>
      <c r="D466" s="138" t="s">
        <v>466</v>
      </c>
      <c r="E466" s="139"/>
    </row>
    <row r="467" spans="1:5" x14ac:dyDescent="0.25">
      <c r="A467" s="136"/>
      <c r="B467" s="136"/>
      <c r="C467" s="136"/>
      <c r="D467" s="136"/>
      <c r="E467" s="136"/>
    </row>
    <row r="472" spans="1:5" ht="15.75" x14ac:dyDescent="0.25">
      <c r="E472" s="129" t="s">
        <v>2</v>
      </c>
    </row>
    <row r="473" spans="1:5" ht="15.75" x14ac:dyDescent="0.25">
      <c r="E473" s="129" t="s">
        <v>3</v>
      </c>
    </row>
    <row r="474" spans="1:5" ht="15.75" x14ac:dyDescent="0.25">
      <c r="E474" s="131" t="s">
        <v>7</v>
      </c>
    </row>
    <row r="475" spans="1:5" x14ac:dyDescent="0.25">
      <c r="E475" s="133" t="s">
        <v>646</v>
      </c>
    </row>
    <row r="476" spans="1:5" x14ac:dyDescent="0.25">
      <c r="A476" s="191" t="str">
        <f>VLOOKUP(A479,[1]BD!C:D,2,0)</f>
        <v>Tlanepantla de Baz</v>
      </c>
      <c r="B476" s="191"/>
      <c r="C476" s="191"/>
      <c r="D476" s="191"/>
      <c r="E476" s="191"/>
    </row>
    <row r="477" spans="1:5" x14ac:dyDescent="0.25">
      <c r="A477" s="191"/>
      <c r="B477" s="191"/>
      <c r="C477" s="191"/>
      <c r="D477" s="191"/>
      <c r="E477" s="191"/>
    </row>
    <row r="478" spans="1:5" x14ac:dyDescent="0.25">
      <c r="A478" s="189" t="s">
        <v>21</v>
      </c>
      <c r="B478" s="189"/>
      <c r="C478" s="189"/>
      <c r="D478" s="189"/>
      <c r="E478" s="134" t="s">
        <v>23</v>
      </c>
    </row>
    <row r="479" spans="1:5" ht="36" x14ac:dyDescent="0.25">
      <c r="A479" s="190">
        <v>6018</v>
      </c>
      <c r="B479" s="190"/>
      <c r="C479" s="190"/>
      <c r="D479" s="190"/>
      <c r="E479" s="135"/>
    </row>
    <row r="480" spans="1:5" x14ac:dyDescent="0.25">
      <c r="A480" s="136" t="s">
        <v>647</v>
      </c>
      <c r="B480" s="136" t="s">
        <v>24</v>
      </c>
      <c r="C480" s="136" t="s">
        <v>25</v>
      </c>
      <c r="D480" s="136" t="s">
        <v>648</v>
      </c>
      <c r="E480" s="136" t="s">
        <v>30</v>
      </c>
    </row>
    <row r="481" spans="1:5" ht="15.75" x14ac:dyDescent="0.25">
      <c r="A481" s="136">
        <v>1</v>
      </c>
      <c r="B481" s="137" t="s">
        <v>37</v>
      </c>
      <c r="C481" s="137" t="s">
        <v>39</v>
      </c>
      <c r="D481" s="138" t="s">
        <v>468</v>
      </c>
      <c r="E481" s="135" t="s">
        <v>41</v>
      </c>
    </row>
    <row r="482" spans="1:5" ht="15.75" x14ac:dyDescent="0.25">
      <c r="A482" s="136">
        <v>2</v>
      </c>
      <c r="B482" s="137" t="s">
        <v>51</v>
      </c>
      <c r="C482" s="137" t="s">
        <v>52</v>
      </c>
      <c r="D482" s="138" t="s">
        <v>470</v>
      </c>
      <c r="E482" s="135"/>
    </row>
    <row r="483" spans="1:5" ht="15.75" x14ac:dyDescent="0.25">
      <c r="A483" s="136">
        <v>3</v>
      </c>
      <c r="B483" s="137" t="s">
        <v>61</v>
      </c>
      <c r="C483" s="137" t="s">
        <v>62</v>
      </c>
      <c r="D483" s="138" t="s">
        <v>471</v>
      </c>
      <c r="E483" s="135" t="s">
        <v>64</v>
      </c>
    </row>
    <row r="484" spans="1:5" ht="15.75" x14ac:dyDescent="0.25">
      <c r="A484" s="136">
        <v>4</v>
      </c>
      <c r="B484" s="137" t="s">
        <v>72</v>
      </c>
      <c r="C484" s="137" t="s">
        <v>73</v>
      </c>
      <c r="D484" s="138" t="s">
        <v>473</v>
      </c>
      <c r="E484" s="135"/>
    </row>
    <row r="485" spans="1:5" ht="15.75" x14ac:dyDescent="0.25">
      <c r="A485" s="136">
        <v>5</v>
      </c>
      <c r="B485" s="137" t="s">
        <v>88</v>
      </c>
      <c r="C485" s="137" t="s">
        <v>90</v>
      </c>
      <c r="D485" s="138" t="s">
        <v>475</v>
      </c>
      <c r="E485" s="135"/>
    </row>
    <row r="486" spans="1:5" ht="15.75" x14ac:dyDescent="0.25">
      <c r="A486" s="136">
        <v>6</v>
      </c>
      <c r="B486" s="137" t="s">
        <v>96</v>
      </c>
      <c r="C486" s="137" t="s">
        <v>62</v>
      </c>
      <c r="D486" s="138" t="s">
        <v>476</v>
      </c>
      <c r="E486" s="135"/>
    </row>
    <row r="487" spans="1:5" ht="15.75" x14ac:dyDescent="0.25">
      <c r="A487" s="136">
        <v>7</v>
      </c>
      <c r="B487" s="137" t="s">
        <v>98</v>
      </c>
      <c r="C487" s="137" t="s">
        <v>352</v>
      </c>
      <c r="D487" s="138" t="s">
        <v>478</v>
      </c>
      <c r="E487" s="135" t="s">
        <v>101</v>
      </c>
    </row>
    <row r="488" spans="1:5" ht="15.75" x14ac:dyDescent="0.25">
      <c r="A488" s="136">
        <v>8</v>
      </c>
      <c r="B488" s="137" t="s">
        <v>98</v>
      </c>
      <c r="C488" s="137" t="s">
        <v>352</v>
      </c>
      <c r="D488" s="138" t="s">
        <v>480</v>
      </c>
      <c r="E488" s="135" t="s">
        <v>101</v>
      </c>
    </row>
    <row r="489" spans="1:5" ht="15.75" x14ac:dyDescent="0.25">
      <c r="A489" s="136">
        <v>9</v>
      </c>
      <c r="B489" s="137" t="s">
        <v>114</v>
      </c>
      <c r="C489" s="137" t="s">
        <v>39</v>
      </c>
      <c r="D489" s="138" t="s">
        <v>52</v>
      </c>
      <c r="E489" s="135" t="s">
        <v>115</v>
      </c>
    </row>
    <row r="490" spans="1:5" ht="15.75" x14ac:dyDescent="0.25">
      <c r="A490" s="136">
        <v>10</v>
      </c>
      <c r="B490" s="137" t="s">
        <v>134</v>
      </c>
      <c r="C490" s="137" t="s">
        <v>135</v>
      </c>
      <c r="D490" s="138" t="s">
        <v>482</v>
      </c>
      <c r="E490" s="135" t="s">
        <v>138</v>
      </c>
    </row>
    <row r="491" spans="1:5" ht="15.75" x14ac:dyDescent="0.25">
      <c r="A491" s="136">
        <v>11</v>
      </c>
      <c r="B491" s="137" t="s">
        <v>145</v>
      </c>
      <c r="C491" s="137" t="s">
        <v>52</v>
      </c>
      <c r="D491" s="138" t="s">
        <v>484</v>
      </c>
      <c r="E491" s="139"/>
    </row>
    <row r="492" spans="1:5" ht="15.75" x14ac:dyDescent="0.25">
      <c r="A492" s="136">
        <v>12</v>
      </c>
      <c r="B492" s="137" t="s">
        <v>159</v>
      </c>
      <c r="C492" s="137" t="s">
        <v>160</v>
      </c>
      <c r="D492" s="138" t="s">
        <v>486</v>
      </c>
      <c r="E492" s="139"/>
    </row>
    <row r="493" spans="1:5" x14ac:dyDescent="0.25">
      <c r="A493" s="136"/>
      <c r="B493" s="136"/>
      <c r="C493" s="136"/>
      <c r="D493" s="136"/>
      <c r="E493" s="136"/>
    </row>
    <row r="498" spans="1:5" ht="15.75" x14ac:dyDescent="0.25">
      <c r="E498" s="129" t="s">
        <v>2</v>
      </c>
    </row>
    <row r="499" spans="1:5" ht="15.75" x14ac:dyDescent="0.25">
      <c r="E499" s="129" t="s">
        <v>3</v>
      </c>
    </row>
    <row r="500" spans="1:5" ht="15.75" x14ac:dyDescent="0.25">
      <c r="E500" s="131" t="s">
        <v>7</v>
      </c>
    </row>
    <row r="501" spans="1:5" x14ac:dyDescent="0.25">
      <c r="E501" s="133" t="s">
        <v>646</v>
      </c>
    </row>
    <row r="502" spans="1:5" x14ac:dyDescent="0.25">
      <c r="A502" s="191" t="str">
        <f>VLOOKUP(A505,[1]BD!C:D,2,0)</f>
        <v>Santamaria Tultepec</v>
      </c>
      <c r="B502" s="191"/>
      <c r="C502" s="191"/>
      <c r="D502" s="191"/>
      <c r="E502" s="191"/>
    </row>
    <row r="503" spans="1:5" x14ac:dyDescent="0.25">
      <c r="A503" s="191"/>
      <c r="B503" s="191"/>
      <c r="C503" s="191"/>
      <c r="D503" s="191"/>
      <c r="E503" s="191"/>
    </row>
    <row r="504" spans="1:5" x14ac:dyDescent="0.25">
      <c r="A504" s="189" t="s">
        <v>21</v>
      </c>
      <c r="B504" s="189"/>
      <c r="C504" s="189"/>
      <c r="D504" s="189"/>
      <c r="E504" s="134" t="s">
        <v>23</v>
      </c>
    </row>
    <row r="505" spans="1:5" ht="36" x14ac:dyDescent="0.25">
      <c r="A505" s="190">
        <v>6019</v>
      </c>
      <c r="B505" s="190"/>
      <c r="C505" s="190"/>
      <c r="D505" s="190"/>
      <c r="E505" s="135"/>
    </row>
    <row r="506" spans="1:5" x14ac:dyDescent="0.25">
      <c r="A506" s="136" t="s">
        <v>647</v>
      </c>
      <c r="B506" s="136" t="s">
        <v>24</v>
      </c>
      <c r="C506" s="136" t="s">
        <v>25</v>
      </c>
      <c r="D506" s="136" t="s">
        <v>648</v>
      </c>
      <c r="E506" s="136" t="s">
        <v>30</v>
      </c>
    </row>
    <row r="507" spans="1:5" ht="15.75" x14ac:dyDescent="0.25">
      <c r="A507" s="136">
        <v>1</v>
      </c>
      <c r="B507" s="137" t="s">
        <v>37</v>
      </c>
      <c r="C507" s="137" t="s">
        <v>39</v>
      </c>
      <c r="D507" s="138" t="s">
        <v>487</v>
      </c>
      <c r="E507" s="135" t="s">
        <v>41</v>
      </c>
    </row>
    <row r="508" spans="1:5" ht="15.75" x14ac:dyDescent="0.25">
      <c r="A508" s="136">
        <v>2</v>
      </c>
      <c r="B508" s="137" t="s">
        <v>51</v>
      </c>
      <c r="C508" s="137" t="s">
        <v>52</v>
      </c>
      <c r="D508" s="138" t="s">
        <v>489</v>
      </c>
      <c r="E508" s="135"/>
    </row>
    <row r="509" spans="1:5" ht="15.75" x14ac:dyDescent="0.25">
      <c r="A509" s="136">
        <v>3</v>
      </c>
      <c r="B509" s="137" t="s">
        <v>61</v>
      </c>
      <c r="C509" s="137" t="s">
        <v>62</v>
      </c>
      <c r="D509" s="138" t="s">
        <v>490</v>
      </c>
      <c r="E509" s="135" t="s">
        <v>64</v>
      </c>
    </row>
    <row r="510" spans="1:5" ht="15.75" x14ac:dyDescent="0.25">
      <c r="A510" s="136">
        <v>4</v>
      </c>
      <c r="B510" s="137" t="s">
        <v>72</v>
      </c>
      <c r="C510" s="137" t="s">
        <v>73</v>
      </c>
      <c r="D510" s="138" t="s">
        <v>492</v>
      </c>
      <c r="E510" s="135"/>
    </row>
    <row r="511" spans="1:5" ht="15.75" x14ac:dyDescent="0.25">
      <c r="A511" s="136">
        <v>5</v>
      </c>
      <c r="B511" s="137" t="s">
        <v>88</v>
      </c>
      <c r="C511" s="137" t="s">
        <v>90</v>
      </c>
      <c r="D511" s="138" t="s">
        <v>494</v>
      </c>
      <c r="E511" s="135"/>
    </row>
    <row r="512" spans="1:5" ht="15.75" x14ac:dyDescent="0.25">
      <c r="A512" s="136">
        <v>6</v>
      </c>
      <c r="B512" s="137" t="s">
        <v>96</v>
      </c>
      <c r="C512" s="137" t="s">
        <v>62</v>
      </c>
      <c r="D512" s="138" t="s">
        <v>495</v>
      </c>
      <c r="E512" s="135"/>
    </row>
    <row r="513" spans="1:5" ht="15.75" x14ac:dyDescent="0.25">
      <c r="A513" s="136">
        <v>7</v>
      </c>
      <c r="B513" s="137" t="s">
        <v>98</v>
      </c>
      <c r="C513" s="137" t="s">
        <v>352</v>
      </c>
      <c r="D513" s="138" t="s">
        <v>497</v>
      </c>
      <c r="E513" s="135" t="s">
        <v>101</v>
      </c>
    </row>
    <row r="514" spans="1:5" ht="15.75" x14ac:dyDescent="0.25">
      <c r="A514" s="136">
        <v>8</v>
      </c>
      <c r="B514" s="137" t="s">
        <v>98</v>
      </c>
      <c r="C514" s="137" t="s">
        <v>352</v>
      </c>
      <c r="D514" s="138" t="s">
        <v>499</v>
      </c>
      <c r="E514" s="135" t="s">
        <v>101</v>
      </c>
    </row>
    <row r="515" spans="1:5" ht="15.75" x14ac:dyDescent="0.25">
      <c r="A515" s="136">
        <v>9</v>
      </c>
      <c r="B515" s="137" t="s">
        <v>98</v>
      </c>
      <c r="C515" s="137" t="s">
        <v>352</v>
      </c>
      <c r="D515" s="138" t="s">
        <v>501</v>
      </c>
      <c r="E515" s="135" t="s">
        <v>101</v>
      </c>
    </row>
    <row r="516" spans="1:5" ht="15.75" x14ac:dyDescent="0.25">
      <c r="A516" s="136">
        <v>10</v>
      </c>
      <c r="B516" s="137" t="s">
        <v>98</v>
      </c>
      <c r="C516" s="137" t="s">
        <v>352</v>
      </c>
      <c r="D516" s="138" t="s">
        <v>503</v>
      </c>
      <c r="E516" s="135" t="s">
        <v>101</v>
      </c>
    </row>
    <row r="517" spans="1:5" ht="15.75" x14ac:dyDescent="0.25">
      <c r="A517" s="136">
        <v>11</v>
      </c>
      <c r="B517" s="137" t="s">
        <v>114</v>
      </c>
      <c r="C517" s="137" t="s">
        <v>39</v>
      </c>
      <c r="D517" s="138" t="s">
        <v>52</v>
      </c>
      <c r="E517" s="139" t="s">
        <v>115</v>
      </c>
    </row>
    <row r="518" spans="1:5" ht="30" x14ac:dyDescent="0.25">
      <c r="A518" s="136">
        <v>12</v>
      </c>
      <c r="B518" s="137" t="s">
        <v>134</v>
      </c>
      <c r="C518" s="137" t="s">
        <v>135</v>
      </c>
      <c r="D518" s="138" t="s">
        <v>505</v>
      </c>
      <c r="E518" s="139" t="s">
        <v>138</v>
      </c>
    </row>
    <row r="519" spans="1:5" ht="15.75" x14ac:dyDescent="0.25">
      <c r="A519" s="136">
        <v>13</v>
      </c>
      <c r="B519" s="137" t="s">
        <v>145</v>
      </c>
      <c r="C519" s="137" t="s">
        <v>52</v>
      </c>
      <c r="D519" s="138" t="s">
        <v>507</v>
      </c>
      <c r="E519" s="139"/>
    </row>
    <row r="520" spans="1:5" ht="15.75" x14ac:dyDescent="0.25">
      <c r="A520" s="136">
        <v>14</v>
      </c>
      <c r="B520" s="137" t="s">
        <v>159</v>
      </c>
      <c r="C520" s="137" t="s">
        <v>160</v>
      </c>
      <c r="D520" s="138" t="s">
        <v>509</v>
      </c>
      <c r="E520" s="139"/>
    </row>
    <row r="521" spans="1:5" x14ac:dyDescent="0.25">
      <c r="A521" s="136"/>
      <c r="B521" s="136"/>
      <c r="C521" s="136"/>
      <c r="D521" s="136"/>
      <c r="E521" s="136"/>
    </row>
    <row r="526" spans="1:5" ht="15.75" x14ac:dyDescent="0.25">
      <c r="E526" s="129" t="s">
        <v>2</v>
      </c>
    </row>
    <row r="527" spans="1:5" ht="15.75" x14ac:dyDescent="0.25">
      <c r="E527" s="129" t="s">
        <v>3</v>
      </c>
    </row>
    <row r="528" spans="1:5" ht="15.75" x14ac:dyDescent="0.25">
      <c r="E528" s="131" t="s">
        <v>7</v>
      </c>
    </row>
    <row r="529" spans="1:5" x14ac:dyDescent="0.25">
      <c r="E529" s="133" t="s">
        <v>646</v>
      </c>
    </row>
    <row r="530" spans="1:5" x14ac:dyDescent="0.25">
      <c r="A530" s="191" t="str">
        <f>VLOOKUP(A533,[1]BD!C:D,2,0)</f>
        <v>Zumpango de Ocampo</v>
      </c>
      <c r="B530" s="191"/>
      <c r="C530" s="191"/>
      <c r="D530" s="191"/>
      <c r="E530" s="191"/>
    </row>
    <row r="531" spans="1:5" x14ac:dyDescent="0.25">
      <c r="A531" s="191"/>
      <c r="B531" s="191"/>
      <c r="C531" s="191"/>
      <c r="D531" s="191"/>
      <c r="E531" s="191"/>
    </row>
    <row r="532" spans="1:5" x14ac:dyDescent="0.25">
      <c r="A532" s="189" t="s">
        <v>21</v>
      </c>
      <c r="B532" s="189"/>
      <c r="C532" s="189"/>
      <c r="D532" s="189"/>
      <c r="E532" s="134" t="s">
        <v>23</v>
      </c>
    </row>
    <row r="533" spans="1:5" ht="36" x14ac:dyDescent="0.25">
      <c r="A533" s="190">
        <v>6020</v>
      </c>
      <c r="B533" s="190"/>
      <c r="C533" s="190"/>
      <c r="D533" s="190"/>
      <c r="E533" s="135"/>
    </row>
    <row r="534" spans="1:5" x14ac:dyDescent="0.25">
      <c r="A534" s="136" t="s">
        <v>647</v>
      </c>
      <c r="B534" s="136" t="s">
        <v>24</v>
      </c>
      <c r="C534" s="136" t="s">
        <v>25</v>
      </c>
      <c r="D534" s="136" t="s">
        <v>648</v>
      </c>
      <c r="E534" s="136" t="s">
        <v>30</v>
      </c>
    </row>
    <row r="535" spans="1:5" ht="15.75" x14ac:dyDescent="0.25">
      <c r="A535" s="136">
        <v>1</v>
      </c>
      <c r="B535" s="137" t="s">
        <v>37</v>
      </c>
      <c r="C535" s="137" t="s">
        <v>39</v>
      </c>
      <c r="D535" s="138" t="s">
        <v>511</v>
      </c>
      <c r="E535" s="135" t="s">
        <v>41</v>
      </c>
    </row>
    <row r="536" spans="1:5" ht="15.75" x14ac:dyDescent="0.25">
      <c r="A536" s="136">
        <v>2</v>
      </c>
      <c r="B536" s="137" t="s">
        <v>51</v>
      </c>
      <c r="C536" s="137" t="s">
        <v>52</v>
      </c>
      <c r="D536" s="138" t="s">
        <v>513</v>
      </c>
      <c r="E536" s="135"/>
    </row>
    <row r="537" spans="1:5" ht="15.75" x14ac:dyDescent="0.25">
      <c r="A537" s="136">
        <v>3</v>
      </c>
      <c r="B537" s="137" t="s">
        <v>61</v>
      </c>
      <c r="C537" s="137" t="s">
        <v>62</v>
      </c>
      <c r="D537" s="138" t="s">
        <v>514</v>
      </c>
      <c r="E537" s="135" t="s">
        <v>64</v>
      </c>
    </row>
    <row r="538" spans="1:5" ht="15.75" x14ac:dyDescent="0.25">
      <c r="A538" s="136">
        <v>4</v>
      </c>
      <c r="B538" s="137" t="s">
        <v>72</v>
      </c>
      <c r="C538" s="137" t="s">
        <v>73</v>
      </c>
      <c r="D538" s="138" t="s">
        <v>516</v>
      </c>
      <c r="E538" s="135"/>
    </row>
    <row r="539" spans="1:5" ht="15.75" x14ac:dyDescent="0.25">
      <c r="A539" s="136">
        <v>5</v>
      </c>
      <c r="B539" s="137" t="s">
        <v>88</v>
      </c>
      <c r="C539" s="137" t="s">
        <v>90</v>
      </c>
      <c r="D539" s="138" t="s">
        <v>518</v>
      </c>
      <c r="E539" s="135"/>
    </row>
    <row r="540" spans="1:5" ht="15.75" x14ac:dyDescent="0.25">
      <c r="A540" s="136">
        <v>6</v>
      </c>
      <c r="B540" s="137" t="s">
        <v>96</v>
      </c>
      <c r="C540" s="137" t="s">
        <v>62</v>
      </c>
      <c r="D540" s="138" t="s">
        <v>519</v>
      </c>
      <c r="E540" s="135"/>
    </row>
    <row r="541" spans="1:5" ht="15.75" x14ac:dyDescent="0.25">
      <c r="A541" s="136">
        <v>7</v>
      </c>
      <c r="B541" s="137" t="s">
        <v>98</v>
      </c>
      <c r="C541" s="137" t="s">
        <v>352</v>
      </c>
      <c r="D541" s="138" t="s">
        <v>521</v>
      </c>
      <c r="E541" s="135" t="s">
        <v>101</v>
      </c>
    </row>
    <row r="542" spans="1:5" ht="15.75" x14ac:dyDescent="0.25">
      <c r="A542" s="136">
        <v>8</v>
      </c>
      <c r="B542" s="137" t="s">
        <v>98</v>
      </c>
      <c r="C542" s="137" t="s">
        <v>352</v>
      </c>
      <c r="D542" s="138" t="s">
        <v>523</v>
      </c>
      <c r="E542" s="135" t="s">
        <v>101</v>
      </c>
    </row>
    <row r="543" spans="1:5" ht="15.75" x14ac:dyDescent="0.25">
      <c r="A543" s="136">
        <v>9</v>
      </c>
      <c r="B543" s="137" t="s">
        <v>98</v>
      </c>
      <c r="C543" s="137" t="s">
        <v>352</v>
      </c>
      <c r="D543" s="138" t="s">
        <v>525</v>
      </c>
      <c r="E543" s="135" t="s">
        <v>101</v>
      </c>
    </row>
    <row r="544" spans="1:5" ht="15.75" x14ac:dyDescent="0.25">
      <c r="A544" s="136">
        <v>10</v>
      </c>
      <c r="B544" s="137" t="s">
        <v>114</v>
      </c>
      <c r="C544" s="137" t="s">
        <v>39</v>
      </c>
      <c r="D544" s="138" t="s">
        <v>52</v>
      </c>
      <c r="E544" s="135" t="s">
        <v>115</v>
      </c>
    </row>
    <row r="545" spans="1:5" ht="30" x14ac:dyDescent="0.25">
      <c r="A545" s="136">
        <v>11</v>
      </c>
      <c r="B545" s="137" t="s">
        <v>134</v>
      </c>
      <c r="C545" s="137" t="s">
        <v>135</v>
      </c>
      <c r="D545" s="138" t="s">
        <v>527</v>
      </c>
      <c r="E545" s="139" t="s">
        <v>138</v>
      </c>
    </row>
    <row r="546" spans="1:5" ht="15.75" x14ac:dyDescent="0.25">
      <c r="A546" s="136">
        <v>12</v>
      </c>
      <c r="B546" s="137" t="s">
        <v>145</v>
      </c>
      <c r="C546" s="137" t="s">
        <v>52</v>
      </c>
      <c r="D546" s="138" t="s">
        <v>529</v>
      </c>
      <c r="E546" s="139"/>
    </row>
    <row r="547" spans="1:5" ht="15.75" x14ac:dyDescent="0.25">
      <c r="A547" s="136">
        <v>13</v>
      </c>
      <c r="B547" s="137" t="s">
        <v>159</v>
      </c>
      <c r="C547" s="137" t="s">
        <v>160</v>
      </c>
      <c r="D547" s="138" t="s">
        <v>531</v>
      </c>
      <c r="E547" s="139"/>
    </row>
    <row r="548" spans="1:5" x14ac:dyDescent="0.25">
      <c r="A548" s="136"/>
      <c r="B548" s="136"/>
      <c r="C548" s="136"/>
      <c r="D548" s="136"/>
      <c r="E548" s="136"/>
    </row>
    <row r="553" spans="1:5" ht="15.75" x14ac:dyDescent="0.25">
      <c r="E553" s="129" t="s">
        <v>2</v>
      </c>
    </row>
    <row r="554" spans="1:5" ht="15.75" x14ac:dyDescent="0.25">
      <c r="E554" s="129" t="s">
        <v>3</v>
      </c>
    </row>
    <row r="555" spans="1:5" ht="15.75" x14ac:dyDescent="0.25">
      <c r="E555" s="131" t="s">
        <v>7</v>
      </c>
    </row>
    <row r="556" spans="1:5" x14ac:dyDescent="0.25">
      <c r="E556" s="133" t="s">
        <v>646</v>
      </c>
    </row>
    <row r="557" spans="1:5" x14ac:dyDescent="0.25">
      <c r="A557" s="191" t="str">
        <f>VLOOKUP(A560,[1]BD!C:D,2,0)</f>
        <v>Ecatepec de Morelos</v>
      </c>
      <c r="B557" s="191"/>
      <c r="C557" s="191"/>
      <c r="D557" s="191"/>
      <c r="E557" s="191"/>
    </row>
    <row r="558" spans="1:5" x14ac:dyDescent="0.25">
      <c r="A558" s="191"/>
      <c r="B558" s="191"/>
      <c r="C558" s="191"/>
      <c r="D558" s="191"/>
      <c r="E558" s="191"/>
    </row>
    <row r="559" spans="1:5" x14ac:dyDescent="0.25">
      <c r="A559" s="189" t="s">
        <v>21</v>
      </c>
      <c r="B559" s="189"/>
      <c r="C559" s="189"/>
      <c r="D559" s="189"/>
      <c r="E559" s="134" t="s">
        <v>23</v>
      </c>
    </row>
    <row r="560" spans="1:5" ht="36" x14ac:dyDescent="0.25">
      <c r="A560" s="190">
        <v>6021</v>
      </c>
      <c r="B560" s="190"/>
      <c r="C560" s="190"/>
      <c r="D560" s="190"/>
      <c r="E560" s="135"/>
    </row>
    <row r="561" spans="1:5" x14ac:dyDescent="0.25">
      <c r="A561" s="136" t="s">
        <v>647</v>
      </c>
      <c r="B561" s="136" t="s">
        <v>24</v>
      </c>
      <c r="C561" s="136" t="s">
        <v>25</v>
      </c>
      <c r="D561" s="136" t="s">
        <v>648</v>
      </c>
      <c r="E561" s="136" t="s">
        <v>30</v>
      </c>
    </row>
    <row r="562" spans="1:5" ht="15.75" x14ac:dyDescent="0.25">
      <c r="A562" s="136">
        <v>1</v>
      </c>
      <c r="B562" s="137" t="s">
        <v>37</v>
      </c>
      <c r="C562" s="137" t="s">
        <v>39</v>
      </c>
      <c r="D562" s="138" t="s">
        <v>533</v>
      </c>
      <c r="E562" s="135" t="s">
        <v>41</v>
      </c>
    </row>
    <row r="563" spans="1:5" ht="15.75" x14ac:dyDescent="0.25">
      <c r="A563" s="136">
        <v>2</v>
      </c>
      <c r="B563" s="137" t="s">
        <v>51</v>
      </c>
      <c r="C563" s="137" t="s">
        <v>52</v>
      </c>
      <c r="D563" s="138" t="s">
        <v>535</v>
      </c>
      <c r="E563" s="135"/>
    </row>
    <row r="564" spans="1:5" ht="15.75" x14ac:dyDescent="0.25">
      <c r="A564" s="136">
        <v>3</v>
      </c>
      <c r="B564" s="137" t="s">
        <v>61</v>
      </c>
      <c r="C564" s="137" t="s">
        <v>62</v>
      </c>
      <c r="D564" s="138" t="s">
        <v>536</v>
      </c>
      <c r="E564" s="135" t="s">
        <v>64</v>
      </c>
    </row>
    <row r="565" spans="1:5" ht="15.75" x14ac:dyDescent="0.25">
      <c r="A565" s="136">
        <v>4</v>
      </c>
      <c r="B565" s="137" t="s">
        <v>72</v>
      </c>
      <c r="C565" s="137" t="s">
        <v>73</v>
      </c>
      <c r="D565" s="138" t="s">
        <v>538</v>
      </c>
      <c r="E565" s="135"/>
    </row>
    <row r="566" spans="1:5" ht="15.75" x14ac:dyDescent="0.25">
      <c r="A566" s="136">
        <v>5</v>
      </c>
      <c r="B566" s="137" t="s">
        <v>88</v>
      </c>
      <c r="C566" s="137" t="s">
        <v>90</v>
      </c>
      <c r="D566" s="138" t="s">
        <v>539</v>
      </c>
      <c r="E566" s="135"/>
    </row>
    <row r="567" spans="1:5" ht="15.75" x14ac:dyDescent="0.25">
      <c r="A567" s="136">
        <v>6</v>
      </c>
      <c r="B567" s="137" t="s">
        <v>96</v>
      </c>
      <c r="C567" s="137" t="s">
        <v>62</v>
      </c>
      <c r="D567" s="138" t="s">
        <v>540</v>
      </c>
      <c r="E567" s="135"/>
    </row>
    <row r="568" spans="1:5" ht="15.75" x14ac:dyDescent="0.25">
      <c r="A568" s="136">
        <v>7</v>
      </c>
      <c r="B568" s="137" t="s">
        <v>98</v>
      </c>
      <c r="C568" s="137" t="s">
        <v>352</v>
      </c>
      <c r="D568" s="138" t="s">
        <v>542</v>
      </c>
      <c r="E568" s="135" t="s">
        <v>101</v>
      </c>
    </row>
    <row r="569" spans="1:5" ht="15.75" x14ac:dyDescent="0.25">
      <c r="A569" s="136">
        <v>8</v>
      </c>
      <c r="B569" s="137" t="s">
        <v>98</v>
      </c>
      <c r="C569" s="137" t="s">
        <v>352</v>
      </c>
      <c r="D569" s="138" t="s">
        <v>544</v>
      </c>
      <c r="E569" s="135" t="s">
        <v>101</v>
      </c>
    </row>
    <row r="570" spans="1:5" ht="15.75" x14ac:dyDescent="0.25">
      <c r="A570" s="136">
        <v>9</v>
      </c>
      <c r="B570" s="137" t="s">
        <v>98</v>
      </c>
      <c r="C570" s="137" t="s">
        <v>352</v>
      </c>
      <c r="D570" s="138" t="s">
        <v>546</v>
      </c>
      <c r="E570" s="135" t="s">
        <v>101</v>
      </c>
    </row>
    <row r="571" spans="1:5" ht="15.75" x14ac:dyDescent="0.25">
      <c r="A571" s="136">
        <v>10</v>
      </c>
      <c r="B571" s="137" t="s">
        <v>114</v>
      </c>
      <c r="C571" s="137" t="s">
        <v>39</v>
      </c>
      <c r="D571" s="138" t="s">
        <v>52</v>
      </c>
      <c r="E571" s="135" t="s">
        <v>115</v>
      </c>
    </row>
    <row r="572" spans="1:5" ht="30" x14ac:dyDescent="0.25">
      <c r="A572" s="136">
        <v>11</v>
      </c>
      <c r="B572" s="137" t="s">
        <v>134</v>
      </c>
      <c r="C572" s="137" t="s">
        <v>135</v>
      </c>
      <c r="D572" s="138" t="s">
        <v>548</v>
      </c>
      <c r="E572" s="139" t="s">
        <v>138</v>
      </c>
    </row>
    <row r="573" spans="1:5" ht="15.75" x14ac:dyDescent="0.25">
      <c r="A573" s="136">
        <v>12</v>
      </c>
      <c r="B573" s="137" t="s">
        <v>145</v>
      </c>
      <c r="C573" s="137" t="s">
        <v>52</v>
      </c>
      <c r="D573" s="138" t="s">
        <v>550</v>
      </c>
      <c r="E573" s="139"/>
    </row>
    <row r="574" spans="1:5" ht="15.75" x14ac:dyDescent="0.25">
      <c r="A574" s="136">
        <v>13</v>
      </c>
      <c r="B574" s="137" t="s">
        <v>159</v>
      </c>
      <c r="C574" s="137" t="s">
        <v>160</v>
      </c>
      <c r="D574" s="138" t="s">
        <v>552</v>
      </c>
      <c r="E574" s="139"/>
    </row>
    <row r="575" spans="1:5" x14ac:dyDescent="0.25">
      <c r="A575" s="136"/>
      <c r="B575" s="136"/>
      <c r="C575" s="136"/>
      <c r="D575" s="136"/>
      <c r="E575" s="136"/>
    </row>
    <row r="580" spans="1:5" ht="15.75" x14ac:dyDescent="0.25">
      <c r="E580" s="129" t="s">
        <v>2</v>
      </c>
    </row>
    <row r="581" spans="1:5" ht="15.75" x14ac:dyDescent="0.25">
      <c r="E581" s="129" t="s">
        <v>3</v>
      </c>
    </row>
    <row r="582" spans="1:5" ht="15.75" x14ac:dyDescent="0.25">
      <c r="E582" s="131" t="s">
        <v>7</v>
      </c>
    </row>
    <row r="583" spans="1:5" x14ac:dyDescent="0.25">
      <c r="E583" s="133" t="s">
        <v>646</v>
      </c>
    </row>
    <row r="584" spans="1:5" x14ac:dyDescent="0.25">
      <c r="A584" s="191" t="str">
        <f>VLOOKUP(A587,[1]BD!C:D,2,0)</f>
        <v>Ojo de agua Tecamac</v>
      </c>
      <c r="B584" s="191"/>
      <c r="C584" s="191"/>
      <c r="D584" s="191"/>
      <c r="E584" s="191"/>
    </row>
    <row r="585" spans="1:5" x14ac:dyDescent="0.25">
      <c r="A585" s="191"/>
      <c r="B585" s="191"/>
      <c r="C585" s="191"/>
      <c r="D585" s="191"/>
      <c r="E585" s="191"/>
    </row>
    <row r="586" spans="1:5" x14ac:dyDescent="0.25">
      <c r="A586" s="189" t="s">
        <v>21</v>
      </c>
      <c r="B586" s="189"/>
      <c r="C586" s="189"/>
      <c r="D586" s="189"/>
      <c r="E586" s="134" t="s">
        <v>23</v>
      </c>
    </row>
    <row r="587" spans="1:5" ht="36" x14ac:dyDescent="0.25">
      <c r="A587" s="190">
        <v>6022</v>
      </c>
      <c r="B587" s="190"/>
      <c r="C587" s="190"/>
      <c r="D587" s="190"/>
      <c r="E587" s="135"/>
    </row>
    <row r="588" spans="1:5" x14ac:dyDescent="0.25">
      <c r="A588" s="136" t="s">
        <v>647</v>
      </c>
      <c r="B588" s="136" t="s">
        <v>24</v>
      </c>
      <c r="C588" s="136" t="s">
        <v>25</v>
      </c>
      <c r="D588" s="136" t="s">
        <v>648</v>
      </c>
      <c r="E588" s="136" t="s">
        <v>30</v>
      </c>
    </row>
    <row r="589" spans="1:5" ht="15.75" x14ac:dyDescent="0.25">
      <c r="A589" s="136">
        <v>1</v>
      </c>
      <c r="B589" s="137" t="s">
        <v>37</v>
      </c>
      <c r="C589" s="137" t="s">
        <v>39</v>
      </c>
      <c r="D589" s="138" t="s">
        <v>554</v>
      </c>
      <c r="E589" s="135" t="s">
        <v>41</v>
      </c>
    </row>
    <row r="590" spans="1:5" ht="15.75" x14ac:dyDescent="0.25">
      <c r="A590" s="136">
        <v>2</v>
      </c>
      <c r="B590" s="137" t="s">
        <v>51</v>
      </c>
      <c r="C590" s="137" t="s">
        <v>52</v>
      </c>
      <c r="D590" s="138" t="s">
        <v>556</v>
      </c>
      <c r="E590" s="135"/>
    </row>
    <row r="591" spans="1:5" ht="15.75" x14ac:dyDescent="0.25">
      <c r="A591" s="136">
        <v>3</v>
      </c>
      <c r="B591" s="137" t="s">
        <v>61</v>
      </c>
      <c r="C591" s="137" t="s">
        <v>62</v>
      </c>
      <c r="D591" s="138" t="s">
        <v>557</v>
      </c>
      <c r="E591" s="135" t="s">
        <v>64</v>
      </c>
    </row>
    <row r="592" spans="1:5" ht="15.75" x14ac:dyDescent="0.25">
      <c r="A592" s="136">
        <v>4</v>
      </c>
      <c r="B592" s="137" t="s">
        <v>72</v>
      </c>
      <c r="C592" s="137" t="s">
        <v>73</v>
      </c>
      <c r="D592" s="138" t="s">
        <v>559</v>
      </c>
      <c r="E592" s="135"/>
    </row>
    <row r="593" spans="1:5" ht="15.75" x14ac:dyDescent="0.25">
      <c r="A593" s="136">
        <v>5</v>
      </c>
      <c r="B593" s="137" t="s">
        <v>88</v>
      </c>
      <c r="C593" s="137" t="s">
        <v>90</v>
      </c>
      <c r="D593" s="138" t="s">
        <v>561</v>
      </c>
      <c r="E593" s="135"/>
    </row>
    <row r="594" spans="1:5" ht="15.75" x14ac:dyDescent="0.25">
      <c r="A594" s="136">
        <v>6</v>
      </c>
      <c r="B594" s="137" t="s">
        <v>96</v>
      </c>
      <c r="C594" s="137" t="s">
        <v>62</v>
      </c>
      <c r="D594" s="138" t="s">
        <v>562</v>
      </c>
      <c r="E594" s="135"/>
    </row>
    <row r="595" spans="1:5" ht="15.75" x14ac:dyDescent="0.25">
      <c r="A595" s="136">
        <v>7</v>
      </c>
      <c r="B595" s="137" t="s">
        <v>98</v>
      </c>
      <c r="C595" s="137" t="s">
        <v>563</v>
      </c>
      <c r="D595" s="138" t="s">
        <v>565</v>
      </c>
      <c r="E595" s="135" t="s">
        <v>101</v>
      </c>
    </row>
    <row r="596" spans="1:5" ht="15.75" x14ac:dyDescent="0.25">
      <c r="A596" s="136">
        <v>8</v>
      </c>
      <c r="B596" s="137" t="s">
        <v>98</v>
      </c>
      <c r="C596" s="137" t="s">
        <v>563</v>
      </c>
      <c r="D596" s="138" t="s">
        <v>567</v>
      </c>
      <c r="E596" s="135" t="s">
        <v>101</v>
      </c>
    </row>
    <row r="597" spans="1:5" ht="15.75" x14ac:dyDescent="0.25">
      <c r="A597" s="136">
        <v>9</v>
      </c>
      <c r="B597" s="137" t="s">
        <v>98</v>
      </c>
      <c r="C597" s="137" t="s">
        <v>563</v>
      </c>
      <c r="D597" s="138" t="s">
        <v>569</v>
      </c>
      <c r="E597" s="135" t="s">
        <v>101</v>
      </c>
    </row>
    <row r="598" spans="1:5" ht="15.75" x14ac:dyDescent="0.25">
      <c r="A598" s="136">
        <v>10</v>
      </c>
      <c r="B598" s="137" t="s">
        <v>114</v>
      </c>
      <c r="C598" s="137" t="s">
        <v>39</v>
      </c>
      <c r="D598" s="138" t="s">
        <v>52</v>
      </c>
      <c r="E598" s="135" t="s">
        <v>115</v>
      </c>
    </row>
    <row r="599" spans="1:5" ht="30" x14ac:dyDescent="0.25">
      <c r="A599" s="136">
        <v>11</v>
      </c>
      <c r="B599" s="137" t="s">
        <v>134</v>
      </c>
      <c r="C599" s="137" t="s">
        <v>135</v>
      </c>
      <c r="D599" s="138" t="s">
        <v>571</v>
      </c>
      <c r="E599" s="139" t="s">
        <v>138</v>
      </c>
    </row>
    <row r="600" spans="1:5" ht="15.75" x14ac:dyDescent="0.25">
      <c r="A600" s="136">
        <v>12</v>
      </c>
      <c r="B600" s="137" t="s">
        <v>145</v>
      </c>
      <c r="C600" s="137" t="s">
        <v>52</v>
      </c>
      <c r="D600" s="138" t="s">
        <v>573</v>
      </c>
      <c r="E600" s="139"/>
    </row>
    <row r="601" spans="1:5" ht="15.75" x14ac:dyDescent="0.25">
      <c r="A601" s="136">
        <v>13</v>
      </c>
      <c r="B601" s="137" t="s">
        <v>159</v>
      </c>
      <c r="C601" s="137" t="s">
        <v>160</v>
      </c>
      <c r="D601" s="138" t="s">
        <v>575</v>
      </c>
      <c r="E601" s="139"/>
    </row>
    <row r="602" spans="1:5" x14ac:dyDescent="0.25">
      <c r="A602" s="136"/>
      <c r="B602" s="136"/>
      <c r="C602" s="136"/>
      <c r="D602" s="136"/>
      <c r="E602" s="136"/>
    </row>
    <row r="606" spans="1:5" ht="15.75" x14ac:dyDescent="0.25">
      <c r="E606" s="129" t="s">
        <v>2</v>
      </c>
    </row>
    <row r="607" spans="1:5" ht="15.75" x14ac:dyDescent="0.25">
      <c r="E607" s="129" t="s">
        <v>3</v>
      </c>
    </row>
    <row r="608" spans="1:5" ht="15.75" x14ac:dyDescent="0.25">
      <c r="E608" s="131" t="s">
        <v>7</v>
      </c>
    </row>
    <row r="609" spans="1:5" x14ac:dyDescent="0.25">
      <c r="E609" s="133" t="s">
        <v>646</v>
      </c>
    </row>
    <row r="610" spans="1:5" x14ac:dyDescent="0.25">
      <c r="A610" s="191" t="str">
        <f>VLOOKUP(A613,[1]BD!C:D,2,0)</f>
        <v>Texcoco de Mora</v>
      </c>
      <c r="B610" s="191"/>
      <c r="C610" s="191"/>
      <c r="D610" s="191"/>
      <c r="E610" s="191"/>
    </row>
    <row r="611" spans="1:5" x14ac:dyDescent="0.25">
      <c r="A611" s="191"/>
      <c r="B611" s="191"/>
      <c r="C611" s="191"/>
      <c r="D611" s="191"/>
      <c r="E611" s="191"/>
    </row>
    <row r="612" spans="1:5" x14ac:dyDescent="0.25">
      <c r="A612" s="189" t="s">
        <v>21</v>
      </c>
      <c r="B612" s="189"/>
      <c r="C612" s="189"/>
      <c r="D612" s="189"/>
      <c r="E612" s="134" t="s">
        <v>23</v>
      </c>
    </row>
    <row r="613" spans="1:5" ht="36" x14ac:dyDescent="0.25">
      <c r="A613" s="190">
        <v>6023</v>
      </c>
      <c r="B613" s="190"/>
      <c r="C613" s="190"/>
      <c r="D613" s="190"/>
      <c r="E613" s="135"/>
    </row>
    <row r="614" spans="1:5" x14ac:dyDescent="0.25">
      <c r="A614" s="136" t="s">
        <v>647</v>
      </c>
      <c r="B614" s="136" t="s">
        <v>24</v>
      </c>
      <c r="C614" s="136" t="s">
        <v>25</v>
      </c>
      <c r="D614" s="136" t="s">
        <v>648</v>
      </c>
      <c r="E614" s="136" t="s">
        <v>30</v>
      </c>
    </row>
    <row r="615" spans="1:5" ht="15.75" x14ac:dyDescent="0.25">
      <c r="A615" s="136">
        <v>1</v>
      </c>
      <c r="B615" s="137" t="s">
        <v>37</v>
      </c>
      <c r="C615" s="137" t="s">
        <v>39</v>
      </c>
      <c r="D615" s="138" t="s">
        <v>577</v>
      </c>
      <c r="E615" s="135" t="s">
        <v>41</v>
      </c>
    </row>
    <row r="616" spans="1:5" ht="15.75" x14ac:dyDescent="0.25">
      <c r="A616" s="136">
        <v>2</v>
      </c>
      <c r="B616" s="137" t="s">
        <v>51</v>
      </c>
      <c r="C616" s="137" t="s">
        <v>52</v>
      </c>
      <c r="D616" s="138" t="s">
        <v>579</v>
      </c>
      <c r="E616" s="135"/>
    </row>
    <row r="617" spans="1:5" ht="15.75" x14ac:dyDescent="0.25">
      <c r="A617" s="136">
        <v>3</v>
      </c>
      <c r="B617" s="137" t="s">
        <v>61</v>
      </c>
      <c r="C617" s="137" t="s">
        <v>62</v>
      </c>
      <c r="D617" s="138" t="s">
        <v>580</v>
      </c>
      <c r="E617" s="135" t="s">
        <v>64</v>
      </c>
    </row>
    <row r="618" spans="1:5" ht="15.75" x14ac:dyDescent="0.25">
      <c r="A618" s="136">
        <v>4</v>
      </c>
      <c r="B618" s="137" t="s">
        <v>72</v>
      </c>
      <c r="C618" s="137" t="s">
        <v>73</v>
      </c>
      <c r="D618" s="138" t="s">
        <v>582</v>
      </c>
      <c r="E618" s="135"/>
    </row>
    <row r="619" spans="1:5" ht="15.75" x14ac:dyDescent="0.25">
      <c r="A619" s="136">
        <v>5</v>
      </c>
      <c r="B619" s="137" t="s">
        <v>88</v>
      </c>
      <c r="C619" s="137" t="s">
        <v>90</v>
      </c>
      <c r="D619" s="138" t="s">
        <v>584</v>
      </c>
      <c r="E619" s="135"/>
    </row>
    <row r="620" spans="1:5" ht="15.75" x14ac:dyDescent="0.25">
      <c r="A620" s="136">
        <v>6</v>
      </c>
      <c r="B620" s="137" t="s">
        <v>96</v>
      </c>
      <c r="C620" s="137" t="s">
        <v>62</v>
      </c>
      <c r="D620" s="138" t="s">
        <v>585</v>
      </c>
      <c r="E620" s="135"/>
    </row>
    <row r="621" spans="1:5" ht="15.75" x14ac:dyDescent="0.25">
      <c r="A621" s="136">
        <v>7</v>
      </c>
      <c r="B621" s="137" t="s">
        <v>98</v>
      </c>
      <c r="C621" s="137" t="s">
        <v>39</v>
      </c>
      <c r="D621" s="138" t="s">
        <v>586</v>
      </c>
      <c r="E621" s="135" t="s">
        <v>101</v>
      </c>
    </row>
    <row r="622" spans="1:5" ht="15.75" x14ac:dyDescent="0.25">
      <c r="A622" s="136">
        <v>8</v>
      </c>
      <c r="B622" s="137" t="s">
        <v>98</v>
      </c>
      <c r="C622" s="137" t="s">
        <v>39</v>
      </c>
      <c r="D622" s="138" t="s">
        <v>587</v>
      </c>
      <c r="E622" s="135" t="s">
        <v>101</v>
      </c>
    </row>
    <row r="623" spans="1:5" ht="15.75" x14ac:dyDescent="0.25">
      <c r="A623" s="136">
        <v>9</v>
      </c>
      <c r="B623" s="137" t="s">
        <v>98</v>
      </c>
      <c r="C623" s="137" t="s">
        <v>39</v>
      </c>
      <c r="D623" s="138" t="s">
        <v>588</v>
      </c>
      <c r="E623" s="135" t="s">
        <v>101</v>
      </c>
    </row>
    <row r="624" spans="1:5" ht="15.75" x14ac:dyDescent="0.25">
      <c r="A624" s="136">
        <v>10</v>
      </c>
      <c r="B624" s="137" t="s">
        <v>98</v>
      </c>
      <c r="C624" s="137" t="s">
        <v>39</v>
      </c>
      <c r="D624" s="138" t="s">
        <v>589</v>
      </c>
      <c r="E624" s="135" t="s">
        <v>101</v>
      </c>
    </row>
    <row r="625" spans="1:5" ht="15.75" x14ac:dyDescent="0.25">
      <c r="A625" s="136">
        <v>11</v>
      </c>
      <c r="B625" s="137" t="s">
        <v>114</v>
      </c>
      <c r="C625" s="137" t="s">
        <v>39</v>
      </c>
      <c r="D625" s="138" t="s">
        <v>52</v>
      </c>
      <c r="E625" s="139" t="s">
        <v>115</v>
      </c>
    </row>
    <row r="626" spans="1:5" ht="30" x14ac:dyDescent="0.25">
      <c r="A626" s="136">
        <v>12</v>
      </c>
      <c r="B626" s="137" t="s">
        <v>134</v>
      </c>
      <c r="C626" s="137" t="s">
        <v>135</v>
      </c>
      <c r="D626" s="138" t="s">
        <v>591</v>
      </c>
      <c r="E626" s="139" t="s">
        <v>138</v>
      </c>
    </row>
    <row r="627" spans="1:5" ht="15.75" x14ac:dyDescent="0.25">
      <c r="A627" s="136">
        <v>13</v>
      </c>
      <c r="B627" s="137" t="s">
        <v>145</v>
      </c>
      <c r="C627" s="137" t="s">
        <v>52</v>
      </c>
      <c r="D627" s="138" t="s">
        <v>593</v>
      </c>
      <c r="E627" s="139"/>
    </row>
    <row r="628" spans="1:5" ht="15.75" x14ac:dyDescent="0.25">
      <c r="A628" s="136">
        <v>14</v>
      </c>
      <c r="B628" s="137" t="s">
        <v>159</v>
      </c>
      <c r="C628" s="137" t="s">
        <v>160</v>
      </c>
      <c r="D628" s="138" t="s">
        <v>594</v>
      </c>
      <c r="E628" s="139"/>
    </row>
    <row r="629" spans="1:5" x14ac:dyDescent="0.25">
      <c r="A629" s="136"/>
      <c r="B629" s="136"/>
      <c r="C629" s="136"/>
      <c r="D629" s="136"/>
      <c r="E629" s="136"/>
    </row>
    <row r="634" spans="1:5" ht="15.75" x14ac:dyDescent="0.25">
      <c r="E634" s="129" t="s">
        <v>2</v>
      </c>
    </row>
    <row r="635" spans="1:5" ht="15.75" x14ac:dyDescent="0.25">
      <c r="E635" s="129" t="s">
        <v>3</v>
      </c>
    </row>
    <row r="636" spans="1:5" ht="15.75" x14ac:dyDescent="0.25">
      <c r="E636" s="131" t="s">
        <v>7</v>
      </c>
    </row>
    <row r="637" spans="1:5" x14ac:dyDescent="0.25">
      <c r="E637" s="133" t="s">
        <v>646</v>
      </c>
    </row>
    <row r="638" spans="1:5" x14ac:dyDescent="0.25">
      <c r="A638" s="191" t="str">
        <f>VLOOKUP(A641,[1]BD!C:D,2,0)</f>
        <v>CD Nezahualcoyotl</v>
      </c>
      <c r="B638" s="191"/>
      <c r="C638" s="191"/>
      <c r="D638" s="191"/>
      <c r="E638" s="191"/>
    </row>
    <row r="639" spans="1:5" x14ac:dyDescent="0.25">
      <c r="A639" s="191"/>
      <c r="B639" s="191"/>
      <c r="C639" s="191"/>
      <c r="D639" s="191"/>
      <c r="E639" s="191"/>
    </row>
    <row r="640" spans="1:5" x14ac:dyDescent="0.25">
      <c r="A640" s="189" t="s">
        <v>21</v>
      </c>
      <c r="B640" s="189"/>
      <c r="C640" s="189"/>
      <c r="D640" s="189"/>
      <c r="E640" s="134" t="s">
        <v>23</v>
      </c>
    </row>
    <row r="641" spans="1:5" ht="36" x14ac:dyDescent="0.25">
      <c r="A641" s="190">
        <v>6024</v>
      </c>
      <c r="B641" s="190"/>
      <c r="C641" s="190"/>
      <c r="D641" s="190"/>
      <c r="E641" s="135"/>
    </row>
    <row r="642" spans="1:5" x14ac:dyDescent="0.25">
      <c r="A642" s="136" t="s">
        <v>647</v>
      </c>
      <c r="B642" s="136" t="s">
        <v>24</v>
      </c>
      <c r="C642" s="136" t="s">
        <v>25</v>
      </c>
      <c r="D642" s="136" t="s">
        <v>648</v>
      </c>
      <c r="E642" s="136" t="s">
        <v>30</v>
      </c>
    </row>
    <row r="643" spans="1:5" ht="15.75" x14ac:dyDescent="0.25">
      <c r="A643" s="136">
        <v>1</v>
      </c>
      <c r="B643" s="137" t="s">
        <v>37</v>
      </c>
      <c r="C643" s="137" t="s">
        <v>39</v>
      </c>
      <c r="D643" s="138" t="s">
        <v>596</v>
      </c>
      <c r="E643" s="135" t="s">
        <v>41</v>
      </c>
    </row>
    <row r="644" spans="1:5" ht="15.75" x14ac:dyDescent="0.25">
      <c r="A644" s="136">
        <v>2</v>
      </c>
      <c r="B644" s="137" t="s">
        <v>51</v>
      </c>
      <c r="C644" s="137" t="s">
        <v>52</v>
      </c>
      <c r="D644" s="138" t="s">
        <v>598</v>
      </c>
      <c r="E644" s="135"/>
    </row>
    <row r="645" spans="1:5" ht="15.75" x14ac:dyDescent="0.25">
      <c r="A645" s="136">
        <v>3</v>
      </c>
      <c r="B645" s="137" t="s">
        <v>61</v>
      </c>
      <c r="C645" s="137" t="s">
        <v>62</v>
      </c>
      <c r="D645" s="138" t="s">
        <v>599</v>
      </c>
      <c r="E645" s="135" t="s">
        <v>64</v>
      </c>
    </row>
    <row r="646" spans="1:5" ht="15.75" x14ac:dyDescent="0.25">
      <c r="A646" s="136">
        <v>4</v>
      </c>
      <c r="B646" s="137" t="s">
        <v>72</v>
      </c>
      <c r="C646" s="137" t="s">
        <v>73</v>
      </c>
      <c r="D646" s="138" t="s">
        <v>601</v>
      </c>
      <c r="E646" s="135"/>
    </row>
    <row r="647" spans="1:5" ht="15.75" x14ac:dyDescent="0.25">
      <c r="A647" s="136">
        <v>5</v>
      </c>
      <c r="B647" s="137" t="s">
        <v>88</v>
      </c>
      <c r="C647" s="137" t="s">
        <v>90</v>
      </c>
      <c r="D647" s="138" t="s">
        <v>603</v>
      </c>
      <c r="E647" s="135"/>
    </row>
    <row r="648" spans="1:5" ht="15.75" x14ac:dyDescent="0.25">
      <c r="A648" s="136">
        <v>6</v>
      </c>
      <c r="B648" s="137" t="s">
        <v>96</v>
      </c>
      <c r="C648" s="137" t="s">
        <v>62</v>
      </c>
      <c r="D648" s="138" t="s">
        <v>604</v>
      </c>
      <c r="E648" s="135"/>
    </row>
    <row r="649" spans="1:5" ht="15.75" x14ac:dyDescent="0.25">
      <c r="A649" s="136">
        <v>7</v>
      </c>
      <c r="B649" s="137" t="s">
        <v>98</v>
      </c>
      <c r="C649" s="137" t="s">
        <v>39</v>
      </c>
      <c r="D649" s="138" t="s">
        <v>605</v>
      </c>
      <c r="E649" s="135" t="s">
        <v>101</v>
      </c>
    </row>
    <row r="650" spans="1:5" ht="15.75" x14ac:dyDescent="0.25">
      <c r="A650" s="136">
        <v>8</v>
      </c>
      <c r="B650" s="137" t="s">
        <v>98</v>
      </c>
      <c r="C650" s="137" t="s">
        <v>39</v>
      </c>
      <c r="D650" s="138" t="s">
        <v>606</v>
      </c>
      <c r="E650" s="135" t="s">
        <v>101</v>
      </c>
    </row>
    <row r="651" spans="1:5" ht="15.75" x14ac:dyDescent="0.25">
      <c r="A651" s="136">
        <v>9</v>
      </c>
      <c r="B651" s="137" t="s">
        <v>98</v>
      </c>
      <c r="C651" s="137" t="s">
        <v>39</v>
      </c>
      <c r="D651" s="138" t="s">
        <v>607</v>
      </c>
      <c r="E651" s="135" t="s">
        <v>101</v>
      </c>
    </row>
    <row r="652" spans="1:5" ht="15.75" x14ac:dyDescent="0.25">
      <c r="A652" s="136">
        <v>10</v>
      </c>
      <c r="B652" s="137" t="s">
        <v>114</v>
      </c>
      <c r="C652" s="137" t="s">
        <v>39</v>
      </c>
      <c r="D652" s="138" t="s">
        <v>52</v>
      </c>
      <c r="E652" s="135" t="s">
        <v>115</v>
      </c>
    </row>
    <row r="653" spans="1:5" ht="30" x14ac:dyDescent="0.25">
      <c r="A653" s="136">
        <v>11</v>
      </c>
      <c r="B653" s="137" t="s">
        <v>134</v>
      </c>
      <c r="C653" s="137" t="s">
        <v>135</v>
      </c>
      <c r="D653" s="138" t="s">
        <v>609</v>
      </c>
      <c r="E653" s="139" t="s">
        <v>138</v>
      </c>
    </row>
    <row r="654" spans="1:5" ht="15.75" x14ac:dyDescent="0.25">
      <c r="A654" s="136">
        <v>12</v>
      </c>
      <c r="B654" s="137" t="s">
        <v>145</v>
      </c>
      <c r="C654" s="137" t="s">
        <v>52</v>
      </c>
      <c r="D654" s="138" t="s">
        <v>611</v>
      </c>
      <c r="E654" s="139"/>
    </row>
    <row r="655" spans="1:5" ht="15.75" x14ac:dyDescent="0.25">
      <c r="A655" s="136">
        <v>13</v>
      </c>
      <c r="B655" s="137" t="s">
        <v>159</v>
      </c>
      <c r="C655" s="137" t="s">
        <v>160</v>
      </c>
      <c r="D655" s="138" t="s">
        <v>613</v>
      </c>
      <c r="E655" s="139"/>
    </row>
    <row r="656" spans="1:5" x14ac:dyDescent="0.25">
      <c r="A656" s="136"/>
      <c r="B656" s="136"/>
      <c r="C656" s="136"/>
      <c r="D656" s="136"/>
      <c r="E656" s="136"/>
    </row>
    <row r="661" spans="1:5" ht="15.75" x14ac:dyDescent="0.25">
      <c r="E661" s="129" t="s">
        <v>2</v>
      </c>
    </row>
    <row r="662" spans="1:5" ht="15.75" x14ac:dyDescent="0.25">
      <c r="E662" s="129" t="s">
        <v>3</v>
      </c>
    </row>
    <row r="663" spans="1:5" ht="15.75" x14ac:dyDescent="0.25">
      <c r="E663" s="131" t="s">
        <v>7</v>
      </c>
    </row>
    <row r="664" spans="1:5" x14ac:dyDescent="0.25">
      <c r="E664" s="133" t="s">
        <v>646</v>
      </c>
    </row>
    <row r="665" spans="1:5" x14ac:dyDescent="0.25">
      <c r="A665" s="191" t="str">
        <f>VLOOKUP(A668,[1]BD!C:D,2,0)</f>
        <v>CD Nezahualcoyotl</v>
      </c>
      <c r="B665" s="191"/>
      <c r="C665" s="191"/>
      <c r="D665" s="191"/>
      <c r="E665" s="191"/>
    </row>
    <row r="666" spans="1:5" x14ac:dyDescent="0.25">
      <c r="A666" s="191"/>
      <c r="B666" s="191"/>
      <c r="C666" s="191"/>
      <c r="D666" s="191"/>
      <c r="E666" s="191"/>
    </row>
    <row r="667" spans="1:5" x14ac:dyDescent="0.25">
      <c r="A667" s="189" t="s">
        <v>21</v>
      </c>
      <c r="B667" s="189"/>
      <c r="C667" s="189"/>
      <c r="D667" s="189"/>
      <c r="E667" s="134" t="s">
        <v>23</v>
      </c>
    </row>
    <row r="668" spans="1:5" ht="36" x14ac:dyDescent="0.25">
      <c r="A668" s="190">
        <v>6025</v>
      </c>
      <c r="B668" s="190"/>
      <c r="C668" s="190"/>
      <c r="D668" s="190"/>
      <c r="E668" s="135"/>
    </row>
    <row r="669" spans="1:5" x14ac:dyDescent="0.25">
      <c r="A669" s="136" t="s">
        <v>647</v>
      </c>
      <c r="B669" s="136" t="s">
        <v>24</v>
      </c>
      <c r="C669" s="136" t="s">
        <v>25</v>
      </c>
      <c r="D669" s="136" t="s">
        <v>648</v>
      </c>
      <c r="E669" s="136" t="s">
        <v>30</v>
      </c>
    </row>
    <row r="670" spans="1:5" ht="15.75" x14ac:dyDescent="0.25">
      <c r="A670" s="136">
        <v>1</v>
      </c>
      <c r="B670" s="137" t="s">
        <v>37</v>
      </c>
      <c r="C670" s="137" t="s">
        <v>39</v>
      </c>
      <c r="D670" s="138" t="s">
        <v>615</v>
      </c>
      <c r="E670" s="135" t="s">
        <v>41</v>
      </c>
    </row>
    <row r="671" spans="1:5" ht="15.75" x14ac:dyDescent="0.25">
      <c r="A671" s="136">
        <v>2</v>
      </c>
      <c r="B671" s="137" t="s">
        <v>51</v>
      </c>
      <c r="C671" s="137" t="s">
        <v>52</v>
      </c>
      <c r="D671" s="138" t="s">
        <v>617</v>
      </c>
      <c r="E671" s="135"/>
    </row>
    <row r="672" spans="1:5" ht="15.75" x14ac:dyDescent="0.25">
      <c r="A672" s="136">
        <v>3</v>
      </c>
      <c r="B672" s="137" t="s">
        <v>61</v>
      </c>
      <c r="C672" s="137" t="s">
        <v>62</v>
      </c>
      <c r="D672" s="138" t="s">
        <v>618</v>
      </c>
      <c r="E672" s="135" t="s">
        <v>64</v>
      </c>
    </row>
    <row r="673" spans="1:5" ht="15.75" x14ac:dyDescent="0.25">
      <c r="A673" s="136">
        <v>4</v>
      </c>
      <c r="B673" s="137" t="s">
        <v>72</v>
      </c>
      <c r="C673" s="137" t="s">
        <v>73</v>
      </c>
      <c r="D673" s="138" t="s">
        <v>620</v>
      </c>
      <c r="E673" s="135"/>
    </row>
    <row r="674" spans="1:5" ht="15.75" x14ac:dyDescent="0.25">
      <c r="A674" s="136">
        <v>5</v>
      </c>
      <c r="B674" s="137" t="s">
        <v>88</v>
      </c>
      <c r="C674" s="137" t="s">
        <v>90</v>
      </c>
      <c r="D674" s="138" t="s">
        <v>621</v>
      </c>
      <c r="E674" s="135"/>
    </row>
    <row r="675" spans="1:5" ht="15.75" x14ac:dyDescent="0.25">
      <c r="A675" s="136">
        <v>6</v>
      </c>
      <c r="B675" s="137" t="s">
        <v>96</v>
      </c>
      <c r="C675" s="137" t="s">
        <v>62</v>
      </c>
      <c r="D675" s="138" t="s">
        <v>622</v>
      </c>
      <c r="E675" s="135"/>
    </row>
    <row r="676" spans="1:5" ht="15.75" x14ac:dyDescent="0.25">
      <c r="A676" s="136">
        <v>7</v>
      </c>
      <c r="B676" s="137" t="s">
        <v>98</v>
      </c>
      <c r="C676" s="137" t="s">
        <v>352</v>
      </c>
      <c r="D676" s="138" t="s">
        <v>624</v>
      </c>
      <c r="E676" s="135" t="s">
        <v>101</v>
      </c>
    </row>
    <row r="677" spans="1:5" ht="15.75" x14ac:dyDescent="0.25">
      <c r="A677" s="136">
        <v>8</v>
      </c>
      <c r="B677" s="137" t="s">
        <v>98</v>
      </c>
      <c r="C677" s="137" t="s">
        <v>625</v>
      </c>
      <c r="D677" s="138" t="s">
        <v>627</v>
      </c>
      <c r="E677" s="135" t="s">
        <v>101</v>
      </c>
    </row>
    <row r="678" spans="1:5" ht="15.75" x14ac:dyDescent="0.25">
      <c r="A678" s="136">
        <v>9</v>
      </c>
      <c r="B678" s="137" t="s">
        <v>98</v>
      </c>
      <c r="C678" s="137" t="s">
        <v>352</v>
      </c>
      <c r="D678" s="138" t="s">
        <v>628</v>
      </c>
      <c r="E678" s="135" t="s">
        <v>101</v>
      </c>
    </row>
    <row r="679" spans="1:5" ht="15.75" x14ac:dyDescent="0.25">
      <c r="A679" s="136">
        <v>10</v>
      </c>
      <c r="B679" s="137" t="s">
        <v>114</v>
      </c>
      <c r="C679" s="137" t="s">
        <v>39</v>
      </c>
      <c r="D679" s="138" t="s">
        <v>52</v>
      </c>
      <c r="E679" s="135" t="s">
        <v>115</v>
      </c>
    </row>
    <row r="680" spans="1:5" ht="30" x14ac:dyDescent="0.25">
      <c r="A680" s="136">
        <v>11</v>
      </c>
      <c r="B680" s="137" t="s">
        <v>134</v>
      </c>
      <c r="C680" s="137" t="s">
        <v>135</v>
      </c>
      <c r="D680" s="138" t="s">
        <v>630</v>
      </c>
      <c r="E680" s="139" t="s">
        <v>138</v>
      </c>
    </row>
    <row r="681" spans="1:5" ht="15.75" x14ac:dyDescent="0.25">
      <c r="A681" s="136">
        <v>12</v>
      </c>
      <c r="B681" s="137" t="s">
        <v>145</v>
      </c>
      <c r="C681" s="137" t="s">
        <v>52</v>
      </c>
      <c r="D681" s="138" t="s">
        <v>632</v>
      </c>
      <c r="E681" s="139"/>
    </row>
    <row r="682" spans="1:5" ht="15.75" x14ac:dyDescent="0.25">
      <c r="A682" s="136">
        <v>13</v>
      </c>
      <c r="B682" s="137" t="s">
        <v>159</v>
      </c>
      <c r="C682" s="137" t="s">
        <v>160</v>
      </c>
      <c r="D682" s="138" t="s">
        <v>634</v>
      </c>
      <c r="E682" s="139"/>
    </row>
    <row r="683" spans="1:5" x14ac:dyDescent="0.25">
      <c r="A683" s="136"/>
      <c r="B683" s="136"/>
      <c r="C683" s="136"/>
      <c r="D683" s="136"/>
      <c r="E683" s="136"/>
    </row>
    <row r="688" spans="1:5" ht="15.75" x14ac:dyDescent="0.25">
      <c r="E688" s="129" t="s">
        <v>2</v>
      </c>
    </row>
    <row r="689" spans="1:5" ht="15.75" x14ac:dyDescent="0.25">
      <c r="E689" s="129" t="s">
        <v>3</v>
      </c>
    </row>
    <row r="690" spans="1:5" ht="15.75" x14ac:dyDescent="0.25">
      <c r="E690" s="131" t="s">
        <v>7</v>
      </c>
    </row>
    <row r="691" spans="1:5" x14ac:dyDescent="0.25">
      <c r="E691" s="133" t="s">
        <v>646</v>
      </c>
    </row>
    <row r="692" spans="1:5" x14ac:dyDescent="0.25">
      <c r="A692" s="191" t="str">
        <f>VLOOKUP(A695,[1]BD!C:D,2,0)</f>
        <v>Cuautitlan Izcalli</v>
      </c>
      <c r="B692" s="191"/>
      <c r="C692" s="191"/>
      <c r="D692" s="191"/>
      <c r="E692" s="191"/>
    </row>
    <row r="693" spans="1:5" x14ac:dyDescent="0.25">
      <c r="A693" s="191"/>
      <c r="B693" s="191"/>
      <c r="C693" s="191"/>
      <c r="D693" s="191"/>
      <c r="E693" s="191"/>
    </row>
    <row r="694" spans="1:5" x14ac:dyDescent="0.25">
      <c r="A694" s="189" t="s">
        <v>21</v>
      </c>
      <c r="B694" s="189"/>
      <c r="C694" s="189"/>
      <c r="D694" s="189"/>
      <c r="E694" s="134" t="s">
        <v>23</v>
      </c>
    </row>
    <row r="695" spans="1:5" ht="36" x14ac:dyDescent="0.25">
      <c r="A695" s="190">
        <v>6026</v>
      </c>
      <c r="B695" s="190"/>
      <c r="C695" s="190"/>
      <c r="D695" s="190"/>
      <c r="E695" s="135"/>
    </row>
    <row r="696" spans="1:5" x14ac:dyDescent="0.25">
      <c r="A696" s="136" t="s">
        <v>647</v>
      </c>
      <c r="B696" s="136" t="s">
        <v>24</v>
      </c>
      <c r="C696" s="136" t="s">
        <v>25</v>
      </c>
      <c r="D696" s="136" t="s">
        <v>648</v>
      </c>
      <c r="E696" s="136" t="s">
        <v>30</v>
      </c>
    </row>
    <row r="697" spans="1:5" ht="15.75" x14ac:dyDescent="0.25">
      <c r="A697" s="136">
        <v>1</v>
      </c>
      <c r="B697" s="137" t="s">
        <v>37</v>
      </c>
      <c r="C697" s="137" t="s">
        <v>39</v>
      </c>
      <c r="D697" s="138" t="s">
        <v>653</v>
      </c>
      <c r="E697" s="135" t="s">
        <v>41</v>
      </c>
    </row>
    <row r="698" spans="1:5" ht="15.75" x14ac:dyDescent="0.25">
      <c r="A698" s="136">
        <v>2</v>
      </c>
      <c r="B698" s="137" t="s">
        <v>51</v>
      </c>
      <c r="C698" s="137" t="s">
        <v>52</v>
      </c>
      <c r="D698" s="138" t="s">
        <v>654</v>
      </c>
      <c r="E698" s="135"/>
    </row>
    <row r="699" spans="1:5" ht="15.75" x14ac:dyDescent="0.25">
      <c r="A699" s="136">
        <v>3</v>
      </c>
      <c r="B699" s="137" t="s">
        <v>61</v>
      </c>
      <c r="C699" s="137" t="s">
        <v>62</v>
      </c>
      <c r="D699" s="138" t="s">
        <v>656</v>
      </c>
      <c r="E699" s="135" t="s">
        <v>64</v>
      </c>
    </row>
    <row r="700" spans="1:5" ht="15.75" x14ac:dyDescent="0.25">
      <c r="A700" s="136">
        <v>4</v>
      </c>
      <c r="B700" s="137" t="s">
        <v>72</v>
      </c>
      <c r="C700" s="137" t="s">
        <v>73</v>
      </c>
      <c r="D700" s="138" t="s">
        <v>657</v>
      </c>
      <c r="E700" s="135"/>
    </row>
    <row r="701" spans="1:5" ht="15.75" x14ac:dyDescent="0.25">
      <c r="A701" s="136">
        <v>5</v>
      </c>
      <c r="B701" s="137" t="s">
        <v>88</v>
      </c>
      <c r="C701" s="137" t="s">
        <v>90</v>
      </c>
      <c r="D701" s="138" t="s">
        <v>658</v>
      </c>
      <c r="E701" s="135"/>
    </row>
    <row r="702" spans="1:5" ht="15.75" x14ac:dyDescent="0.25">
      <c r="A702" s="136">
        <v>6</v>
      </c>
      <c r="B702" s="137" t="s">
        <v>96</v>
      </c>
      <c r="C702" s="137" t="s">
        <v>62</v>
      </c>
      <c r="D702" s="138" t="s">
        <v>660</v>
      </c>
      <c r="E702" s="135"/>
    </row>
    <row r="703" spans="1:5" ht="15.75" x14ac:dyDescent="0.25">
      <c r="A703" s="136">
        <v>7</v>
      </c>
      <c r="B703" s="137" t="s">
        <v>98</v>
      </c>
      <c r="C703" s="137" t="s">
        <v>563</v>
      </c>
      <c r="D703" s="138" t="s">
        <v>662</v>
      </c>
      <c r="E703" s="135" t="s">
        <v>101</v>
      </c>
    </row>
    <row r="704" spans="1:5" ht="15.75" x14ac:dyDescent="0.25">
      <c r="A704" s="136">
        <v>8</v>
      </c>
      <c r="B704" s="137" t="s">
        <v>98</v>
      </c>
      <c r="C704" s="137" t="s">
        <v>352</v>
      </c>
      <c r="D704" s="138" t="s">
        <v>664</v>
      </c>
      <c r="E704" s="135" t="s">
        <v>101</v>
      </c>
    </row>
    <row r="705" spans="1:5" ht="15.75" x14ac:dyDescent="0.25">
      <c r="A705" s="136">
        <v>9</v>
      </c>
      <c r="B705" s="137" t="s">
        <v>98</v>
      </c>
      <c r="C705" s="137" t="s">
        <v>665</v>
      </c>
      <c r="D705" s="138" t="s">
        <v>667</v>
      </c>
      <c r="E705" s="135" t="s">
        <v>101</v>
      </c>
    </row>
    <row r="706" spans="1:5" ht="15.75" x14ac:dyDescent="0.25">
      <c r="A706" s="136">
        <v>10</v>
      </c>
      <c r="B706" s="137" t="s">
        <v>114</v>
      </c>
      <c r="C706" s="137" t="s">
        <v>39</v>
      </c>
      <c r="D706" s="138" t="s">
        <v>52</v>
      </c>
      <c r="E706" s="135" t="s">
        <v>115</v>
      </c>
    </row>
    <row r="707" spans="1:5" ht="30" x14ac:dyDescent="0.25">
      <c r="A707" s="136">
        <v>11</v>
      </c>
      <c r="B707" s="137" t="s">
        <v>134</v>
      </c>
      <c r="C707" s="137" t="s">
        <v>135</v>
      </c>
      <c r="D707" s="138" t="s">
        <v>669</v>
      </c>
      <c r="E707" s="139" t="s">
        <v>138</v>
      </c>
    </row>
    <row r="708" spans="1:5" ht="15.75" x14ac:dyDescent="0.25">
      <c r="A708" s="136">
        <v>12</v>
      </c>
      <c r="B708" s="137" t="s">
        <v>145</v>
      </c>
      <c r="C708" s="137" t="s">
        <v>52</v>
      </c>
      <c r="D708" s="138" t="s">
        <v>671</v>
      </c>
      <c r="E708" s="139"/>
    </row>
    <row r="709" spans="1:5" ht="15.75" x14ac:dyDescent="0.25">
      <c r="A709" s="136">
        <v>13</v>
      </c>
      <c r="B709" s="137" t="s">
        <v>159</v>
      </c>
      <c r="C709" s="137" t="s">
        <v>160</v>
      </c>
      <c r="D709" s="138" t="s">
        <v>673</v>
      </c>
      <c r="E709" s="139"/>
    </row>
    <row r="710" spans="1:5" x14ac:dyDescent="0.25">
      <c r="A710" s="136"/>
      <c r="B710" s="136"/>
      <c r="C710" s="136"/>
      <c r="D710" s="136"/>
      <c r="E710" s="136"/>
    </row>
    <row r="715" spans="1:5" ht="15.75" x14ac:dyDescent="0.25">
      <c r="E715" s="129" t="s">
        <v>2</v>
      </c>
    </row>
    <row r="716" spans="1:5" ht="15.75" x14ac:dyDescent="0.25">
      <c r="E716" s="129" t="s">
        <v>3</v>
      </c>
    </row>
    <row r="717" spans="1:5" ht="15.75" x14ac:dyDescent="0.25">
      <c r="E717" s="131" t="s">
        <v>7</v>
      </c>
    </row>
    <row r="718" spans="1:5" x14ac:dyDescent="0.25">
      <c r="E718" s="133" t="s">
        <v>646</v>
      </c>
    </row>
    <row r="719" spans="1:5" x14ac:dyDescent="0.25">
      <c r="A719" s="191" t="str">
        <f>VLOOKUP(A722,[1]BD!C:D,2,0)</f>
        <v>Valle de Chalco Solidaridad</v>
      </c>
      <c r="B719" s="191"/>
      <c r="C719" s="191"/>
      <c r="D719" s="191"/>
      <c r="E719" s="191"/>
    </row>
    <row r="720" spans="1:5" x14ac:dyDescent="0.25">
      <c r="A720" s="191"/>
      <c r="B720" s="191"/>
      <c r="C720" s="191"/>
      <c r="D720" s="191"/>
      <c r="E720" s="191"/>
    </row>
    <row r="721" spans="1:5" x14ac:dyDescent="0.25">
      <c r="A721" s="189" t="s">
        <v>21</v>
      </c>
      <c r="B721" s="189"/>
      <c r="C721" s="189"/>
      <c r="D721" s="189"/>
      <c r="E721" s="134" t="s">
        <v>23</v>
      </c>
    </row>
    <row r="722" spans="1:5" ht="36" x14ac:dyDescent="0.25">
      <c r="A722" s="190">
        <v>6027</v>
      </c>
      <c r="B722" s="190"/>
      <c r="C722" s="190"/>
      <c r="D722" s="190"/>
      <c r="E722" s="135"/>
    </row>
    <row r="723" spans="1:5" x14ac:dyDescent="0.25">
      <c r="A723" s="136" t="s">
        <v>647</v>
      </c>
      <c r="B723" s="136" t="s">
        <v>24</v>
      </c>
      <c r="C723" s="136" t="s">
        <v>25</v>
      </c>
      <c r="D723" s="136" t="s">
        <v>648</v>
      </c>
      <c r="E723" s="136" t="s">
        <v>30</v>
      </c>
    </row>
    <row r="724" spans="1:5" ht="15.75" x14ac:dyDescent="0.25">
      <c r="A724" s="136">
        <v>1</v>
      </c>
      <c r="B724" s="137" t="s">
        <v>37</v>
      </c>
      <c r="C724" s="137" t="s">
        <v>39</v>
      </c>
      <c r="D724" s="138" t="s">
        <v>675</v>
      </c>
      <c r="E724" s="135" t="s">
        <v>41</v>
      </c>
    </row>
    <row r="725" spans="1:5" ht="15.75" x14ac:dyDescent="0.25">
      <c r="A725" s="136">
        <v>2</v>
      </c>
      <c r="B725" s="137" t="s">
        <v>51</v>
      </c>
      <c r="C725" s="137" t="s">
        <v>52</v>
      </c>
      <c r="D725" s="138" t="s">
        <v>677</v>
      </c>
      <c r="E725" s="135"/>
    </row>
    <row r="726" spans="1:5" ht="15.75" x14ac:dyDescent="0.25">
      <c r="A726" s="136">
        <v>3</v>
      </c>
      <c r="B726" s="137" t="s">
        <v>61</v>
      </c>
      <c r="C726" s="137" t="s">
        <v>62</v>
      </c>
      <c r="D726" s="138" t="s">
        <v>678</v>
      </c>
      <c r="E726" s="135" t="s">
        <v>64</v>
      </c>
    </row>
    <row r="727" spans="1:5" ht="15.75" x14ac:dyDescent="0.25">
      <c r="A727" s="136">
        <v>4</v>
      </c>
      <c r="B727" s="137" t="s">
        <v>72</v>
      </c>
      <c r="C727" s="137" t="s">
        <v>73</v>
      </c>
      <c r="D727" s="138" t="s">
        <v>680</v>
      </c>
      <c r="E727" s="135"/>
    </row>
    <row r="728" spans="1:5" ht="15.75" x14ac:dyDescent="0.25">
      <c r="A728" s="136">
        <v>5</v>
      </c>
      <c r="B728" s="137" t="s">
        <v>88</v>
      </c>
      <c r="C728" s="137" t="s">
        <v>90</v>
      </c>
      <c r="D728" s="138" t="s">
        <v>682</v>
      </c>
      <c r="E728" s="135"/>
    </row>
    <row r="729" spans="1:5" ht="15.75" x14ac:dyDescent="0.25">
      <c r="A729" s="136">
        <v>6</v>
      </c>
      <c r="B729" s="137" t="s">
        <v>96</v>
      </c>
      <c r="C729" s="137" t="s">
        <v>62</v>
      </c>
      <c r="D729" s="138" t="s">
        <v>683</v>
      </c>
      <c r="E729" s="135"/>
    </row>
    <row r="730" spans="1:5" ht="15.75" x14ac:dyDescent="0.25">
      <c r="A730" s="136">
        <v>7</v>
      </c>
      <c r="B730" s="137" t="s">
        <v>98</v>
      </c>
      <c r="C730" s="137" t="s">
        <v>99</v>
      </c>
      <c r="D730" s="138" t="s">
        <v>52</v>
      </c>
      <c r="E730" s="135" t="s">
        <v>101</v>
      </c>
    </row>
    <row r="731" spans="1:5" ht="15.75" x14ac:dyDescent="0.25">
      <c r="A731" s="136">
        <v>8</v>
      </c>
      <c r="B731" s="137" t="s">
        <v>98</v>
      </c>
      <c r="C731" s="137" t="s">
        <v>99</v>
      </c>
      <c r="D731" s="138" t="s">
        <v>52</v>
      </c>
      <c r="E731" s="135" t="s">
        <v>101</v>
      </c>
    </row>
    <row r="732" spans="1:5" ht="15.75" x14ac:dyDescent="0.25">
      <c r="A732" s="136">
        <v>9</v>
      </c>
      <c r="B732" s="137" t="s">
        <v>98</v>
      </c>
      <c r="C732" s="137" t="s">
        <v>352</v>
      </c>
      <c r="D732" s="138" t="s">
        <v>52</v>
      </c>
      <c r="E732" s="135" t="s">
        <v>101</v>
      </c>
    </row>
    <row r="733" spans="1:5" ht="15.75" x14ac:dyDescent="0.25">
      <c r="A733" s="136">
        <v>10</v>
      </c>
      <c r="B733" s="137" t="s">
        <v>114</v>
      </c>
      <c r="C733" s="137" t="s">
        <v>39</v>
      </c>
      <c r="D733" s="138" t="s">
        <v>52</v>
      </c>
      <c r="E733" s="135" t="s">
        <v>115</v>
      </c>
    </row>
    <row r="734" spans="1:5" ht="30" x14ac:dyDescent="0.25">
      <c r="A734" s="136">
        <v>11</v>
      </c>
      <c r="B734" s="137" t="s">
        <v>134</v>
      </c>
      <c r="C734" s="137" t="s">
        <v>135</v>
      </c>
      <c r="D734" s="138" t="s">
        <v>685</v>
      </c>
      <c r="E734" s="139" t="s">
        <v>223</v>
      </c>
    </row>
    <row r="735" spans="1:5" ht="15.75" x14ac:dyDescent="0.25">
      <c r="A735" s="136">
        <v>12</v>
      </c>
      <c r="B735" s="137" t="s">
        <v>145</v>
      </c>
      <c r="C735" s="137" t="s">
        <v>52</v>
      </c>
      <c r="D735" s="138" t="s">
        <v>687</v>
      </c>
      <c r="E735" s="139"/>
    </row>
    <row r="736" spans="1:5" ht="15.75" x14ac:dyDescent="0.25">
      <c r="A736" s="136">
        <v>13</v>
      </c>
      <c r="B736" s="137" t="s">
        <v>159</v>
      </c>
      <c r="C736" s="137" t="s">
        <v>160</v>
      </c>
      <c r="D736" s="138" t="s">
        <v>689</v>
      </c>
      <c r="E736" s="139"/>
    </row>
    <row r="737" spans="1:5" x14ac:dyDescent="0.25">
      <c r="A737" s="136"/>
      <c r="B737" s="136"/>
      <c r="C737" s="136"/>
      <c r="D737" s="136"/>
      <c r="E737" s="136"/>
    </row>
    <row r="742" spans="1:5" ht="15.75" x14ac:dyDescent="0.25">
      <c r="E742" s="129" t="s">
        <v>2</v>
      </c>
    </row>
    <row r="743" spans="1:5" ht="15.75" x14ac:dyDescent="0.25">
      <c r="E743" s="129" t="s">
        <v>3</v>
      </c>
    </row>
    <row r="744" spans="1:5" ht="15.75" x14ac:dyDescent="0.25">
      <c r="E744" s="131" t="s">
        <v>7</v>
      </c>
    </row>
    <row r="745" spans="1:5" x14ac:dyDescent="0.25">
      <c r="E745" s="133" t="s">
        <v>646</v>
      </c>
    </row>
    <row r="746" spans="1:5" x14ac:dyDescent="0.25">
      <c r="A746" s="191" t="str">
        <f>VLOOKUP(A749,[1]BD!C:D,2,0)</f>
        <v>Amecameca de juarez</v>
      </c>
      <c r="B746" s="191"/>
      <c r="C746" s="191"/>
      <c r="D746" s="191"/>
      <c r="E746" s="191"/>
    </row>
    <row r="747" spans="1:5" x14ac:dyDescent="0.25">
      <c r="A747" s="191"/>
      <c r="B747" s="191"/>
      <c r="C747" s="191"/>
      <c r="D747" s="191"/>
      <c r="E747" s="191"/>
    </row>
    <row r="748" spans="1:5" x14ac:dyDescent="0.25">
      <c r="A748" s="189" t="s">
        <v>21</v>
      </c>
      <c r="B748" s="189"/>
      <c r="C748" s="189"/>
      <c r="D748" s="189"/>
      <c r="E748" s="134" t="s">
        <v>23</v>
      </c>
    </row>
    <row r="749" spans="1:5" ht="36" x14ac:dyDescent="0.25">
      <c r="A749" s="190">
        <v>6028</v>
      </c>
      <c r="B749" s="190"/>
      <c r="C749" s="190"/>
      <c r="D749" s="190"/>
      <c r="E749" s="135"/>
    </row>
    <row r="750" spans="1:5" x14ac:dyDescent="0.25">
      <c r="A750" s="136" t="s">
        <v>647</v>
      </c>
      <c r="B750" s="136" t="s">
        <v>24</v>
      </c>
      <c r="C750" s="136" t="s">
        <v>25</v>
      </c>
      <c r="D750" s="136" t="s">
        <v>648</v>
      </c>
      <c r="E750" s="136" t="s">
        <v>30</v>
      </c>
    </row>
    <row r="751" spans="1:5" ht="15.75" x14ac:dyDescent="0.25">
      <c r="A751" s="136">
        <v>1</v>
      </c>
      <c r="B751" s="137" t="s">
        <v>37</v>
      </c>
      <c r="C751" s="137" t="s">
        <v>39</v>
      </c>
      <c r="D751" s="138" t="s">
        <v>691</v>
      </c>
      <c r="E751" s="135" t="s">
        <v>41</v>
      </c>
    </row>
    <row r="752" spans="1:5" ht="15.75" x14ac:dyDescent="0.25">
      <c r="A752" s="136">
        <v>2</v>
      </c>
      <c r="B752" s="137" t="s">
        <v>51</v>
      </c>
      <c r="C752" s="137" t="s">
        <v>52</v>
      </c>
      <c r="D752" s="138" t="s">
        <v>693</v>
      </c>
      <c r="E752" s="135"/>
    </row>
    <row r="753" spans="1:5" ht="15.75" x14ac:dyDescent="0.25">
      <c r="A753" s="136">
        <v>3</v>
      </c>
      <c r="B753" s="137" t="s">
        <v>61</v>
      </c>
      <c r="C753" s="137" t="s">
        <v>62</v>
      </c>
      <c r="D753" s="138" t="s">
        <v>694</v>
      </c>
      <c r="E753" s="135" t="s">
        <v>64</v>
      </c>
    </row>
    <row r="754" spans="1:5" ht="15.75" x14ac:dyDescent="0.25">
      <c r="A754" s="136">
        <v>4</v>
      </c>
      <c r="B754" s="137" t="s">
        <v>72</v>
      </c>
      <c r="C754" s="137" t="s">
        <v>73</v>
      </c>
      <c r="D754" s="138" t="s">
        <v>696</v>
      </c>
      <c r="E754" s="135"/>
    </row>
    <row r="755" spans="1:5" ht="15.75" x14ac:dyDescent="0.25">
      <c r="A755" s="136">
        <v>5</v>
      </c>
      <c r="B755" s="137" t="s">
        <v>88</v>
      </c>
      <c r="C755" s="137" t="s">
        <v>90</v>
      </c>
      <c r="D755" s="138" t="s">
        <v>697</v>
      </c>
      <c r="E755" s="135"/>
    </row>
    <row r="756" spans="1:5" ht="15.75" x14ac:dyDescent="0.25">
      <c r="A756" s="136">
        <v>6</v>
      </c>
      <c r="B756" s="137" t="s">
        <v>96</v>
      </c>
      <c r="C756" s="137" t="s">
        <v>62</v>
      </c>
      <c r="D756" s="138" t="s">
        <v>698</v>
      </c>
      <c r="E756" s="135"/>
    </row>
    <row r="757" spans="1:5" ht="15.75" x14ac:dyDescent="0.25">
      <c r="A757" s="136">
        <v>7</v>
      </c>
      <c r="B757" s="137" t="s">
        <v>98</v>
      </c>
      <c r="C757" s="137" t="s">
        <v>352</v>
      </c>
      <c r="D757" s="138" t="s">
        <v>52</v>
      </c>
      <c r="E757" s="135" t="s">
        <v>101</v>
      </c>
    </row>
    <row r="758" spans="1:5" ht="15.75" x14ac:dyDescent="0.25">
      <c r="A758" s="136">
        <v>8</v>
      </c>
      <c r="B758" s="137" t="s">
        <v>98</v>
      </c>
      <c r="C758" s="137" t="s">
        <v>699</v>
      </c>
      <c r="D758" s="138" t="s">
        <v>700</v>
      </c>
      <c r="E758" s="135" t="s">
        <v>101</v>
      </c>
    </row>
    <row r="759" spans="1:5" ht="15.75" x14ac:dyDescent="0.25">
      <c r="A759" s="136">
        <v>9</v>
      </c>
      <c r="B759" s="137" t="s">
        <v>114</v>
      </c>
      <c r="C759" s="137" t="s">
        <v>39</v>
      </c>
      <c r="D759" s="138" t="s">
        <v>52</v>
      </c>
      <c r="E759" s="135" t="s">
        <v>115</v>
      </c>
    </row>
    <row r="760" spans="1:5" ht="32.25" customHeight="1" x14ac:dyDescent="0.25">
      <c r="A760" s="136">
        <v>10</v>
      </c>
      <c r="B760" s="137" t="s">
        <v>134</v>
      </c>
      <c r="C760" s="137" t="s">
        <v>135</v>
      </c>
      <c r="D760" s="138" t="s">
        <v>702</v>
      </c>
      <c r="E760" s="139" t="s">
        <v>138</v>
      </c>
    </row>
    <row r="761" spans="1:5" ht="15.75" x14ac:dyDescent="0.25">
      <c r="A761" s="136">
        <v>11</v>
      </c>
      <c r="B761" s="137" t="s">
        <v>145</v>
      </c>
      <c r="C761" s="137" t="s">
        <v>52</v>
      </c>
      <c r="D761" s="138" t="s">
        <v>704</v>
      </c>
      <c r="E761" s="139"/>
    </row>
    <row r="762" spans="1:5" ht="15.75" x14ac:dyDescent="0.25">
      <c r="A762" s="136">
        <v>12</v>
      </c>
      <c r="B762" s="137" t="s">
        <v>159</v>
      </c>
      <c r="C762" s="137" t="s">
        <v>160</v>
      </c>
      <c r="D762" s="138" t="s">
        <v>706</v>
      </c>
      <c r="E762" s="139"/>
    </row>
    <row r="763" spans="1:5" x14ac:dyDescent="0.25">
      <c r="A763" s="136"/>
      <c r="B763" s="136"/>
      <c r="C763" s="136"/>
      <c r="D763" s="136"/>
      <c r="E763" s="136"/>
    </row>
    <row r="768" spans="1:5" ht="15.75" x14ac:dyDescent="0.25">
      <c r="E768" s="129" t="s">
        <v>2</v>
      </c>
    </row>
    <row r="769" spans="1:5" ht="15.75" x14ac:dyDescent="0.25">
      <c r="E769" s="129" t="s">
        <v>3</v>
      </c>
    </row>
    <row r="770" spans="1:5" ht="15.75" x14ac:dyDescent="0.25">
      <c r="E770" s="131" t="s">
        <v>7</v>
      </c>
    </row>
    <row r="771" spans="1:5" x14ac:dyDescent="0.25">
      <c r="E771" s="133" t="s">
        <v>646</v>
      </c>
    </row>
    <row r="772" spans="1:5" x14ac:dyDescent="0.25">
      <c r="A772" s="191" t="str">
        <f>VLOOKUP(A775,[1]BD!C:D,2,0)</f>
        <v>Teaguistenco de Galeana</v>
      </c>
      <c r="B772" s="191"/>
      <c r="C772" s="191"/>
      <c r="D772" s="191"/>
      <c r="E772" s="191"/>
    </row>
    <row r="773" spans="1:5" x14ac:dyDescent="0.25">
      <c r="A773" s="191"/>
      <c r="B773" s="191"/>
      <c r="C773" s="191"/>
      <c r="D773" s="191"/>
      <c r="E773" s="191"/>
    </row>
    <row r="774" spans="1:5" x14ac:dyDescent="0.25">
      <c r="A774" s="189" t="s">
        <v>21</v>
      </c>
      <c r="B774" s="189"/>
      <c r="C774" s="189"/>
      <c r="D774" s="189"/>
      <c r="E774" s="134" t="s">
        <v>23</v>
      </c>
    </row>
    <row r="775" spans="1:5" ht="36" x14ac:dyDescent="0.25">
      <c r="A775" s="190">
        <v>6029</v>
      </c>
      <c r="B775" s="190"/>
      <c r="C775" s="190"/>
      <c r="D775" s="190"/>
      <c r="E775" s="135"/>
    </row>
    <row r="776" spans="1:5" x14ac:dyDescent="0.25">
      <c r="A776" s="136" t="s">
        <v>647</v>
      </c>
      <c r="B776" s="136" t="s">
        <v>24</v>
      </c>
      <c r="C776" s="136" t="s">
        <v>25</v>
      </c>
      <c r="D776" s="136" t="s">
        <v>648</v>
      </c>
      <c r="E776" s="136" t="s">
        <v>30</v>
      </c>
    </row>
    <row r="777" spans="1:5" ht="15.75" x14ac:dyDescent="0.25">
      <c r="A777" s="136">
        <v>1</v>
      </c>
      <c r="B777" s="137" t="s">
        <v>37</v>
      </c>
      <c r="C777" s="137" t="s">
        <v>39</v>
      </c>
      <c r="D777" s="138" t="s">
        <v>708</v>
      </c>
      <c r="E777" s="135" t="s">
        <v>41</v>
      </c>
    </row>
    <row r="778" spans="1:5" ht="15.75" x14ac:dyDescent="0.25">
      <c r="A778" s="136">
        <v>2</v>
      </c>
      <c r="B778" s="137" t="s">
        <v>51</v>
      </c>
      <c r="C778" s="137" t="s">
        <v>52</v>
      </c>
      <c r="D778" s="138" t="s">
        <v>710</v>
      </c>
      <c r="E778" s="135"/>
    </row>
    <row r="779" spans="1:5" ht="15.75" x14ac:dyDescent="0.25">
      <c r="A779" s="136">
        <v>3</v>
      </c>
      <c r="B779" s="137" t="s">
        <v>61</v>
      </c>
      <c r="C779" s="137" t="s">
        <v>62</v>
      </c>
      <c r="D779" s="138" t="s">
        <v>711</v>
      </c>
      <c r="E779" s="135" t="s">
        <v>64</v>
      </c>
    </row>
    <row r="780" spans="1:5" ht="15.75" x14ac:dyDescent="0.25">
      <c r="A780" s="136">
        <v>4</v>
      </c>
      <c r="B780" s="137" t="s">
        <v>72</v>
      </c>
      <c r="C780" s="137" t="s">
        <v>73</v>
      </c>
      <c r="D780" s="138" t="s">
        <v>713</v>
      </c>
      <c r="E780" s="135"/>
    </row>
    <row r="781" spans="1:5" ht="15.75" x14ac:dyDescent="0.25">
      <c r="A781" s="136">
        <v>5</v>
      </c>
      <c r="B781" s="137" t="s">
        <v>88</v>
      </c>
      <c r="C781" s="137" t="s">
        <v>90</v>
      </c>
      <c r="D781" s="138" t="s">
        <v>715</v>
      </c>
      <c r="E781" s="135"/>
    </row>
    <row r="782" spans="1:5" ht="15.75" x14ac:dyDescent="0.25">
      <c r="A782" s="136">
        <v>6</v>
      </c>
      <c r="B782" s="137" t="s">
        <v>96</v>
      </c>
      <c r="C782" s="137" t="s">
        <v>62</v>
      </c>
      <c r="D782" s="138" t="s">
        <v>716</v>
      </c>
      <c r="E782" s="135"/>
    </row>
    <row r="783" spans="1:5" ht="15.75" x14ac:dyDescent="0.25">
      <c r="A783" s="136">
        <v>7</v>
      </c>
      <c r="B783" s="137" t="s">
        <v>98</v>
      </c>
      <c r="C783" s="137" t="s">
        <v>99</v>
      </c>
      <c r="D783" s="138" t="s">
        <v>52</v>
      </c>
      <c r="E783" s="135" t="s">
        <v>101</v>
      </c>
    </row>
    <row r="784" spans="1:5" ht="15.75" x14ac:dyDescent="0.25">
      <c r="A784" s="136">
        <v>8</v>
      </c>
      <c r="B784" s="137" t="s">
        <v>98</v>
      </c>
      <c r="C784" s="137" t="s">
        <v>99</v>
      </c>
      <c r="D784" s="138" t="s">
        <v>52</v>
      </c>
      <c r="E784" s="135" t="s">
        <v>101</v>
      </c>
    </row>
    <row r="785" spans="1:5" ht="15.75" x14ac:dyDescent="0.25">
      <c r="A785" s="136">
        <v>9</v>
      </c>
      <c r="B785" s="137" t="s">
        <v>98</v>
      </c>
      <c r="C785" s="137" t="s">
        <v>99</v>
      </c>
      <c r="D785" s="138" t="s">
        <v>52</v>
      </c>
      <c r="E785" s="135" t="s">
        <v>101</v>
      </c>
    </row>
    <row r="786" spans="1:5" ht="15.75" x14ac:dyDescent="0.25">
      <c r="A786" s="136">
        <v>10</v>
      </c>
      <c r="B786" s="137" t="s">
        <v>98</v>
      </c>
      <c r="C786" s="137" t="s">
        <v>99</v>
      </c>
      <c r="D786" s="138" t="s">
        <v>52</v>
      </c>
      <c r="E786" s="135" t="s">
        <v>101</v>
      </c>
    </row>
    <row r="787" spans="1:5" ht="15.75" x14ac:dyDescent="0.25">
      <c r="A787" s="136">
        <v>11</v>
      </c>
      <c r="B787" s="137" t="s">
        <v>114</v>
      </c>
      <c r="C787" s="137" t="s">
        <v>39</v>
      </c>
      <c r="D787" s="138" t="s">
        <v>52</v>
      </c>
      <c r="E787" s="139" t="s">
        <v>115</v>
      </c>
    </row>
    <row r="788" spans="1:5" ht="30" x14ac:dyDescent="0.25">
      <c r="A788" s="136">
        <v>12</v>
      </c>
      <c r="B788" s="137" t="s">
        <v>134</v>
      </c>
      <c r="C788" s="137" t="s">
        <v>135</v>
      </c>
      <c r="D788" s="138" t="s">
        <v>718</v>
      </c>
      <c r="E788" s="139" t="s">
        <v>138</v>
      </c>
    </row>
    <row r="789" spans="1:5" ht="15.75" x14ac:dyDescent="0.25">
      <c r="A789" s="136">
        <v>13</v>
      </c>
      <c r="B789" s="137" t="s">
        <v>145</v>
      </c>
      <c r="C789" s="137" t="s">
        <v>52</v>
      </c>
      <c r="D789" s="138" t="s">
        <v>720</v>
      </c>
      <c r="E789" s="139"/>
    </row>
    <row r="790" spans="1:5" ht="15.75" x14ac:dyDescent="0.25">
      <c r="A790" s="136">
        <v>14</v>
      </c>
      <c r="B790" s="137" t="s">
        <v>159</v>
      </c>
      <c r="C790" s="137" t="s">
        <v>160</v>
      </c>
      <c r="D790" s="138" t="s">
        <v>722</v>
      </c>
      <c r="E790" s="139"/>
    </row>
    <row r="791" spans="1:5" x14ac:dyDescent="0.25">
      <c r="A791" s="136"/>
      <c r="B791" s="136"/>
      <c r="C791" s="136"/>
      <c r="D791" s="136"/>
      <c r="E791" s="136"/>
    </row>
    <row r="797" spans="1:5" ht="15.75" x14ac:dyDescent="0.25">
      <c r="E797" s="129" t="s">
        <v>2</v>
      </c>
    </row>
    <row r="798" spans="1:5" ht="15.75" x14ac:dyDescent="0.25">
      <c r="E798" s="129" t="s">
        <v>3</v>
      </c>
    </row>
    <row r="799" spans="1:5" ht="15.75" x14ac:dyDescent="0.25">
      <c r="E799" s="131" t="s">
        <v>7</v>
      </c>
    </row>
    <row r="800" spans="1:5" x14ac:dyDescent="0.25">
      <c r="E800" s="133" t="s">
        <v>646</v>
      </c>
    </row>
    <row r="801" spans="1:5" x14ac:dyDescent="0.25">
      <c r="A801" s="191" t="str">
        <f>VLOOKUP(A804,[1]BD!C:D,2,0)</f>
        <v>Naucalpan de Juarez</v>
      </c>
      <c r="B801" s="191"/>
      <c r="C801" s="191"/>
      <c r="D801" s="191"/>
      <c r="E801" s="191"/>
    </row>
    <row r="802" spans="1:5" x14ac:dyDescent="0.25">
      <c r="A802" s="191"/>
      <c r="B802" s="191"/>
      <c r="C802" s="191"/>
      <c r="D802" s="191"/>
      <c r="E802" s="191"/>
    </row>
    <row r="803" spans="1:5" x14ac:dyDescent="0.25">
      <c r="A803" s="189" t="s">
        <v>21</v>
      </c>
      <c r="B803" s="189"/>
      <c r="C803" s="189"/>
      <c r="D803" s="189"/>
      <c r="E803" s="134" t="s">
        <v>23</v>
      </c>
    </row>
    <row r="804" spans="1:5" ht="36" x14ac:dyDescent="0.25">
      <c r="A804" s="190">
        <v>6030</v>
      </c>
      <c r="B804" s="190"/>
      <c r="C804" s="190"/>
      <c r="D804" s="190"/>
      <c r="E804" s="135"/>
    </row>
    <row r="805" spans="1:5" x14ac:dyDescent="0.25">
      <c r="A805" s="136" t="s">
        <v>647</v>
      </c>
      <c r="B805" s="136" t="s">
        <v>24</v>
      </c>
      <c r="C805" s="136" t="s">
        <v>25</v>
      </c>
      <c r="D805" s="136" t="s">
        <v>648</v>
      </c>
      <c r="E805" s="136" t="s">
        <v>30</v>
      </c>
    </row>
    <row r="806" spans="1:5" ht="15.75" x14ac:dyDescent="0.25">
      <c r="A806" s="136">
        <v>1</v>
      </c>
      <c r="B806" s="137" t="s">
        <v>37</v>
      </c>
      <c r="C806" s="137" t="s">
        <v>39</v>
      </c>
      <c r="D806" s="138" t="s">
        <v>724</v>
      </c>
      <c r="E806" s="135" t="s">
        <v>41</v>
      </c>
    </row>
    <row r="807" spans="1:5" ht="15.75" x14ac:dyDescent="0.25">
      <c r="A807" s="136">
        <v>2</v>
      </c>
      <c r="B807" s="137" t="s">
        <v>51</v>
      </c>
      <c r="C807" s="137" t="s">
        <v>52</v>
      </c>
      <c r="D807" s="138" t="s">
        <v>726</v>
      </c>
      <c r="E807" s="135"/>
    </row>
    <row r="808" spans="1:5" ht="15.75" x14ac:dyDescent="0.25">
      <c r="A808" s="136">
        <v>3</v>
      </c>
      <c r="B808" s="137" t="s">
        <v>61</v>
      </c>
      <c r="C808" s="137" t="s">
        <v>62</v>
      </c>
      <c r="D808" s="138" t="s">
        <v>727</v>
      </c>
      <c r="E808" s="135" t="s">
        <v>64</v>
      </c>
    </row>
    <row r="809" spans="1:5" ht="15.75" x14ac:dyDescent="0.25">
      <c r="A809" s="136">
        <v>4</v>
      </c>
      <c r="B809" s="137" t="s">
        <v>72</v>
      </c>
      <c r="C809" s="137" t="s">
        <v>73</v>
      </c>
      <c r="D809" s="138" t="s">
        <v>729</v>
      </c>
      <c r="E809" s="135"/>
    </row>
    <row r="810" spans="1:5" ht="15.75" x14ac:dyDescent="0.25">
      <c r="A810" s="136">
        <v>5</v>
      </c>
      <c r="B810" s="137" t="s">
        <v>88</v>
      </c>
      <c r="C810" s="137" t="s">
        <v>90</v>
      </c>
      <c r="D810" s="138" t="s">
        <v>731</v>
      </c>
      <c r="E810" s="135"/>
    </row>
    <row r="811" spans="1:5" ht="15.75" x14ac:dyDescent="0.25">
      <c r="A811" s="136">
        <v>6</v>
      </c>
      <c r="B811" s="137" t="s">
        <v>96</v>
      </c>
      <c r="C811" s="137" t="s">
        <v>62</v>
      </c>
      <c r="D811" s="138" t="s">
        <v>732</v>
      </c>
      <c r="E811" s="135"/>
    </row>
    <row r="812" spans="1:5" ht="15.75" x14ac:dyDescent="0.25">
      <c r="A812" s="136">
        <v>7</v>
      </c>
      <c r="B812" s="137" t="s">
        <v>98</v>
      </c>
      <c r="C812" s="137" t="s">
        <v>39</v>
      </c>
      <c r="D812" s="138" t="s">
        <v>52</v>
      </c>
      <c r="E812" s="135" t="s">
        <v>101</v>
      </c>
    </row>
    <row r="813" spans="1:5" ht="15.75" x14ac:dyDescent="0.25">
      <c r="A813" s="136">
        <v>8</v>
      </c>
      <c r="B813" s="137" t="s">
        <v>98</v>
      </c>
      <c r="C813" s="137" t="s">
        <v>39</v>
      </c>
      <c r="D813" s="138" t="s">
        <v>52</v>
      </c>
      <c r="E813" s="135" t="s">
        <v>101</v>
      </c>
    </row>
    <row r="814" spans="1:5" ht="15.75" x14ac:dyDescent="0.25">
      <c r="A814" s="136">
        <v>9</v>
      </c>
      <c r="B814" s="137" t="s">
        <v>114</v>
      </c>
      <c r="C814" s="137" t="s">
        <v>39</v>
      </c>
      <c r="D814" s="138" t="s">
        <v>52</v>
      </c>
      <c r="E814" s="135" t="s">
        <v>115</v>
      </c>
    </row>
    <row r="815" spans="1:5" ht="32.25" customHeight="1" x14ac:dyDescent="0.25">
      <c r="A815" s="136">
        <v>10</v>
      </c>
      <c r="B815" s="137" t="s">
        <v>134</v>
      </c>
      <c r="C815" s="137" t="s">
        <v>135</v>
      </c>
      <c r="D815" s="138" t="s">
        <v>734</v>
      </c>
      <c r="E815" s="139" t="s">
        <v>138</v>
      </c>
    </row>
    <row r="816" spans="1:5" ht="15.75" x14ac:dyDescent="0.25">
      <c r="A816" s="136">
        <v>11</v>
      </c>
      <c r="B816" s="137" t="s">
        <v>145</v>
      </c>
      <c r="C816" s="137" t="s">
        <v>52</v>
      </c>
      <c r="D816" s="138" t="s">
        <v>736</v>
      </c>
      <c r="E816" s="139"/>
    </row>
    <row r="817" spans="1:5" ht="15.75" x14ac:dyDescent="0.25">
      <c r="A817" s="136">
        <v>12</v>
      </c>
      <c r="B817" s="137" t="s">
        <v>159</v>
      </c>
      <c r="C817" s="137" t="s">
        <v>160</v>
      </c>
      <c r="D817" s="138" t="s">
        <v>738</v>
      </c>
      <c r="E817" s="139"/>
    </row>
    <row r="818" spans="1:5" x14ac:dyDescent="0.25">
      <c r="A818" s="136"/>
      <c r="B818" s="136"/>
      <c r="C818" s="136"/>
      <c r="D818" s="136"/>
      <c r="E818" s="136"/>
    </row>
    <row r="822" spans="1:5" ht="15.75" x14ac:dyDescent="0.25">
      <c r="E822" s="129" t="s">
        <v>2</v>
      </c>
    </row>
    <row r="823" spans="1:5" ht="15.75" x14ac:dyDescent="0.25">
      <c r="E823" s="129" t="s">
        <v>3</v>
      </c>
    </row>
    <row r="824" spans="1:5" ht="15.75" x14ac:dyDescent="0.25">
      <c r="E824" s="131" t="s">
        <v>7</v>
      </c>
    </row>
    <row r="825" spans="1:5" x14ac:dyDescent="0.25">
      <c r="E825" s="133" t="s">
        <v>646</v>
      </c>
    </row>
    <row r="826" spans="1:5" x14ac:dyDescent="0.25">
      <c r="A826" s="191" t="str">
        <f>VLOOKUP(A829,[1]BD!C:D,2,0)</f>
        <v>Los Reyes Acaquilpan</v>
      </c>
      <c r="B826" s="191"/>
      <c r="C826" s="191"/>
      <c r="D826" s="191"/>
      <c r="E826" s="191"/>
    </row>
    <row r="827" spans="1:5" x14ac:dyDescent="0.25">
      <c r="A827" s="191"/>
      <c r="B827" s="191"/>
      <c r="C827" s="191"/>
      <c r="D827" s="191"/>
      <c r="E827" s="191"/>
    </row>
    <row r="828" spans="1:5" x14ac:dyDescent="0.25">
      <c r="A828" s="189" t="s">
        <v>21</v>
      </c>
      <c r="B828" s="189"/>
      <c r="C828" s="189"/>
      <c r="D828" s="189"/>
      <c r="E828" s="142" t="s">
        <v>23</v>
      </c>
    </row>
    <row r="829" spans="1:5" ht="36" x14ac:dyDescent="0.25">
      <c r="A829" s="190">
        <v>6031</v>
      </c>
      <c r="B829" s="190"/>
      <c r="C829" s="190"/>
      <c r="D829" s="190"/>
      <c r="E829" s="135"/>
    </row>
    <row r="830" spans="1:5" x14ac:dyDescent="0.25">
      <c r="A830" s="136" t="s">
        <v>647</v>
      </c>
      <c r="B830" s="136" t="s">
        <v>24</v>
      </c>
      <c r="C830" s="136" t="s">
        <v>25</v>
      </c>
      <c r="D830" s="136" t="s">
        <v>648</v>
      </c>
      <c r="E830" s="136" t="s">
        <v>30</v>
      </c>
    </row>
    <row r="831" spans="1:5" ht="15.75" x14ac:dyDescent="0.25">
      <c r="A831" s="136">
        <v>1</v>
      </c>
      <c r="B831" s="137" t="s">
        <v>37</v>
      </c>
      <c r="C831" s="137" t="s">
        <v>39</v>
      </c>
      <c r="D831" s="138" t="s">
        <v>740</v>
      </c>
      <c r="E831" s="135" t="s">
        <v>41</v>
      </c>
    </row>
    <row r="832" spans="1:5" ht="15.75" x14ac:dyDescent="0.25">
      <c r="A832" s="136">
        <v>2</v>
      </c>
      <c r="B832" s="137" t="s">
        <v>51</v>
      </c>
      <c r="C832" s="137" t="s">
        <v>52</v>
      </c>
      <c r="D832" s="138" t="s">
        <v>742</v>
      </c>
      <c r="E832" s="135"/>
    </row>
    <row r="833" spans="1:5" ht="15.75" x14ac:dyDescent="0.25">
      <c r="A833" s="136">
        <v>3</v>
      </c>
      <c r="B833" s="137" t="s">
        <v>61</v>
      </c>
      <c r="C833" s="137" t="s">
        <v>62</v>
      </c>
      <c r="D833" s="138" t="s">
        <v>743</v>
      </c>
      <c r="E833" s="135" t="s">
        <v>64</v>
      </c>
    </row>
    <row r="834" spans="1:5" ht="15.75" x14ac:dyDescent="0.25">
      <c r="A834" s="136">
        <v>4</v>
      </c>
      <c r="B834" s="137" t="s">
        <v>72</v>
      </c>
      <c r="C834" s="137" t="s">
        <v>73</v>
      </c>
      <c r="D834" s="138" t="s">
        <v>745</v>
      </c>
      <c r="E834" s="135"/>
    </row>
    <row r="835" spans="1:5" ht="15.75" x14ac:dyDescent="0.25">
      <c r="A835" s="136">
        <v>5</v>
      </c>
      <c r="B835" s="137" t="s">
        <v>88</v>
      </c>
      <c r="C835" s="137" t="s">
        <v>90</v>
      </c>
      <c r="D835" s="138" t="s">
        <v>747</v>
      </c>
      <c r="E835" s="135"/>
    </row>
    <row r="836" spans="1:5" ht="15.75" x14ac:dyDescent="0.25">
      <c r="A836" s="136">
        <v>6</v>
      </c>
      <c r="B836" s="137" t="s">
        <v>96</v>
      </c>
      <c r="C836" s="137" t="s">
        <v>62</v>
      </c>
      <c r="D836" s="138" t="s">
        <v>748</v>
      </c>
      <c r="E836" s="135"/>
    </row>
    <row r="837" spans="1:5" ht="15.75" x14ac:dyDescent="0.25">
      <c r="A837" s="136">
        <v>7</v>
      </c>
      <c r="B837" s="137" t="s">
        <v>98</v>
      </c>
      <c r="C837" s="137" t="s">
        <v>39</v>
      </c>
      <c r="D837" s="138" t="s">
        <v>52</v>
      </c>
      <c r="E837" s="135" t="s">
        <v>101</v>
      </c>
    </row>
    <row r="838" spans="1:5" ht="15.75" x14ac:dyDescent="0.25">
      <c r="A838" s="136">
        <v>8</v>
      </c>
      <c r="B838" s="137" t="s">
        <v>98</v>
      </c>
      <c r="C838" s="137" t="s">
        <v>39</v>
      </c>
      <c r="D838" s="138" t="s">
        <v>52</v>
      </c>
      <c r="E838" s="135" t="s">
        <v>101</v>
      </c>
    </row>
    <row r="839" spans="1:5" ht="15.75" x14ac:dyDescent="0.25">
      <c r="A839" s="136">
        <v>9</v>
      </c>
      <c r="B839" s="137" t="s">
        <v>98</v>
      </c>
      <c r="C839" s="137" t="s">
        <v>39</v>
      </c>
      <c r="D839" s="138" t="s">
        <v>52</v>
      </c>
      <c r="E839" s="135" t="s">
        <v>101</v>
      </c>
    </row>
    <row r="840" spans="1:5" ht="15.75" x14ac:dyDescent="0.25">
      <c r="A840" s="136">
        <v>10</v>
      </c>
      <c r="B840" s="137" t="s">
        <v>98</v>
      </c>
      <c r="C840" s="137" t="s">
        <v>563</v>
      </c>
      <c r="D840" s="138" t="s">
        <v>52</v>
      </c>
      <c r="E840" s="135" t="s">
        <v>101</v>
      </c>
    </row>
    <row r="841" spans="1:5" ht="15.75" x14ac:dyDescent="0.25">
      <c r="A841" s="136">
        <v>11</v>
      </c>
      <c r="B841" s="137" t="s">
        <v>98</v>
      </c>
      <c r="C841" s="137" t="s">
        <v>563</v>
      </c>
      <c r="D841" s="138" t="s">
        <v>52</v>
      </c>
      <c r="E841" s="139" t="s">
        <v>101</v>
      </c>
    </row>
    <row r="842" spans="1:5" ht="15.75" x14ac:dyDescent="0.25">
      <c r="A842" s="136">
        <v>12</v>
      </c>
      <c r="B842" s="137" t="s">
        <v>98</v>
      </c>
      <c r="C842" s="137" t="s">
        <v>563</v>
      </c>
      <c r="D842" s="138" t="s">
        <v>52</v>
      </c>
      <c r="E842" s="139" t="s">
        <v>101</v>
      </c>
    </row>
    <row r="843" spans="1:5" ht="15.75" x14ac:dyDescent="0.25">
      <c r="A843" s="136">
        <v>13</v>
      </c>
      <c r="B843" s="137" t="s">
        <v>98</v>
      </c>
      <c r="C843" s="137" t="s">
        <v>352</v>
      </c>
      <c r="D843" s="138" t="s">
        <v>52</v>
      </c>
      <c r="E843" s="139" t="s">
        <v>101</v>
      </c>
    </row>
    <row r="844" spans="1:5" ht="15.75" x14ac:dyDescent="0.25">
      <c r="A844" s="136">
        <v>14</v>
      </c>
      <c r="B844" s="137" t="s">
        <v>114</v>
      </c>
      <c r="C844" s="137" t="s">
        <v>39</v>
      </c>
      <c r="D844" s="138" t="s">
        <v>52</v>
      </c>
      <c r="E844" s="139" t="s">
        <v>115</v>
      </c>
    </row>
    <row r="845" spans="1:5" ht="30" x14ac:dyDescent="0.25">
      <c r="A845" s="136">
        <v>15</v>
      </c>
      <c r="B845" s="137" t="s">
        <v>134</v>
      </c>
      <c r="C845" s="137" t="s">
        <v>135</v>
      </c>
      <c r="D845" s="138" t="s">
        <v>750</v>
      </c>
      <c r="E845" s="139" t="s">
        <v>138</v>
      </c>
    </row>
    <row r="846" spans="1:5" ht="15.75" x14ac:dyDescent="0.25">
      <c r="A846" s="136">
        <v>16</v>
      </c>
      <c r="B846" s="137" t="s">
        <v>145</v>
      </c>
      <c r="C846" s="137" t="s">
        <v>52</v>
      </c>
      <c r="D846" s="138" t="s">
        <v>752</v>
      </c>
      <c r="E846" s="139"/>
    </row>
    <row r="847" spans="1:5" ht="15.75" x14ac:dyDescent="0.25">
      <c r="A847" s="136">
        <v>17</v>
      </c>
      <c r="B847" s="137" t="s">
        <v>159</v>
      </c>
      <c r="C847" s="137" t="s">
        <v>160</v>
      </c>
      <c r="D847" s="138" t="s">
        <v>754</v>
      </c>
      <c r="E847" s="139"/>
    </row>
    <row r="848" spans="1:5" x14ac:dyDescent="0.25">
      <c r="A848" s="136"/>
      <c r="B848" s="136"/>
      <c r="C848" s="136"/>
      <c r="D848" s="136"/>
      <c r="E848" s="136"/>
    </row>
    <row r="853" spans="1:5" ht="15.75" x14ac:dyDescent="0.25">
      <c r="E853" s="129" t="s">
        <v>2</v>
      </c>
    </row>
    <row r="854" spans="1:5" ht="15.75" x14ac:dyDescent="0.25">
      <c r="E854" s="129" t="s">
        <v>3</v>
      </c>
    </row>
    <row r="855" spans="1:5" ht="15.75" x14ac:dyDescent="0.25">
      <c r="E855" s="131" t="s">
        <v>7</v>
      </c>
    </row>
    <row r="856" spans="1:5" x14ac:dyDescent="0.25">
      <c r="E856" s="133" t="s">
        <v>646</v>
      </c>
    </row>
    <row r="857" spans="1:5" x14ac:dyDescent="0.25">
      <c r="A857" s="191" t="str">
        <f>VLOOKUP(A860,[1]BD!C:D,2,0)</f>
        <v>Naucalpan de Juarez</v>
      </c>
      <c r="B857" s="191"/>
      <c r="C857" s="191"/>
      <c r="D857" s="191"/>
      <c r="E857" s="191"/>
    </row>
    <row r="858" spans="1:5" x14ac:dyDescent="0.25">
      <c r="A858" s="191"/>
      <c r="B858" s="191"/>
      <c r="C858" s="191"/>
      <c r="D858" s="191"/>
      <c r="E858" s="191"/>
    </row>
    <row r="859" spans="1:5" x14ac:dyDescent="0.25">
      <c r="A859" s="189" t="s">
        <v>21</v>
      </c>
      <c r="B859" s="189"/>
      <c r="C859" s="189"/>
      <c r="D859" s="189"/>
      <c r="E859" s="142" t="s">
        <v>23</v>
      </c>
    </row>
    <row r="860" spans="1:5" ht="36" x14ac:dyDescent="0.25">
      <c r="A860" s="190">
        <v>6032</v>
      </c>
      <c r="B860" s="190"/>
      <c r="C860" s="190"/>
      <c r="D860" s="190"/>
      <c r="E860" s="135"/>
    </row>
    <row r="861" spans="1:5" x14ac:dyDescent="0.25">
      <c r="A861" s="136" t="s">
        <v>647</v>
      </c>
      <c r="B861" s="136" t="s">
        <v>24</v>
      </c>
      <c r="C861" s="136" t="s">
        <v>25</v>
      </c>
      <c r="D861" s="136" t="s">
        <v>648</v>
      </c>
      <c r="E861" s="136" t="s">
        <v>30</v>
      </c>
    </row>
    <row r="862" spans="1:5" ht="15.75" x14ac:dyDescent="0.25">
      <c r="A862" s="136">
        <v>1</v>
      </c>
      <c r="B862" s="137" t="s">
        <v>37</v>
      </c>
      <c r="C862" s="137" t="s">
        <v>39</v>
      </c>
      <c r="D862" s="138" t="s">
        <v>755</v>
      </c>
      <c r="E862" s="135" t="s">
        <v>41</v>
      </c>
    </row>
    <row r="863" spans="1:5" ht="15.75" x14ac:dyDescent="0.25">
      <c r="A863" s="136">
        <v>2</v>
      </c>
      <c r="B863" s="137" t="s">
        <v>51</v>
      </c>
      <c r="C863" s="137" t="s">
        <v>52</v>
      </c>
      <c r="D863" s="138" t="s">
        <v>756</v>
      </c>
      <c r="E863" s="135"/>
    </row>
    <row r="864" spans="1:5" ht="15.75" x14ac:dyDescent="0.25">
      <c r="A864" s="136">
        <v>3</v>
      </c>
      <c r="B864" s="137" t="s">
        <v>61</v>
      </c>
      <c r="C864" s="137" t="s">
        <v>62</v>
      </c>
      <c r="D864" s="138" t="s">
        <v>758</v>
      </c>
      <c r="E864" s="135" t="s">
        <v>64</v>
      </c>
    </row>
    <row r="865" spans="1:5" ht="15.75" x14ac:dyDescent="0.25">
      <c r="A865" s="136">
        <v>4</v>
      </c>
      <c r="B865" s="137" t="s">
        <v>72</v>
      </c>
      <c r="C865" s="137" t="s">
        <v>73</v>
      </c>
      <c r="D865" s="138" t="s">
        <v>759</v>
      </c>
      <c r="E865" s="135"/>
    </row>
    <row r="866" spans="1:5" ht="15.75" x14ac:dyDescent="0.25">
      <c r="A866" s="136">
        <v>5</v>
      </c>
      <c r="B866" s="137" t="s">
        <v>88</v>
      </c>
      <c r="C866" s="137" t="s">
        <v>90</v>
      </c>
      <c r="D866" s="138" t="s">
        <v>761</v>
      </c>
      <c r="E866" s="135"/>
    </row>
    <row r="867" spans="1:5" ht="15.75" x14ac:dyDescent="0.25">
      <c r="A867" s="136">
        <v>6</v>
      </c>
      <c r="B867" s="137" t="s">
        <v>96</v>
      </c>
      <c r="C867" s="137" t="s">
        <v>62</v>
      </c>
      <c r="D867" s="138" t="s">
        <v>763</v>
      </c>
      <c r="E867" s="135"/>
    </row>
    <row r="868" spans="1:5" ht="15.75" x14ac:dyDescent="0.25">
      <c r="A868" s="136">
        <v>7</v>
      </c>
      <c r="B868" s="137" t="s">
        <v>98</v>
      </c>
      <c r="C868" s="137" t="s">
        <v>39</v>
      </c>
      <c r="D868" s="138" t="s">
        <v>52</v>
      </c>
      <c r="E868" s="135" t="s">
        <v>101</v>
      </c>
    </row>
    <row r="869" spans="1:5" ht="15.75" x14ac:dyDescent="0.25">
      <c r="A869" s="136">
        <v>8</v>
      </c>
      <c r="B869" s="137" t="s">
        <v>98</v>
      </c>
      <c r="C869" s="137" t="s">
        <v>39</v>
      </c>
      <c r="D869" s="138" t="s">
        <v>52</v>
      </c>
      <c r="E869" s="135" t="s">
        <v>101</v>
      </c>
    </row>
    <row r="870" spans="1:5" ht="15.75" x14ac:dyDescent="0.25">
      <c r="A870" s="136">
        <v>9</v>
      </c>
      <c r="B870" s="137" t="s">
        <v>114</v>
      </c>
      <c r="C870" s="137" t="s">
        <v>39</v>
      </c>
      <c r="D870" s="138" t="s">
        <v>52</v>
      </c>
      <c r="E870" s="135" t="s">
        <v>115</v>
      </c>
    </row>
    <row r="871" spans="1:5" ht="15.75" x14ac:dyDescent="0.25">
      <c r="A871" s="136">
        <v>10</v>
      </c>
      <c r="B871" s="137" t="s">
        <v>134</v>
      </c>
      <c r="C871" s="137" t="s">
        <v>135</v>
      </c>
      <c r="D871" s="138" t="s">
        <v>765</v>
      </c>
      <c r="E871" s="135" t="s">
        <v>138</v>
      </c>
    </row>
    <row r="872" spans="1:5" ht="15.75" x14ac:dyDescent="0.25">
      <c r="A872" s="136">
        <v>11</v>
      </c>
      <c r="B872" s="137" t="s">
        <v>145</v>
      </c>
      <c r="C872" s="137" t="s">
        <v>52</v>
      </c>
      <c r="D872" s="138" t="s">
        <v>767</v>
      </c>
      <c r="E872" s="139"/>
    </row>
    <row r="873" spans="1:5" ht="15.75" x14ac:dyDescent="0.25">
      <c r="A873" s="136">
        <v>12</v>
      </c>
      <c r="B873" s="137" t="s">
        <v>159</v>
      </c>
      <c r="C873" s="137" t="s">
        <v>160</v>
      </c>
      <c r="D873" s="138" t="s">
        <v>769</v>
      </c>
      <c r="E873" s="139"/>
    </row>
    <row r="874" spans="1:5" x14ac:dyDescent="0.25">
      <c r="A874" s="136"/>
      <c r="B874" s="136"/>
      <c r="C874" s="136"/>
      <c r="D874" s="136"/>
      <c r="E874" s="136"/>
    </row>
    <row r="878" spans="1:5" ht="15.75" x14ac:dyDescent="0.25">
      <c r="E878" s="129" t="s">
        <v>2</v>
      </c>
    </row>
    <row r="879" spans="1:5" ht="15.75" x14ac:dyDescent="0.25">
      <c r="E879" s="129" t="s">
        <v>3</v>
      </c>
    </row>
    <row r="880" spans="1:5" ht="15.75" x14ac:dyDescent="0.25">
      <c r="E880" s="131" t="s">
        <v>7</v>
      </c>
    </row>
    <row r="881" spans="1:5" x14ac:dyDescent="0.25">
      <c r="E881" s="133" t="s">
        <v>646</v>
      </c>
    </row>
    <row r="882" spans="1:5" x14ac:dyDescent="0.25">
      <c r="A882" s="191" t="str">
        <f>VLOOKUP(A885,[1]BD!C:D,2,0)</f>
        <v>Ojo de Agua (Tecamac)</v>
      </c>
      <c r="B882" s="191"/>
      <c r="C882" s="191"/>
      <c r="D882" s="191"/>
      <c r="E882" s="191"/>
    </row>
    <row r="883" spans="1:5" x14ac:dyDescent="0.25">
      <c r="A883" s="191"/>
      <c r="B883" s="191"/>
      <c r="C883" s="191"/>
      <c r="D883" s="191"/>
      <c r="E883" s="191"/>
    </row>
    <row r="884" spans="1:5" x14ac:dyDescent="0.25">
      <c r="A884" s="189" t="s">
        <v>21</v>
      </c>
      <c r="B884" s="189"/>
      <c r="C884" s="189"/>
      <c r="D884" s="189"/>
      <c r="E884" s="142" t="s">
        <v>23</v>
      </c>
    </row>
    <row r="885" spans="1:5" ht="36" x14ac:dyDescent="0.25">
      <c r="A885" s="190">
        <v>6033</v>
      </c>
      <c r="B885" s="190"/>
      <c r="C885" s="190"/>
      <c r="D885" s="190"/>
      <c r="E885" s="135"/>
    </row>
    <row r="886" spans="1:5" x14ac:dyDescent="0.25">
      <c r="A886" s="136" t="s">
        <v>647</v>
      </c>
      <c r="B886" s="136" t="s">
        <v>24</v>
      </c>
      <c r="C886" s="136" t="s">
        <v>25</v>
      </c>
      <c r="D886" s="136" t="s">
        <v>648</v>
      </c>
      <c r="E886" s="136" t="s">
        <v>30</v>
      </c>
    </row>
    <row r="887" spans="1:5" ht="15.75" x14ac:dyDescent="0.25">
      <c r="A887" s="136">
        <v>1</v>
      </c>
      <c r="B887" s="137" t="s">
        <v>37</v>
      </c>
      <c r="C887" s="137" t="s">
        <v>39</v>
      </c>
      <c r="D887" s="138" t="s">
        <v>771</v>
      </c>
      <c r="E887" s="135" t="s">
        <v>41</v>
      </c>
    </row>
    <row r="888" spans="1:5" ht="15.75" x14ac:dyDescent="0.25">
      <c r="A888" s="136">
        <v>2</v>
      </c>
      <c r="B888" s="137" t="s">
        <v>51</v>
      </c>
      <c r="C888" s="137" t="s">
        <v>52</v>
      </c>
      <c r="D888" s="138" t="s">
        <v>773</v>
      </c>
      <c r="E888" s="135"/>
    </row>
    <row r="889" spans="1:5" ht="15.75" x14ac:dyDescent="0.25">
      <c r="A889" s="136">
        <v>3</v>
      </c>
      <c r="B889" s="137" t="s">
        <v>61</v>
      </c>
      <c r="C889" s="137" t="s">
        <v>62</v>
      </c>
      <c r="D889" s="138" t="s">
        <v>774</v>
      </c>
      <c r="E889" s="135" t="s">
        <v>64</v>
      </c>
    </row>
    <row r="890" spans="1:5" ht="15.75" x14ac:dyDescent="0.25">
      <c r="A890" s="136">
        <v>4</v>
      </c>
      <c r="B890" s="137" t="s">
        <v>72</v>
      </c>
      <c r="C890" s="137" t="s">
        <v>73</v>
      </c>
      <c r="D890" s="138" t="s">
        <v>776</v>
      </c>
      <c r="E890" s="135"/>
    </row>
    <row r="891" spans="1:5" ht="15.75" x14ac:dyDescent="0.25">
      <c r="A891" s="136">
        <v>5</v>
      </c>
      <c r="B891" s="137" t="s">
        <v>88</v>
      </c>
      <c r="C891" s="137" t="s">
        <v>90</v>
      </c>
      <c r="D891" s="138" t="s">
        <v>778</v>
      </c>
      <c r="E891" s="135"/>
    </row>
    <row r="892" spans="1:5" ht="15.75" x14ac:dyDescent="0.25">
      <c r="A892" s="136">
        <v>6</v>
      </c>
      <c r="B892" s="137" t="s">
        <v>96</v>
      </c>
      <c r="C892" s="137" t="s">
        <v>62</v>
      </c>
      <c r="D892" s="138" t="s">
        <v>779</v>
      </c>
      <c r="E892" s="135"/>
    </row>
    <row r="893" spans="1:5" ht="15.75" x14ac:dyDescent="0.25">
      <c r="A893" s="136">
        <v>7</v>
      </c>
      <c r="B893" s="137" t="s">
        <v>98</v>
      </c>
      <c r="C893" s="137" t="s">
        <v>39</v>
      </c>
      <c r="D893" s="138" t="s">
        <v>52</v>
      </c>
      <c r="E893" s="135" t="s">
        <v>101</v>
      </c>
    </row>
    <row r="894" spans="1:5" ht="15.75" x14ac:dyDescent="0.25">
      <c r="A894" s="136">
        <v>8</v>
      </c>
      <c r="B894" s="137" t="s">
        <v>98</v>
      </c>
      <c r="C894" s="137" t="s">
        <v>39</v>
      </c>
      <c r="D894" s="138" t="s">
        <v>52</v>
      </c>
      <c r="E894" s="135" t="s">
        <v>101</v>
      </c>
    </row>
    <row r="895" spans="1:5" ht="15.75" x14ac:dyDescent="0.25">
      <c r="A895" s="136">
        <v>9</v>
      </c>
      <c r="B895" s="137" t="s">
        <v>98</v>
      </c>
      <c r="C895" s="137" t="s">
        <v>625</v>
      </c>
      <c r="D895" s="138" t="s">
        <v>52</v>
      </c>
      <c r="E895" s="135" t="s">
        <v>101</v>
      </c>
    </row>
    <row r="896" spans="1:5" ht="15.75" x14ac:dyDescent="0.25">
      <c r="A896" s="136">
        <v>10</v>
      </c>
      <c r="B896" s="137" t="s">
        <v>114</v>
      </c>
      <c r="C896" s="137" t="s">
        <v>39</v>
      </c>
      <c r="D896" s="138" t="s">
        <v>52</v>
      </c>
      <c r="E896" s="135" t="s">
        <v>115</v>
      </c>
    </row>
    <row r="897" spans="1:5" ht="30" x14ac:dyDescent="0.25">
      <c r="A897" s="136">
        <v>11</v>
      </c>
      <c r="B897" s="137" t="s">
        <v>134</v>
      </c>
      <c r="C897" s="137" t="s">
        <v>135</v>
      </c>
      <c r="D897" s="138" t="s">
        <v>781</v>
      </c>
      <c r="E897" s="139" t="s">
        <v>138</v>
      </c>
    </row>
    <row r="898" spans="1:5" ht="15.75" x14ac:dyDescent="0.25">
      <c r="A898" s="136">
        <v>12</v>
      </c>
      <c r="B898" s="137" t="s">
        <v>145</v>
      </c>
      <c r="C898" s="137" t="s">
        <v>52</v>
      </c>
      <c r="D898" s="138" t="s">
        <v>783</v>
      </c>
      <c r="E898" s="139"/>
    </row>
    <row r="899" spans="1:5" ht="15.75" x14ac:dyDescent="0.25">
      <c r="A899" s="136">
        <v>13</v>
      </c>
      <c r="B899" s="137" t="s">
        <v>159</v>
      </c>
      <c r="C899" s="137" t="s">
        <v>160</v>
      </c>
      <c r="D899" s="138" t="s">
        <v>785</v>
      </c>
      <c r="E899" s="139"/>
    </row>
    <row r="900" spans="1:5" x14ac:dyDescent="0.25">
      <c r="A900" s="136"/>
      <c r="B900" s="136"/>
      <c r="C900" s="136"/>
      <c r="D900" s="136"/>
      <c r="E900" s="136"/>
    </row>
    <row r="904" spans="1:5" ht="15.75" x14ac:dyDescent="0.25">
      <c r="E904" s="129" t="s">
        <v>2</v>
      </c>
    </row>
    <row r="905" spans="1:5" ht="15.75" x14ac:dyDescent="0.25">
      <c r="E905" s="129" t="s">
        <v>3</v>
      </c>
    </row>
    <row r="906" spans="1:5" ht="15.75" x14ac:dyDescent="0.25">
      <c r="E906" s="131" t="s">
        <v>7</v>
      </c>
    </row>
    <row r="907" spans="1:5" x14ac:dyDescent="0.25">
      <c r="E907" s="133" t="s">
        <v>646</v>
      </c>
    </row>
    <row r="908" spans="1:5" x14ac:dyDescent="0.25">
      <c r="A908" s="191" t="str">
        <f>VLOOKUP(A911,[1]BD!C:D,2,0)</f>
        <v>Touca de Lerdo</v>
      </c>
      <c r="B908" s="191"/>
      <c r="C908" s="191"/>
      <c r="D908" s="191"/>
      <c r="E908" s="191"/>
    </row>
    <row r="909" spans="1:5" x14ac:dyDescent="0.25">
      <c r="A909" s="191"/>
      <c r="B909" s="191"/>
      <c r="C909" s="191"/>
      <c r="D909" s="191"/>
      <c r="E909" s="191"/>
    </row>
    <row r="910" spans="1:5" x14ac:dyDescent="0.25">
      <c r="A910" s="189" t="s">
        <v>21</v>
      </c>
      <c r="B910" s="189"/>
      <c r="C910" s="189"/>
      <c r="D910" s="189"/>
      <c r="E910" s="142" t="s">
        <v>23</v>
      </c>
    </row>
    <row r="911" spans="1:5" ht="36" x14ac:dyDescent="0.25">
      <c r="A911" s="190">
        <v>6034</v>
      </c>
      <c r="B911" s="190"/>
      <c r="C911" s="190"/>
      <c r="D911" s="190"/>
      <c r="E911" s="135"/>
    </row>
    <row r="912" spans="1:5" x14ac:dyDescent="0.25">
      <c r="A912" s="136" t="s">
        <v>647</v>
      </c>
      <c r="B912" s="136" t="s">
        <v>24</v>
      </c>
      <c r="C912" s="136" t="s">
        <v>25</v>
      </c>
      <c r="D912" s="136" t="s">
        <v>648</v>
      </c>
      <c r="E912" s="136" t="s">
        <v>30</v>
      </c>
    </row>
    <row r="913" spans="1:5" ht="15.75" x14ac:dyDescent="0.25">
      <c r="A913" s="136">
        <v>1</v>
      </c>
      <c r="B913" s="137" t="s">
        <v>37</v>
      </c>
      <c r="C913" s="137" t="s">
        <v>39</v>
      </c>
      <c r="D913" s="138" t="s">
        <v>787</v>
      </c>
      <c r="E913" s="135" t="s">
        <v>41</v>
      </c>
    </row>
    <row r="914" spans="1:5" ht="15.75" x14ac:dyDescent="0.25">
      <c r="A914" s="136">
        <v>2</v>
      </c>
      <c r="B914" s="137" t="s">
        <v>51</v>
      </c>
      <c r="C914" s="137" t="s">
        <v>52</v>
      </c>
      <c r="D914" s="138" t="s">
        <v>789</v>
      </c>
      <c r="E914" s="135"/>
    </row>
    <row r="915" spans="1:5" ht="15.75" x14ac:dyDescent="0.25">
      <c r="A915" s="136">
        <v>3</v>
      </c>
      <c r="B915" s="137" t="s">
        <v>61</v>
      </c>
      <c r="C915" s="137" t="s">
        <v>62</v>
      </c>
      <c r="D915" s="138" t="s">
        <v>790</v>
      </c>
      <c r="E915" s="135" t="s">
        <v>64</v>
      </c>
    </row>
    <row r="916" spans="1:5" ht="15.75" x14ac:dyDescent="0.25">
      <c r="A916" s="136">
        <v>4</v>
      </c>
      <c r="B916" s="137" t="s">
        <v>72</v>
      </c>
      <c r="C916" s="137" t="s">
        <v>73</v>
      </c>
      <c r="D916" s="138" t="s">
        <v>792</v>
      </c>
      <c r="E916" s="135"/>
    </row>
    <row r="917" spans="1:5" ht="15.75" x14ac:dyDescent="0.25">
      <c r="A917" s="136">
        <v>5</v>
      </c>
      <c r="B917" s="137" t="s">
        <v>88</v>
      </c>
      <c r="C917" s="137" t="s">
        <v>90</v>
      </c>
      <c r="D917" s="138" t="s">
        <v>794</v>
      </c>
      <c r="E917" s="135"/>
    </row>
    <row r="918" spans="1:5" ht="15.75" x14ac:dyDescent="0.25">
      <c r="A918" s="136">
        <v>6</v>
      </c>
      <c r="B918" s="137" t="s">
        <v>96</v>
      </c>
      <c r="C918" s="137" t="s">
        <v>62</v>
      </c>
      <c r="D918" s="138" t="s">
        <v>795</v>
      </c>
      <c r="E918" s="135"/>
    </row>
    <row r="919" spans="1:5" ht="15.75" x14ac:dyDescent="0.25">
      <c r="A919" s="136">
        <v>7</v>
      </c>
      <c r="B919" s="137" t="s">
        <v>98</v>
      </c>
      <c r="C919" s="137" t="s">
        <v>625</v>
      </c>
      <c r="D919" s="138" t="s">
        <v>52</v>
      </c>
      <c r="E919" s="135" t="s">
        <v>101</v>
      </c>
    </row>
    <row r="920" spans="1:5" ht="15.75" x14ac:dyDescent="0.25">
      <c r="A920" s="136">
        <v>8</v>
      </c>
      <c r="B920" s="137" t="s">
        <v>98</v>
      </c>
      <c r="C920" s="137" t="s">
        <v>625</v>
      </c>
      <c r="D920" s="138" t="s">
        <v>52</v>
      </c>
      <c r="E920" s="135" t="s">
        <v>101</v>
      </c>
    </row>
    <row r="921" spans="1:5" ht="15.75" x14ac:dyDescent="0.25">
      <c r="A921" s="136">
        <v>9</v>
      </c>
      <c r="B921" s="137" t="s">
        <v>98</v>
      </c>
      <c r="C921" s="137" t="s">
        <v>796</v>
      </c>
      <c r="D921" s="138" t="s">
        <v>52</v>
      </c>
      <c r="E921" s="135" t="s">
        <v>101</v>
      </c>
    </row>
    <row r="922" spans="1:5" ht="15.75" x14ac:dyDescent="0.25">
      <c r="A922" s="136">
        <v>10</v>
      </c>
      <c r="B922" s="137" t="s">
        <v>114</v>
      </c>
      <c r="C922" s="137" t="s">
        <v>39</v>
      </c>
      <c r="D922" s="138" t="s">
        <v>52</v>
      </c>
      <c r="E922" s="135" t="s">
        <v>115</v>
      </c>
    </row>
    <row r="923" spans="1:5" ht="30" x14ac:dyDescent="0.25">
      <c r="A923" s="136">
        <v>11</v>
      </c>
      <c r="B923" s="137" t="s">
        <v>134</v>
      </c>
      <c r="C923" s="137" t="s">
        <v>135</v>
      </c>
      <c r="D923" s="138" t="s">
        <v>798</v>
      </c>
      <c r="E923" s="139" t="s">
        <v>138</v>
      </c>
    </row>
    <row r="924" spans="1:5" ht="15.75" x14ac:dyDescent="0.25">
      <c r="A924" s="136">
        <v>12</v>
      </c>
      <c r="B924" s="137" t="s">
        <v>145</v>
      </c>
      <c r="C924" s="137" t="s">
        <v>52</v>
      </c>
      <c r="D924" s="138" t="s">
        <v>800</v>
      </c>
      <c r="E924" s="139"/>
    </row>
    <row r="925" spans="1:5" ht="15.75" x14ac:dyDescent="0.25">
      <c r="A925" s="136">
        <v>13</v>
      </c>
      <c r="B925" s="137" t="s">
        <v>159</v>
      </c>
      <c r="C925" s="137" t="s">
        <v>160</v>
      </c>
      <c r="D925" s="138" t="s">
        <v>802</v>
      </c>
      <c r="E925" s="139"/>
    </row>
    <row r="926" spans="1:5" x14ac:dyDescent="0.25">
      <c r="A926" s="136"/>
      <c r="B926" s="136"/>
      <c r="C926" s="136"/>
      <c r="D926" s="136"/>
      <c r="E926" s="136"/>
    </row>
    <row r="930" spans="1:5" ht="15.75" x14ac:dyDescent="0.25">
      <c r="E930" s="129" t="s">
        <v>2</v>
      </c>
    </row>
    <row r="931" spans="1:5" ht="15.75" x14ac:dyDescent="0.25">
      <c r="E931" s="129" t="s">
        <v>3</v>
      </c>
    </row>
    <row r="932" spans="1:5" ht="15.75" x14ac:dyDescent="0.25">
      <c r="E932" s="131" t="s">
        <v>7</v>
      </c>
    </row>
    <row r="933" spans="1:5" x14ac:dyDescent="0.25">
      <c r="E933" s="133" t="s">
        <v>646</v>
      </c>
    </row>
    <row r="934" spans="1:5" x14ac:dyDescent="0.25">
      <c r="A934" s="191" t="str">
        <f>VLOOKUP(A937,[1]BD!C:D,2,0)</f>
        <v>Metepec</v>
      </c>
      <c r="B934" s="191"/>
      <c r="C934" s="191"/>
      <c r="D934" s="191"/>
      <c r="E934" s="191"/>
    </row>
    <row r="935" spans="1:5" x14ac:dyDescent="0.25">
      <c r="A935" s="191"/>
      <c r="B935" s="191"/>
      <c r="C935" s="191"/>
      <c r="D935" s="191"/>
      <c r="E935" s="191"/>
    </row>
    <row r="936" spans="1:5" x14ac:dyDescent="0.25">
      <c r="A936" s="189" t="s">
        <v>21</v>
      </c>
      <c r="B936" s="189"/>
      <c r="C936" s="189"/>
      <c r="D936" s="189"/>
      <c r="E936" s="142" t="s">
        <v>23</v>
      </c>
    </row>
    <row r="937" spans="1:5" ht="36" x14ac:dyDescent="0.25">
      <c r="A937" s="190">
        <v>6035</v>
      </c>
      <c r="B937" s="190"/>
      <c r="C937" s="190"/>
      <c r="D937" s="190"/>
      <c r="E937" s="135"/>
    </row>
    <row r="938" spans="1:5" x14ac:dyDescent="0.25">
      <c r="A938" s="136" t="s">
        <v>647</v>
      </c>
      <c r="B938" s="136" t="s">
        <v>24</v>
      </c>
      <c r="C938" s="136" t="s">
        <v>25</v>
      </c>
      <c r="D938" s="136" t="s">
        <v>648</v>
      </c>
      <c r="E938" s="136" t="s">
        <v>30</v>
      </c>
    </row>
    <row r="939" spans="1:5" ht="15.75" x14ac:dyDescent="0.25">
      <c r="A939" s="136">
        <v>1</v>
      </c>
      <c r="B939" s="137" t="s">
        <v>37</v>
      </c>
      <c r="C939" s="137" t="s">
        <v>39</v>
      </c>
      <c r="D939" s="138" t="s">
        <v>804</v>
      </c>
      <c r="E939" s="135" t="s">
        <v>41</v>
      </c>
    </row>
    <row r="940" spans="1:5" ht="15.75" x14ac:dyDescent="0.25">
      <c r="A940" s="136">
        <v>2</v>
      </c>
      <c r="B940" s="137" t="s">
        <v>51</v>
      </c>
      <c r="C940" s="137" t="s">
        <v>52</v>
      </c>
      <c r="D940" s="138" t="s">
        <v>806</v>
      </c>
      <c r="E940" s="135"/>
    </row>
    <row r="941" spans="1:5" ht="15.75" x14ac:dyDescent="0.25">
      <c r="A941" s="136">
        <v>3</v>
      </c>
      <c r="B941" s="137" t="s">
        <v>61</v>
      </c>
      <c r="C941" s="137" t="s">
        <v>62</v>
      </c>
      <c r="D941" s="138" t="s">
        <v>807</v>
      </c>
      <c r="E941" s="135" t="s">
        <v>64</v>
      </c>
    </row>
    <row r="942" spans="1:5" ht="15.75" x14ac:dyDescent="0.25">
      <c r="A942" s="136">
        <v>4</v>
      </c>
      <c r="B942" s="137" t="s">
        <v>72</v>
      </c>
      <c r="C942" s="137" t="s">
        <v>73</v>
      </c>
      <c r="D942" s="138" t="s">
        <v>809</v>
      </c>
      <c r="E942" s="135"/>
    </row>
    <row r="943" spans="1:5" ht="15.75" x14ac:dyDescent="0.25">
      <c r="A943" s="136">
        <v>5</v>
      </c>
      <c r="B943" s="137" t="s">
        <v>88</v>
      </c>
      <c r="C943" s="137" t="s">
        <v>90</v>
      </c>
      <c r="D943" s="138" t="s">
        <v>52</v>
      </c>
      <c r="E943" s="135"/>
    </row>
    <row r="944" spans="1:5" ht="15.75" x14ac:dyDescent="0.25">
      <c r="A944" s="136">
        <v>6</v>
      </c>
      <c r="B944" s="137" t="s">
        <v>96</v>
      </c>
      <c r="C944" s="137" t="s">
        <v>62</v>
      </c>
      <c r="D944" s="138" t="s">
        <v>810</v>
      </c>
      <c r="E944" s="135"/>
    </row>
    <row r="945" spans="1:5" ht="15.75" x14ac:dyDescent="0.25">
      <c r="A945" s="136">
        <v>7</v>
      </c>
      <c r="B945" s="137" t="s">
        <v>98</v>
      </c>
      <c r="C945" s="137" t="s">
        <v>99</v>
      </c>
      <c r="D945" s="138" t="s">
        <v>812</v>
      </c>
      <c r="E945" s="135" t="s">
        <v>101</v>
      </c>
    </row>
    <row r="946" spans="1:5" ht="15.75" x14ac:dyDescent="0.25">
      <c r="A946" s="136">
        <v>8</v>
      </c>
      <c r="B946" s="137" t="s">
        <v>98</v>
      </c>
      <c r="C946" s="137" t="s">
        <v>99</v>
      </c>
      <c r="D946" s="138" t="s">
        <v>814</v>
      </c>
      <c r="E946" s="135" t="s">
        <v>101</v>
      </c>
    </row>
    <row r="947" spans="1:5" ht="15.75" x14ac:dyDescent="0.25">
      <c r="A947" s="136">
        <v>9</v>
      </c>
      <c r="B947" s="137" t="s">
        <v>98</v>
      </c>
      <c r="C947" s="137" t="s">
        <v>99</v>
      </c>
      <c r="D947" s="138" t="s">
        <v>816</v>
      </c>
      <c r="E947" s="135" t="s">
        <v>101</v>
      </c>
    </row>
    <row r="948" spans="1:5" ht="15.75" x14ac:dyDescent="0.25">
      <c r="A948" s="136">
        <v>10</v>
      </c>
      <c r="B948" s="137" t="s">
        <v>114</v>
      </c>
      <c r="C948" s="137" t="s">
        <v>39</v>
      </c>
      <c r="D948" s="138" t="s">
        <v>52</v>
      </c>
      <c r="E948" s="135" t="s">
        <v>115</v>
      </c>
    </row>
    <row r="949" spans="1:5" ht="30" x14ac:dyDescent="0.25">
      <c r="A949" s="136">
        <v>11</v>
      </c>
      <c r="B949" s="137" t="s">
        <v>134</v>
      </c>
      <c r="C949" s="137" t="s">
        <v>135</v>
      </c>
      <c r="D949" s="138" t="s">
        <v>818</v>
      </c>
      <c r="E949" s="139" t="s">
        <v>138</v>
      </c>
    </row>
    <row r="950" spans="1:5" ht="15.75" x14ac:dyDescent="0.25">
      <c r="A950" s="136">
        <v>12</v>
      </c>
      <c r="B950" s="137" t="s">
        <v>145</v>
      </c>
      <c r="C950" s="137" t="s">
        <v>52</v>
      </c>
      <c r="D950" s="138" t="s">
        <v>820</v>
      </c>
      <c r="E950" s="139"/>
    </row>
    <row r="951" spans="1:5" ht="15.75" x14ac:dyDescent="0.25">
      <c r="A951" s="136">
        <v>13</v>
      </c>
      <c r="B951" s="137" t="s">
        <v>159</v>
      </c>
      <c r="C951" s="137" t="s">
        <v>160</v>
      </c>
      <c r="D951" s="138" t="s">
        <v>822</v>
      </c>
      <c r="E951" s="139"/>
    </row>
    <row r="952" spans="1:5" x14ac:dyDescent="0.25">
      <c r="A952" s="136"/>
      <c r="B952" s="136"/>
      <c r="C952" s="136"/>
      <c r="D952" s="136"/>
      <c r="E952" s="136"/>
    </row>
    <row r="957" spans="1:5" ht="15.75" x14ac:dyDescent="0.25">
      <c r="E957" s="129" t="s">
        <v>2</v>
      </c>
    </row>
    <row r="958" spans="1:5" ht="15.75" x14ac:dyDescent="0.25">
      <c r="E958" s="129" t="s">
        <v>3</v>
      </c>
    </row>
    <row r="959" spans="1:5" ht="15.75" x14ac:dyDescent="0.25">
      <c r="E959" s="131" t="s">
        <v>7</v>
      </c>
    </row>
    <row r="960" spans="1:5" x14ac:dyDescent="0.25">
      <c r="E960" s="133" t="s">
        <v>646</v>
      </c>
    </row>
    <row r="961" spans="1:5" x14ac:dyDescent="0.25">
      <c r="A961" s="191" t="str">
        <f>VLOOKUP(A964,[1]BD!C:D,2,0)</f>
        <v>San Miguel Zinacantepec</v>
      </c>
      <c r="B961" s="191"/>
      <c r="C961" s="191"/>
      <c r="D961" s="191"/>
      <c r="E961" s="191"/>
    </row>
    <row r="962" spans="1:5" x14ac:dyDescent="0.25">
      <c r="A962" s="191"/>
      <c r="B962" s="191"/>
      <c r="C962" s="191"/>
      <c r="D962" s="191"/>
      <c r="E962" s="191"/>
    </row>
    <row r="963" spans="1:5" x14ac:dyDescent="0.25">
      <c r="A963" s="189" t="s">
        <v>21</v>
      </c>
      <c r="B963" s="189"/>
      <c r="C963" s="189"/>
      <c r="D963" s="189"/>
      <c r="E963" s="142" t="s">
        <v>23</v>
      </c>
    </row>
    <row r="964" spans="1:5" ht="36" x14ac:dyDescent="0.25">
      <c r="A964" s="190">
        <v>6036</v>
      </c>
      <c r="B964" s="190"/>
      <c r="C964" s="190"/>
      <c r="D964" s="190"/>
      <c r="E964" s="135"/>
    </row>
    <row r="965" spans="1:5" x14ac:dyDescent="0.25">
      <c r="A965" s="136" t="s">
        <v>647</v>
      </c>
      <c r="B965" s="136" t="s">
        <v>24</v>
      </c>
      <c r="C965" s="136" t="s">
        <v>25</v>
      </c>
      <c r="D965" s="136" t="s">
        <v>648</v>
      </c>
      <c r="E965" s="136" t="s">
        <v>30</v>
      </c>
    </row>
    <row r="966" spans="1:5" ht="15.75" x14ac:dyDescent="0.25">
      <c r="A966" s="136">
        <v>1</v>
      </c>
      <c r="B966" s="137" t="s">
        <v>37</v>
      </c>
      <c r="C966" s="137" t="s">
        <v>39</v>
      </c>
      <c r="D966" s="138" t="s">
        <v>824</v>
      </c>
      <c r="E966" s="135" t="s">
        <v>41</v>
      </c>
    </row>
    <row r="967" spans="1:5" ht="15.75" x14ac:dyDescent="0.25">
      <c r="A967" s="136">
        <v>2</v>
      </c>
      <c r="B967" s="137" t="s">
        <v>51</v>
      </c>
      <c r="C967" s="137" t="s">
        <v>52</v>
      </c>
      <c r="D967" s="138" t="s">
        <v>826</v>
      </c>
      <c r="E967" s="135"/>
    </row>
    <row r="968" spans="1:5" ht="15.75" x14ac:dyDescent="0.25">
      <c r="A968" s="136">
        <v>3</v>
      </c>
      <c r="B968" s="137" t="s">
        <v>61</v>
      </c>
      <c r="C968" s="137" t="s">
        <v>62</v>
      </c>
      <c r="D968" s="138" t="s">
        <v>827</v>
      </c>
      <c r="E968" s="135" t="s">
        <v>64</v>
      </c>
    </row>
    <row r="969" spans="1:5" ht="15.75" x14ac:dyDescent="0.25">
      <c r="A969" s="136">
        <v>4</v>
      </c>
      <c r="B969" s="137" t="s">
        <v>72</v>
      </c>
      <c r="C969" s="137" t="s">
        <v>73</v>
      </c>
      <c r="D969" s="138" t="s">
        <v>829</v>
      </c>
      <c r="E969" s="135"/>
    </row>
    <row r="970" spans="1:5" ht="15.75" x14ac:dyDescent="0.25">
      <c r="A970" s="136">
        <v>5</v>
      </c>
      <c r="B970" s="137" t="s">
        <v>88</v>
      </c>
      <c r="C970" s="137" t="s">
        <v>90</v>
      </c>
      <c r="D970" s="138" t="s">
        <v>830</v>
      </c>
      <c r="E970" s="135"/>
    </row>
    <row r="971" spans="1:5" ht="15.75" x14ac:dyDescent="0.25">
      <c r="A971" s="136">
        <v>6</v>
      </c>
      <c r="B971" s="137" t="s">
        <v>96</v>
      </c>
      <c r="C971" s="137" t="s">
        <v>62</v>
      </c>
      <c r="D971" s="138" t="s">
        <v>831</v>
      </c>
      <c r="E971" s="135"/>
    </row>
    <row r="972" spans="1:5" ht="15.75" x14ac:dyDescent="0.25">
      <c r="A972" s="136">
        <v>7</v>
      </c>
      <c r="B972" s="137" t="s">
        <v>98</v>
      </c>
      <c r="C972" s="137" t="s">
        <v>99</v>
      </c>
      <c r="D972" s="138" t="s">
        <v>832</v>
      </c>
      <c r="E972" s="135" t="s">
        <v>101</v>
      </c>
    </row>
    <row r="973" spans="1:5" ht="15.75" x14ac:dyDescent="0.25">
      <c r="A973" s="136">
        <v>8</v>
      </c>
      <c r="B973" s="137" t="s">
        <v>98</v>
      </c>
      <c r="C973" s="137" t="s">
        <v>99</v>
      </c>
      <c r="D973" s="138" t="s">
        <v>834</v>
      </c>
      <c r="E973" s="135" t="s">
        <v>101</v>
      </c>
    </row>
    <row r="974" spans="1:5" ht="15.75" x14ac:dyDescent="0.25">
      <c r="A974" s="136">
        <v>9</v>
      </c>
      <c r="B974" s="137" t="s">
        <v>98</v>
      </c>
      <c r="C974" s="137" t="s">
        <v>99</v>
      </c>
      <c r="D974" s="138" t="s">
        <v>836</v>
      </c>
      <c r="E974" s="135" t="s">
        <v>101</v>
      </c>
    </row>
    <row r="975" spans="1:5" ht="15.75" x14ac:dyDescent="0.25">
      <c r="A975" s="136">
        <v>10</v>
      </c>
      <c r="B975" s="137" t="s">
        <v>114</v>
      </c>
      <c r="C975" s="137" t="s">
        <v>39</v>
      </c>
      <c r="D975" s="138" t="s">
        <v>52</v>
      </c>
      <c r="E975" s="135" t="s">
        <v>115</v>
      </c>
    </row>
    <row r="976" spans="1:5" ht="30" x14ac:dyDescent="0.25">
      <c r="A976" s="136">
        <v>11</v>
      </c>
      <c r="B976" s="137" t="s">
        <v>134</v>
      </c>
      <c r="C976" s="137" t="s">
        <v>135</v>
      </c>
      <c r="D976" s="138" t="s">
        <v>838</v>
      </c>
      <c r="E976" s="139" t="s">
        <v>138</v>
      </c>
    </row>
    <row r="977" spans="1:5" ht="15.75" x14ac:dyDescent="0.25">
      <c r="A977" s="136">
        <v>12</v>
      </c>
      <c r="B977" s="137" t="s">
        <v>145</v>
      </c>
      <c r="C977" s="137" t="s">
        <v>52</v>
      </c>
      <c r="D977" s="138" t="s">
        <v>840</v>
      </c>
      <c r="E977" s="139"/>
    </row>
    <row r="978" spans="1:5" ht="15.75" x14ac:dyDescent="0.25">
      <c r="A978" s="136">
        <v>13</v>
      </c>
      <c r="B978" s="137" t="s">
        <v>159</v>
      </c>
      <c r="C978" s="137" t="s">
        <v>160</v>
      </c>
      <c r="D978" s="138" t="s">
        <v>841</v>
      </c>
      <c r="E978" s="139"/>
    </row>
    <row r="979" spans="1:5" x14ac:dyDescent="0.25">
      <c r="A979" s="136"/>
      <c r="B979" s="136"/>
      <c r="C979" s="136"/>
      <c r="D979" s="136"/>
      <c r="E979" s="136"/>
    </row>
    <row r="984" spans="1:5" ht="15.75" x14ac:dyDescent="0.25">
      <c r="E984" s="129" t="s">
        <v>2</v>
      </c>
    </row>
    <row r="985" spans="1:5" ht="15.75" x14ac:dyDescent="0.25">
      <c r="E985" s="129" t="s">
        <v>3</v>
      </c>
    </row>
    <row r="986" spans="1:5" ht="15.75" x14ac:dyDescent="0.25">
      <c r="E986" s="131" t="s">
        <v>7</v>
      </c>
    </row>
    <row r="987" spans="1:5" x14ac:dyDescent="0.25">
      <c r="E987" s="133" t="s">
        <v>646</v>
      </c>
    </row>
    <row r="988" spans="1:5" x14ac:dyDescent="0.25">
      <c r="A988" s="191" t="str">
        <f>VLOOKUP(A991,[1]BD!C:D,2,0)</f>
        <v>Tlanepantla de Baz</v>
      </c>
      <c r="B988" s="191"/>
      <c r="C988" s="191"/>
      <c r="D988" s="191"/>
      <c r="E988" s="191"/>
    </row>
    <row r="989" spans="1:5" x14ac:dyDescent="0.25">
      <c r="A989" s="191"/>
      <c r="B989" s="191"/>
      <c r="C989" s="191"/>
      <c r="D989" s="191"/>
      <c r="E989" s="191"/>
    </row>
    <row r="990" spans="1:5" x14ac:dyDescent="0.25">
      <c r="A990" s="189" t="s">
        <v>21</v>
      </c>
      <c r="B990" s="189"/>
      <c r="C990" s="189"/>
      <c r="D990" s="189"/>
      <c r="E990" s="142" t="s">
        <v>23</v>
      </c>
    </row>
    <row r="991" spans="1:5" ht="36" x14ac:dyDescent="0.25">
      <c r="A991" s="190">
        <v>6037</v>
      </c>
      <c r="B991" s="190"/>
      <c r="C991" s="190"/>
      <c r="D991" s="190"/>
      <c r="E991" s="135"/>
    </row>
    <row r="992" spans="1:5" x14ac:dyDescent="0.25">
      <c r="A992" s="136" t="s">
        <v>647</v>
      </c>
      <c r="B992" s="136" t="s">
        <v>24</v>
      </c>
      <c r="C992" s="136" t="s">
        <v>25</v>
      </c>
      <c r="D992" s="136" t="s">
        <v>648</v>
      </c>
      <c r="E992" s="136" t="s">
        <v>30</v>
      </c>
    </row>
    <row r="993" spans="1:5" ht="15.75" x14ac:dyDescent="0.25">
      <c r="A993" s="136">
        <v>1</v>
      </c>
      <c r="B993" s="137" t="s">
        <v>37</v>
      </c>
      <c r="C993" s="137" t="s">
        <v>39</v>
      </c>
      <c r="D993" s="138" t="s">
        <v>843</v>
      </c>
      <c r="E993" s="135" t="s">
        <v>41</v>
      </c>
    </row>
    <row r="994" spans="1:5" ht="15.75" x14ac:dyDescent="0.25">
      <c r="A994" s="136">
        <v>2</v>
      </c>
      <c r="B994" s="137" t="s">
        <v>51</v>
      </c>
      <c r="C994" s="137" t="s">
        <v>52</v>
      </c>
      <c r="D994" s="138" t="s">
        <v>845</v>
      </c>
      <c r="E994" s="135"/>
    </row>
    <row r="995" spans="1:5" ht="15.75" x14ac:dyDescent="0.25">
      <c r="A995" s="136">
        <v>3</v>
      </c>
      <c r="B995" s="137" t="s">
        <v>61</v>
      </c>
      <c r="C995" s="137" t="s">
        <v>62</v>
      </c>
      <c r="D995" s="138" t="s">
        <v>846</v>
      </c>
      <c r="E995" s="135" t="s">
        <v>64</v>
      </c>
    </row>
    <row r="996" spans="1:5" ht="15.75" x14ac:dyDescent="0.25">
      <c r="A996" s="136">
        <v>4</v>
      </c>
      <c r="B996" s="137" t="s">
        <v>72</v>
      </c>
      <c r="C996" s="137" t="s">
        <v>73</v>
      </c>
      <c r="D996" s="138" t="s">
        <v>848</v>
      </c>
      <c r="E996" s="135"/>
    </row>
    <row r="997" spans="1:5" ht="15.75" x14ac:dyDescent="0.25">
      <c r="A997" s="136">
        <v>5</v>
      </c>
      <c r="B997" s="137" t="s">
        <v>88</v>
      </c>
      <c r="C997" s="137" t="s">
        <v>90</v>
      </c>
      <c r="D997" s="138" t="s">
        <v>52</v>
      </c>
      <c r="E997" s="135"/>
    </row>
    <row r="998" spans="1:5" ht="15.75" x14ac:dyDescent="0.25">
      <c r="A998" s="136">
        <v>6</v>
      </c>
      <c r="B998" s="137" t="s">
        <v>96</v>
      </c>
      <c r="C998" s="137" t="s">
        <v>62</v>
      </c>
      <c r="D998" s="138" t="s">
        <v>849</v>
      </c>
      <c r="E998" s="135"/>
    </row>
    <row r="999" spans="1:5" ht="15.75" x14ac:dyDescent="0.25">
      <c r="A999" s="136">
        <v>7</v>
      </c>
      <c r="B999" s="137" t="s">
        <v>98</v>
      </c>
      <c r="C999" s="137" t="s">
        <v>99</v>
      </c>
      <c r="D999" s="138" t="s">
        <v>851</v>
      </c>
      <c r="E999" s="135" t="s">
        <v>101</v>
      </c>
    </row>
    <row r="1000" spans="1:5" ht="15.75" x14ac:dyDescent="0.25">
      <c r="A1000" s="136">
        <v>8</v>
      </c>
      <c r="B1000" s="137" t="s">
        <v>98</v>
      </c>
      <c r="C1000" s="137" t="s">
        <v>99</v>
      </c>
      <c r="D1000" s="138" t="s">
        <v>853</v>
      </c>
      <c r="E1000" s="135" t="s">
        <v>101</v>
      </c>
    </row>
    <row r="1001" spans="1:5" ht="15.75" x14ac:dyDescent="0.25">
      <c r="A1001" s="136">
        <v>9</v>
      </c>
      <c r="B1001" s="137" t="s">
        <v>98</v>
      </c>
      <c r="C1001" s="137" t="s">
        <v>99</v>
      </c>
      <c r="D1001" s="138" t="s">
        <v>855</v>
      </c>
      <c r="E1001" s="135" t="s">
        <v>101</v>
      </c>
    </row>
    <row r="1002" spans="1:5" ht="15.75" x14ac:dyDescent="0.25">
      <c r="A1002" s="136">
        <v>10</v>
      </c>
      <c r="B1002" s="137" t="s">
        <v>114</v>
      </c>
      <c r="C1002" s="137" t="s">
        <v>39</v>
      </c>
      <c r="D1002" s="138" t="s">
        <v>52</v>
      </c>
      <c r="E1002" s="135" t="s">
        <v>115</v>
      </c>
    </row>
    <row r="1003" spans="1:5" ht="30" x14ac:dyDescent="0.25">
      <c r="A1003" s="136">
        <v>11</v>
      </c>
      <c r="B1003" s="137" t="s">
        <v>134</v>
      </c>
      <c r="C1003" s="137" t="s">
        <v>135</v>
      </c>
      <c r="D1003" s="138" t="s">
        <v>857</v>
      </c>
      <c r="E1003" s="139" t="s">
        <v>138</v>
      </c>
    </row>
    <row r="1004" spans="1:5" ht="15.75" x14ac:dyDescent="0.25">
      <c r="A1004" s="136">
        <v>12</v>
      </c>
      <c r="B1004" s="137" t="s">
        <v>145</v>
      </c>
      <c r="C1004" s="137" t="s">
        <v>52</v>
      </c>
      <c r="D1004" s="138" t="s">
        <v>859</v>
      </c>
      <c r="E1004" s="139"/>
    </row>
    <row r="1005" spans="1:5" ht="15.75" x14ac:dyDescent="0.25">
      <c r="A1005" s="136">
        <v>13</v>
      </c>
      <c r="B1005" s="137" t="s">
        <v>159</v>
      </c>
      <c r="C1005" s="137" t="s">
        <v>160</v>
      </c>
      <c r="D1005" s="138" t="s">
        <v>861</v>
      </c>
      <c r="E1005" s="139"/>
    </row>
    <row r="1006" spans="1:5" x14ac:dyDescent="0.25">
      <c r="A1006" s="136"/>
      <c r="B1006" s="136"/>
      <c r="C1006" s="136"/>
      <c r="D1006" s="136"/>
      <c r="E1006" s="136"/>
    </row>
    <row r="1011" spans="1:5" ht="15.75" x14ac:dyDescent="0.25">
      <c r="E1011" s="129" t="s">
        <v>2</v>
      </c>
    </row>
    <row r="1012" spans="1:5" ht="15.75" x14ac:dyDescent="0.25">
      <c r="E1012" s="129" t="s">
        <v>3</v>
      </c>
    </row>
    <row r="1013" spans="1:5" ht="15.75" x14ac:dyDescent="0.25">
      <c r="E1013" s="131" t="s">
        <v>7</v>
      </c>
    </row>
    <row r="1014" spans="1:5" x14ac:dyDescent="0.25">
      <c r="E1014" s="133" t="s">
        <v>646</v>
      </c>
    </row>
    <row r="1015" spans="1:5" x14ac:dyDescent="0.25">
      <c r="A1015" s="191" t="str">
        <f>VLOOKUP(A1018,[1]BD!C:D,2,0)</f>
        <v>Coacalco de Berriozabal</v>
      </c>
      <c r="B1015" s="191"/>
      <c r="C1015" s="191"/>
      <c r="D1015" s="191"/>
      <c r="E1015" s="191"/>
    </row>
    <row r="1016" spans="1:5" x14ac:dyDescent="0.25">
      <c r="A1016" s="191"/>
      <c r="B1016" s="191"/>
      <c r="C1016" s="191"/>
      <c r="D1016" s="191"/>
      <c r="E1016" s="191"/>
    </row>
    <row r="1017" spans="1:5" x14ac:dyDescent="0.25">
      <c r="A1017" s="189" t="s">
        <v>21</v>
      </c>
      <c r="B1017" s="189"/>
      <c r="C1017" s="189"/>
      <c r="D1017" s="189"/>
      <c r="E1017" s="142" t="s">
        <v>23</v>
      </c>
    </row>
    <row r="1018" spans="1:5" ht="36" x14ac:dyDescent="0.25">
      <c r="A1018" s="190">
        <v>6038</v>
      </c>
      <c r="B1018" s="190"/>
      <c r="C1018" s="190"/>
      <c r="D1018" s="190"/>
      <c r="E1018" s="135"/>
    </row>
    <row r="1019" spans="1:5" x14ac:dyDescent="0.25">
      <c r="A1019" s="136" t="s">
        <v>647</v>
      </c>
      <c r="B1019" s="136" t="s">
        <v>24</v>
      </c>
      <c r="C1019" s="136" t="s">
        <v>25</v>
      </c>
      <c r="D1019" s="136" t="s">
        <v>648</v>
      </c>
      <c r="E1019" s="136" t="s">
        <v>30</v>
      </c>
    </row>
    <row r="1020" spans="1:5" ht="15.75" x14ac:dyDescent="0.25">
      <c r="A1020" s="136">
        <v>1</v>
      </c>
      <c r="B1020" s="137" t="s">
        <v>37</v>
      </c>
      <c r="C1020" s="137" t="s">
        <v>39</v>
      </c>
      <c r="D1020" s="138" t="s">
        <v>863</v>
      </c>
      <c r="E1020" s="135" t="s">
        <v>41</v>
      </c>
    </row>
    <row r="1021" spans="1:5" ht="15.75" x14ac:dyDescent="0.25">
      <c r="A1021" s="136">
        <v>2</v>
      </c>
      <c r="B1021" s="137" t="s">
        <v>51</v>
      </c>
      <c r="C1021" s="137" t="s">
        <v>52</v>
      </c>
      <c r="D1021" s="138" t="s">
        <v>865</v>
      </c>
      <c r="E1021" s="135"/>
    </row>
    <row r="1022" spans="1:5" ht="15.75" x14ac:dyDescent="0.25">
      <c r="A1022" s="136">
        <v>3</v>
      </c>
      <c r="B1022" s="137" t="s">
        <v>61</v>
      </c>
      <c r="C1022" s="137" t="s">
        <v>62</v>
      </c>
      <c r="D1022" s="138" t="s">
        <v>866</v>
      </c>
      <c r="E1022" s="135" t="s">
        <v>64</v>
      </c>
    </row>
    <row r="1023" spans="1:5" ht="15.75" x14ac:dyDescent="0.25">
      <c r="A1023" s="136">
        <v>4</v>
      </c>
      <c r="B1023" s="137" t="s">
        <v>72</v>
      </c>
      <c r="C1023" s="137" t="s">
        <v>73</v>
      </c>
      <c r="D1023" s="138" t="s">
        <v>868</v>
      </c>
      <c r="E1023" s="135"/>
    </row>
    <row r="1024" spans="1:5" ht="15.75" x14ac:dyDescent="0.25">
      <c r="A1024" s="136">
        <v>5</v>
      </c>
      <c r="B1024" s="137" t="s">
        <v>88</v>
      </c>
      <c r="C1024" s="137" t="s">
        <v>90</v>
      </c>
      <c r="D1024" s="138" t="s">
        <v>870</v>
      </c>
      <c r="E1024" s="135"/>
    </row>
    <row r="1025" spans="1:5" ht="15.75" x14ac:dyDescent="0.25">
      <c r="A1025" s="136">
        <v>6</v>
      </c>
      <c r="B1025" s="137" t="s">
        <v>96</v>
      </c>
      <c r="C1025" s="137" t="s">
        <v>62</v>
      </c>
      <c r="D1025" s="138" t="s">
        <v>871</v>
      </c>
      <c r="E1025" s="135"/>
    </row>
    <row r="1026" spans="1:5" ht="15.75" x14ac:dyDescent="0.25">
      <c r="A1026" s="136">
        <v>7</v>
      </c>
      <c r="B1026" s="137" t="s">
        <v>98</v>
      </c>
      <c r="C1026" s="137" t="s">
        <v>99</v>
      </c>
      <c r="D1026" s="138" t="s">
        <v>873</v>
      </c>
      <c r="E1026" s="135" t="s">
        <v>101</v>
      </c>
    </row>
    <row r="1027" spans="1:5" ht="15.75" x14ac:dyDescent="0.25">
      <c r="A1027" s="136">
        <v>8</v>
      </c>
      <c r="B1027" s="137" t="s">
        <v>98</v>
      </c>
      <c r="C1027" s="137" t="s">
        <v>99</v>
      </c>
      <c r="D1027" s="138" t="s">
        <v>875</v>
      </c>
      <c r="E1027" s="135" t="s">
        <v>101</v>
      </c>
    </row>
    <row r="1028" spans="1:5" ht="15.75" x14ac:dyDescent="0.25">
      <c r="A1028" s="136">
        <v>9</v>
      </c>
      <c r="B1028" s="137" t="s">
        <v>98</v>
      </c>
      <c r="C1028" s="137" t="s">
        <v>99</v>
      </c>
      <c r="D1028" s="138" t="s">
        <v>877</v>
      </c>
      <c r="E1028" s="135" t="s">
        <v>101</v>
      </c>
    </row>
    <row r="1029" spans="1:5" ht="15.75" x14ac:dyDescent="0.25">
      <c r="A1029" s="136">
        <v>10</v>
      </c>
      <c r="B1029" s="137" t="s">
        <v>114</v>
      </c>
      <c r="C1029" s="137" t="s">
        <v>39</v>
      </c>
      <c r="D1029" s="138" t="s">
        <v>52</v>
      </c>
      <c r="E1029" s="135" t="s">
        <v>115</v>
      </c>
    </row>
    <row r="1030" spans="1:5" ht="30" x14ac:dyDescent="0.25">
      <c r="A1030" s="136">
        <v>11</v>
      </c>
      <c r="B1030" s="137" t="s">
        <v>134</v>
      </c>
      <c r="C1030" s="137" t="s">
        <v>135</v>
      </c>
      <c r="D1030" s="138" t="s">
        <v>879</v>
      </c>
      <c r="E1030" s="139" t="s">
        <v>138</v>
      </c>
    </row>
    <row r="1031" spans="1:5" ht="15.75" x14ac:dyDescent="0.25">
      <c r="A1031" s="136">
        <v>12</v>
      </c>
      <c r="B1031" s="137" t="s">
        <v>145</v>
      </c>
      <c r="C1031" s="137" t="s">
        <v>52</v>
      </c>
      <c r="D1031" s="138" t="s">
        <v>880</v>
      </c>
      <c r="E1031" s="139"/>
    </row>
    <row r="1032" spans="1:5" ht="15.75" x14ac:dyDescent="0.25">
      <c r="A1032" s="136">
        <v>13</v>
      </c>
      <c r="B1032" s="137" t="s">
        <v>159</v>
      </c>
      <c r="C1032" s="137" t="s">
        <v>160</v>
      </c>
      <c r="D1032" s="138" t="s">
        <v>882</v>
      </c>
      <c r="E1032" s="139"/>
    </row>
    <row r="1033" spans="1:5" x14ac:dyDescent="0.25">
      <c r="A1033" s="136"/>
      <c r="B1033" s="136"/>
      <c r="C1033" s="136"/>
      <c r="D1033" s="136"/>
      <c r="E1033" s="136"/>
    </row>
    <row r="1037" spans="1:5" ht="15.75" x14ac:dyDescent="0.25">
      <c r="E1037" s="129" t="s">
        <v>2</v>
      </c>
    </row>
    <row r="1038" spans="1:5" ht="15.75" x14ac:dyDescent="0.25">
      <c r="E1038" s="129" t="s">
        <v>3</v>
      </c>
    </row>
    <row r="1039" spans="1:5" ht="15.75" x14ac:dyDescent="0.25">
      <c r="E1039" s="131" t="s">
        <v>7</v>
      </c>
    </row>
    <row r="1040" spans="1:5" x14ac:dyDescent="0.25">
      <c r="E1040" s="133" t="s">
        <v>646</v>
      </c>
    </row>
    <row r="1041" spans="1:5" x14ac:dyDescent="0.25">
      <c r="A1041" s="191" t="str">
        <f>VLOOKUP(A1044,[1]BD!C:D,2,0)</f>
        <v>Tepexpan (Acolman)</v>
      </c>
      <c r="B1041" s="191"/>
      <c r="C1041" s="191"/>
      <c r="D1041" s="191"/>
      <c r="E1041" s="191"/>
    </row>
    <row r="1042" spans="1:5" x14ac:dyDescent="0.25">
      <c r="A1042" s="191"/>
      <c r="B1042" s="191"/>
      <c r="C1042" s="191"/>
      <c r="D1042" s="191"/>
      <c r="E1042" s="191"/>
    </row>
    <row r="1043" spans="1:5" x14ac:dyDescent="0.25">
      <c r="A1043" s="189" t="s">
        <v>21</v>
      </c>
      <c r="B1043" s="189"/>
      <c r="C1043" s="189"/>
      <c r="D1043" s="189"/>
      <c r="E1043" s="142" t="s">
        <v>23</v>
      </c>
    </row>
    <row r="1044" spans="1:5" ht="36" x14ac:dyDescent="0.25">
      <c r="A1044" s="190">
        <v>6039</v>
      </c>
      <c r="B1044" s="190"/>
      <c r="C1044" s="190"/>
      <c r="D1044" s="190"/>
      <c r="E1044" s="135"/>
    </row>
    <row r="1045" spans="1:5" x14ac:dyDescent="0.25">
      <c r="A1045" s="136" t="s">
        <v>647</v>
      </c>
      <c r="B1045" s="136" t="s">
        <v>24</v>
      </c>
      <c r="C1045" s="136" t="s">
        <v>25</v>
      </c>
      <c r="D1045" s="136" t="s">
        <v>648</v>
      </c>
      <c r="E1045" s="136" t="s">
        <v>30</v>
      </c>
    </row>
    <row r="1046" spans="1:5" ht="15.75" x14ac:dyDescent="0.25">
      <c r="A1046" s="136">
        <v>1</v>
      </c>
      <c r="B1046" s="137" t="s">
        <v>37</v>
      </c>
      <c r="C1046" s="137" t="s">
        <v>39</v>
      </c>
      <c r="D1046" s="138" t="s">
        <v>884</v>
      </c>
      <c r="E1046" s="135" t="s">
        <v>41</v>
      </c>
    </row>
    <row r="1047" spans="1:5" ht="15.75" x14ac:dyDescent="0.25">
      <c r="A1047" s="136">
        <v>2</v>
      </c>
      <c r="B1047" s="137" t="s">
        <v>51</v>
      </c>
      <c r="C1047" s="137" t="s">
        <v>52</v>
      </c>
      <c r="D1047" s="138" t="s">
        <v>886</v>
      </c>
      <c r="E1047" s="135"/>
    </row>
    <row r="1048" spans="1:5" ht="15.75" x14ac:dyDescent="0.25">
      <c r="A1048" s="136">
        <v>3</v>
      </c>
      <c r="B1048" s="137" t="s">
        <v>61</v>
      </c>
      <c r="C1048" s="137" t="s">
        <v>62</v>
      </c>
      <c r="D1048" s="138" t="s">
        <v>887</v>
      </c>
      <c r="E1048" s="135" t="s">
        <v>64</v>
      </c>
    </row>
    <row r="1049" spans="1:5" ht="15.75" x14ac:dyDescent="0.25">
      <c r="A1049" s="136">
        <v>4</v>
      </c>
      <c r="B1049" s="137" t="s">
        <v>72</v>
      </c>
      <c r="C1049" s="137" t="s">
        <v>73</v>
      </c>
      <c r="D1049" s="138" t="s">
        <v>889</v>
      </c>
      <c r="E1049" s="135"/>
    </row>
    <row r="1050" spans="1:5" ht="15.75" x14ac:dyDescent="0.25">
      <c r="A1050" s="136">
        <v>5</v>
      </c>
      <c r="B1050" s="137" t="s">
        <v>88</v>
      </c>
      <c r="C1050" s="137" t="s">
        <v>90</v>
      </c>
      <c r="D1050" s="138" t="s">
        <v>52</v>
      </c>
      <c r="E1050" s="135"/>
    </row>
    <row r="1051" spans="1:5" ht="15.75" x14ac:dyDescent="0.25">
      <c r="A1051" s="136">
        <v>6</v>
      </c>
      <c r="B1051" s="137" t="s">
        <v>96</v>
      </c>
      <c r="C1051" s="137" t="s">
        <v>62</v>
      </c>
      <c r="D1051" s="138" t="s">
        <v>890</v>
      </c>
      <c r="E1051" s="135"/>
    </row>
    <row r="1052" spans="1:5" ht="15.75" x14ac:dyDescent="0.25">
      <c r="A1052" s="136">
        <v>7</v>
      </c>
      <c r="B1052" s="137" t="s">
        <v>98</v>
      </c>
      <c r="C1052" s="137" t="s">
        <v>99</v>
      </c>
      <c r="D1052" s="138" t="s">
        <v>892</v>
      </c>
      <c r="E1052" s="135" t="s">
        <v>101</v>
      </c>
    </row>
    <row r="1053" spans="1:5" ht="15.75" x14ac:dyDescent="0.25">
      <c r="A1053" s="136">
        <v>8</v>
      </c>
      <c r="B1053" s="137" t="s">
        <v>98</v>
      </c>
      <c r="C1053" s="137" t="s">
        <v>99</v>
      </c>
      <c r="D1053" s="138" t="s">
        <v>894</v>
      </c>
      <c r="E1053" s="135" t="s">
        <v>101</v>
      </c>
    </row>
    <row r="1054" spans="1:5" ht="15.75" x14ac:dyDescent="0.25">
      <c r="A1054" s="136">
        <v>9</v>
      </c>
      <c r="B1054" s="137" t="s">
        <v>98</v>
      </c>
      <c r="C1054" s="137" t="s">
        <v>99</v>
      </c>
      <c r="D1054" s="138" t="s">
        <v>896</v>
      </c>
      <c r="E1054" s="135" t="s">
        <v>101</v>
      </c>
    </row>
    <row r="1055" spans="1:5" ht="15.75" x14ac:dyDescent="0.25">
      <c r="A1055" s="136">
        <v>10</v>
      </c>
      <c r="B1055" s="137" t="s">
        <v>114</v>
      </c>
      <c r="C1055" s="137" t="s">
        <v>39</v>
      </c>
      <c r="D1055" s="138" t="s">
        <v>52</v>
      </c>
      <c r="E1055" s="135" t="s">
        <v>115</v>
      </c>
    </row>
    <row r="1056" spans="1:5" ht="30" x14ac:dyDescent="0.25">
      <c r="A1056" s="136">
        <v>11</v>
      </c>
      <c r="B1056" s="137" t="s">
        <v>134</v>
      </c>
      <c r="C1056" s="137" t="s">
        <v>135</v>
      </c>
      <c r="D1056" s="138" t="s">
        <v>898</v>
      </c>
      <c r="E1056" s="139" t="s">
        <v>138</v>
      </c>
    </row>
    <row r="1057" spans="1:5" ht="15.75" x14ac:dyDescent="0.25">
      <c r="A1057" s="136">
        <v>12</v>
      </c>
      <c r="B1057" s="137" t="s">
        <v>145</v>
      </c>
      <c r="C1057" s="137" t="s">
        <v>52</v>
      </c>
      <c r="D1057" s="138" t="s">
        <v>900</v>
      </c>
      <c r="E1057" s="139"/>
    </row>
    <row r="1058" spans="1:5" ht="15.75" x14ac:dyDescent="0.25">
      <c r="A1058" s="136">
        <v>13</v>
      </c>
      <c r="B1058" s="137" t="s">
        <v>159</v>
      </c>
      <c r="C1058" s="137" t="s">
        <v>160</v>
      </c>
      <c r="D1058" s="138" t="s">
        <v>902</v>
      </c>
      <c r="E1058" s="139"/>
    </row>
    <row r="1059" spans="1:5" x14ac:dyDescent="0.25">
      <c r="A1059" s="136"/>
      <c r="B1059" s="136"/>
      <c r="C1059" s="136"/>
      <c r="D1059" s="136"/>
      <c r="E1059" s="136"/>
    </row>
    <row r="1063" spans="1:5" ht="15.75" x14ac:dyDescent="0.25">
      <c r="E1063" s="129" t="s">
        <v>2</v>
      </c>
    </row>
    <row r="1064" spans="1:5" ht="15.75" x14ac:dyDescent="0.25">
      <c r="E1064" s="129" t="s">
        <v>3</v>
      </c>
    </row>
    <row r="1065" spans="1:5" ht="15.75" x14ac:dyDescent="0.25">
      <c r="E1065" s="131" t="s">
        <v>7</v>
      </c>
    </row>
    <row r="1066" spans="1:5" x14ac:dyDescent="0.25">
      <c r="E1066" s="133" t="s">
        <v>646</v>
      </c>
    </row>
    <row r="1067" spans="1:5" x14ac:dyDescent="0.25">
      <c r="A1067" s="191" t="str">
        <f>VLOOKUP(A1070,[1]BD!C:D,2,0)</f>
        <v>Ixtapaluca</v>
      </c>
      <c r="B1067" s="191"/>
      <c r="C1067" s="191"/>
      <c r="D1067" s="191"/>
      <c r="E1067" s="191"/>
    </row>
    <row r="1068" spans="1:5" x14ac:dyDescent="0.25">
      <c r="A1068" s="191"/>
      <c r="B1068" s="191"/>
      <c r="C1068" s="191"/>
      <c r="D1068" s="191"/>
      <c r="E1068" s="191"/>
    </row>
    <row r="1069" spans="1:5" x14ac:dyDescent="0.25">
      <c r="A1069" s="189" t="s">
        <v>21</v>
      </c>
      <c r="B1069" s="189"/>
      <c r="C1069" s="189"/>
      <c r="D1069" s="189"/>
      <c r="E1069" s="142" t="s">
        <v>23</v>
      </c>
    </row>
    <row r="1070" spans="1:5" ht="36" x14ac:dyDescent="0.25">
      <c r="A1070" s="190">
        <v>6040</v>
      </c>
      <c r="B1070" s="190"/>
      <c r="C1070" s="190"/>
      <c r="D1070" s="190"/>
      <c r="E1070" s="135"/>
    </row>
    <row r="1071" spans="1:5" x14ac:dyDescent="0.25">
      <c r="A1071" s="136" t="s">
        <v>647</v>
      </c>
      <c r="B1071" s="136" t="s">
        <v>24</v>
      </c>
      <c r="C1071" s="136" t="s">
        <v>25</v>
      </c>
      <c r="D1071" s="136" t="s">
        <v>648</v>
      </c>
      <c r="E1071" s="136" t="s">
        <v>30</v>
      </c>
    </row>
    <row r="1072" spans="1:5" ht="15.75" x14ac:dyDescent="0.25">
      <c r="A1072" s="136">
        <v>1</v>
      </c>
      <c r="B1072" s="137" t="s">
        <v>37</v>
      </c>
      <c r="C1072" s="137" t="s">
        <v>39</v>
      </c>
      <c r="D1072" s="138" t="s">
        <v>904</v>
      </c>
      <c r="E1072" s="135" t="s">
        <v>41</v>
      </c>
    </row>
    <row r="1073" spans="1:5" ht="15.75" x14ac:dyDescent="0.25">
      <c r="A1073" s="136">
        <v>2</v>
      </c>
      <c r="B1073" s="137" t="s">
        <v>51</v>
      </c>
      <c r="C1073" s="137" t="s">
        <v>52</v>
      </c>
      <c r="D1073" s="138" t="s">
        <v>906</v>
      </c>
      <c r="E1073" s="135"/>
    </row>
    <row r="1074" spans="1:5" ht="15.75" x14ac:dyDescent="0.25">
      <c r="A1074" s="136">
        <v>3</v>
      </c>
      <c r="B1074" s="137" t="s">
        <v>61</v>
      </c>
      <c r="C1074" s="137" t="s">
        <v>62</v>
      </c>
      <c r="D1074" s="138" t="s">
        <v>907</v>
      </c>
      <c r="E1074" s="135" t="s">
        <v>64</v>
      </c>
    </row>
    <row r="1075" spans="1:5" ht="15.75" x14ac:dyDescent="0.25">
      <c r="A1075" s="136">
        <v>4</v>
      </c>
      <c r="B1075" s="137" t="s">
        <v>72</v>
      </c>
      <c r="C1075" s="137" t="s">
        <v>73</v>
      </c>
      <c r="D1075" s="138" t="s">
        <v>908</v>
      </c>
      <c r="E1075" s="135"/>
    </row>
    <row r="1076" spans="1:5" ht="15.75" x14ac:dyDescent="0.25">
      <c r="A1076" s="136">
        <v>5</v>
      </c>
      <c r="B1076" s="137" t="s">
        <v>88</v>
      </c>
      <c r="C1076" s="137" t="s">
        <v>90</v>
      </c>
      <c r="D1076" s="138" t="s">
        <v>52</v>
      </c>
      <c r="E1076" s="135"/>
    </row>
    <row r="1077" spans="1:5" ht="15.75" x14ac:dyDescent="0.25">
      <c r="A1077" s="136">
        <v>6</v>
      </c>
      <c r="B1077" s="137" t="s">
        <v>96</v>
      </c>
      <c r="C1077" s="137" t="s">
        <v>62</v>
      </c>
      <c r="D1077" s="138" t="s">
        <v>909</v>
      </c>
      <c r="E1077" s="135"/>
    </row>
    <row r="1078" spans="1:5" ht="15.75" x14ac:dyDescent="0.25">
      <c r="A1078" s="136">
        <v>7</v>
      </c>
      <c r="B1078" s="137" t="s">
        <v>98</v>
      </c>
      <c r="C1078" s="137" t="s">
        <v>99</v>
      </c>
      <c r="D1078" s="138" t="s">
        <v>911</v>
      </c>
      <c r="E1078" s="135" t="s">
        <v>101</v>
      </c>
    </row>
    <row r="1079" spans="1:5" ht="15.75" x14ac:dyDescent="0.25">
      <c r="A1079" s="136">
        <v>8</v>
      </c>
      <c r="B1079" s="137" t="s">
        <v>98</v>
      </c>
      <c r="C1079" s="137" t="s">
        <v>99</v>
      </c>
      <c r="D1079" s="138" t="s">
        <v>913</v>
      </c>
      <c r="E1079" s="135" t="s">
        <v>101</v>
      </c>
    </row>
    <row r="1080" spans="1:5" ht="15.75" x14ac:dyDescent="0.25">
      <c r="A1080" s="136">
        <v>9</v>
      </c>
      <c r="B1080" s="137" t="s">
        <v>98</v>
      </c>
      <c r="C1080" s="137" t="s">
        <v>99</v>
      </c>
      <c r="D1080" s="138" t="s">
        <v>915</v>
      </c>
      <c r="E1080" s="135" t="s">
        <v>101</v>
      </c>
    </row>
    <row r="1081" spans="1:5" ht="15.75" x14ac:dyDescent="0.25">
      <c r="A1081" s="136">
        <v>10</v>
      </c>
      <c r="B1081" s="137" t="s">
        <v>114</v>
      </c>
      <c r="C1081" s="137" t="s">
        <v>39</v>
      </c>
      <c r="D1081" s="138" t="s">
        <v>52</v>
      </c>
      <c r="E1081" s="135" t="s">
        <v>115</v>
      </c>
    </row>
    <row r="1082" spans="1:5" ht="30" x14ac:dyDescent="0.25">
      <c r="A1082" s="136">
        <v>11</v>
      </c>
      <c r="B1082" s="137" t="s">
        <v>134</v>
      </c>
      <c r="C1082" s="137" t="s">
        <v>135</v>
      </c>
      <c r="D1082" s="138" t="s">
        <v>917</v>
      </c>
      <c r="E1082" s="139" t="s">
        <v>138</v>
      </c>
    </row>
    <row r="1083" spans="1:5" ht="15.75" x14ac:dyDescent="0.25">
      <c r="A1083" s="136">
        <v>12</v>
      </c>
      <c r="B1083" s="137" t="s">
        <v>145</v>
      </c>
      <c r="C1083" s="137" t="s">
        <v>52</v>
      </c>
      <c r="D1083" s="138" t="s">
        <v>918</v>
      </c>
      <c r="E1083" s="139"/>
    </row>
    <row r="1084" spans="1:5" ht="15.75" x14ac:dyDescent="0.25">
      <c r="A1084" s="136">
        <v>13</v>
      </c>
      <c r="B1084" s="137" t="s">
        <v>159</v>
      </c>
      <c r="C1084" s="137" t="s">
        <v>160</v>
      </c>
      <c r="D1084" s="138" t="s">
        <v>920</v>
      </c>
      <c r="E1084" s="139"/>
    </row>
    <row r="1085" spans="1:5" x14ac:dyDescent="0.25">
      <c r="A1085" s="136"/>
      <c r="B1085" s="136"/>
      <c r="C1085" s="136"/>
      <c r="D1085" s="136"/>
      <c r="E1085" s="136"/>
    </row>
    <row r="1089" spans="1:5" ht="15.75" x14ac:dyDescent="0.25">
      <c r="E1089" s="129" t="s">
        <v>2</v>
      </c>
    </row>
    <row r="1090" spans="1:5" ht="15.75" x14ac:dyDescent="0.25">
      <c r="E1090" s="129" t="s">
        <v>3</v>
      </c>
    </row>
    <row r="1091" spans="1:5" ht="15.75" x14ac:dyDescent="0.25">
      <c r="E1091" s="131" t="s">
        <v>7</v>
      </c>
    </row>
    <row r="1092" spans="1:5" x14ac:dyDescent="0.25">
      <c r="E1092" s="133" t="s">
        <v>646</v>
      </c>
    </row>
    <row r="1093" spans="1:5" x14ac:dyDescent="0.25">
      <c r="A1093" s="191" t="str">
        <f>VLOOKUP(A1096,[1]BD!C:D,2,0)</f>
        <v>CD. Nezahualcoyotl</v>
      </c>
      <c r="B1093" s="191"/>
      <c r="C1093" s="191"/>
      <c r="D1093" s="191"/>
      <c r="E1093" s="191"/>
    </row>
    <row r="1094" spans="1:5" x14ac:dyDescent="0.25">
      <c r="A1094" s="191"/>
      <c r="B1094" s="191"/>
      <c r="C1094" s="191"/>
      <c r="D1094" s="191"/>
      <c r="E1094" s="191"/>
    </row>
    <row r="1095" spans="1:5" x14ac:dyDescent="0.25">
      <c r="A1095" s="189" t="s">
        <v>21</v>
      </c>
      <c r="B1095" s="189"/>
      <c r="C1095" s="189"/>
      <c r="D1095" s="189"/>
      <c r="E1095" s="142" t="s">
        <v>23</v>
      </c>
    </row>
    <row r="1096" spans="1:5" ht="36" x14ac:dyDescent="0.25">
      <c r="A1096" s="190">
        <v>6041</v>
      </c>
      <c r="B1096" s="190"/>
      <c r="C1096" s="190"/>
      <c r="D1096" s="190"/>
      <c r="E1096" s="135"/>
    </row>
    <row r="1097" spans="1:5" x14ac:dyDescent="0.25">
      <c r="A1097" s="136" t="s">
        <v>647</v>
      </c>
      <c r="B1097" s="136" t="s">
        <v>24</v>
      </c>
      <c r="C1097" s="136" t="s">
        <v>25</v>
      </c>
      <c r="D1097" s="136" t="s">
        <v>648</v>
      </c>
      <c r="E1097" s="136" t="s">
        <v>30</v>
      </c>
    </row>
    <row r="1098" spans="1:5" ht="15.75" x14ac:dyDescent="0.25">
      <c r="A1098" s="136">
        <v>1</v>
      </c>
      <c r="B1098" s="137" t="s">
        <v>37</v>
      </c>
      <c r="C1098" s="137" t="s">
        <v>39</v>
      </c>
      <c r="D1098" s="138" t="s">
        <v>921</v>
      </c>
      <c r="E1098" s="135" t="s">
        <v>41</v>
      </c>
    </row>
    <row r="1099" spans="1:5" ht="15.75" x14ac:dyDescent="0.25">
      <c r="A1099" s="136">
        <v>2</v>
      </c>
      <c r="B1099" s="137" t="s">
        <v>51</v>
      </c>
      <c r="C1099" s="137" t="s">
        <v>52</v>
      </c>
      <c r="D1099" s="138" t="s">
        <v>923</v>
      </c>
      <c r="E1099" s="135"/>
    </row>
    <row r="1100" spans="1:5" ht="15.75" x14ac:dyDescent="0.25">
      <c r="A1100" s="136">
        <v>3</v>
      </c>
      <c r="B1100" s="137" t="s">
        <v>61</v>
      </c>
      <c r="C1100" s="137" t="s">
        <v>62</v>
      </c>
      <c r="D1100" s="138" t="s">
        <v>790</v>
      </c>
      <c r="E1100" s="135" t="s">
        <v>64</v>
      </c>
    </row>
    <row r="1101" spans="1:5" ht="15.75" x14ac:dyDescent="0.25">
      <c r="A1101" s="136">
        <v>4</v>
      </c>
      <c r="B1101" s="137" t="s">
        <v>72</v>
      </c>
      <c r="C1101" s="137" t="s">
        <v>73</v>
      </c>
      <c r="D1101" s="138" t="s">
        <v>925</v>
      </c>
      <c r="E1101" s="135"/>
    </row>
    <row r="1102" spans="1:5" ht="15.75" x14ac:dyDescent="0.25">
      <c r="A1102" s="136">
        <v>5</v>
      </c>
      <c r="B1102" s="137" t="s">
        <v>88</v>
      </c>
      <c r="C1102" s="137" t="s">
        <v>90</v>
      </c>
      <c r="D1102" s="138" t="s">
        <v>927</v>
      </c>
      <c r="E1102" s="135"/>
    </row>
    <row r="1103" spans="1:5" ht="15.75" x14ac:dyDescent="0.25">
      <c r="A1103" s="136">
        <v>6</v>
      </c>
      <c r="B1103" s="137" t="s">
        <v>96</v>
      </c>
      <c r="C1103" s="137" t="s">
        <v>62</v>
      </c>
      <c r="D1103" s="138" t="s">
        <v>928</v>
      </c>
      <c r="E1103" s="135"/>
    </row>
    <row r="1104" spans="1:5" ht="15.75" x14ac:dyDescent="0.25">
      <c r="A1104" s="136">
        <v>7</v>
      </c>
      <c r="B1104" s="137" t="s">
        <v>98</v>
      </c>
      <c r="C1104" s="137" t="s">
        <v>99</v>
      </c>
      <c r="D1104" s="138" t="s">
        <v>930</v>
      </c>
      <c r="E1104" s="135" t="s">
        <v>101</v>
      </c>
    </row>
    <row r="1105" spans="1:5" ht="15.75" x14ac:dyDescent="0.25">
      <c r="A1105" s="136">
        <v>8</v>
      </c>
      <c r="B1105" s="137" t="s">
        <v>98</v>
      </c>
      <c r="C1105" s="137" t="s">
        <v>99</v>
      </c>
      <c r="D1105" s="138" t="s">
        <v>932</v>
      </c>
      <c r="E1105" s="135" t="s">
        <v>101</v>
      </c>
    </row>
    <row r="1106" spans="1:5" ht="15.75" x14ac:dyDescent="0.25">
      <c r="A1106" s="136">
        <v>9</v>
      </c>
      <c r="B1106" s="137" t="s">
        <v>98</v>
      </c>
      <c r="C1106" s="137" t="s">
        <v>99</v>
      </c>
      <c r="D1106" s="138" t="s">
        <v>934</v>
      </c>
      <c r="E1106" s="135" t="s">
        <v>101</v>
      </c>
    </row>
    <row r="1107" spans="1:5" ht="15.75" x14ac:dyDescent="0.25">
      <c r="A1107" s="136">
        <v>10</v>
      </c>
      <c r="B1107" s="137" t="s">
        <v>114</v>
      </c>
      <c r="C1107" s="137" t="s">
        <v>39</v>
      </c>
      <c r="D1107" s="138" t="s">
        <v>52</v>
      </c>
      <c r="E1107" s="135" t="s">
        <v>115</v>
      </c>
    </row>
    <row r="1108" spans="1:5" ht="30" x14ac:dyDescent="0.25">
      <c r="A1108" s="136">
        <v>11</v>
      </c>
      <c r="B1108" s="137" t="s">
        <v>134</v>
      </c>
      <c r="C1108" s="137" t="s">
        <v>135</v>
      </c>
      <c r="D1108" s="138" t="s">
        <v>936</v>
      </c>
      <c r="E1108" s="139" t="s">
        <v>138</v>
      </c>
    </row>
    <row r="1109" spans="1:5" ht="15.75" x14ac:dyDescent="0.25">
      <c r="A1109" s="136">
        <v>12</v>
      </c>
      <c r="B1109" s="137" t="s">
        <v>145</v>
      </c>
      <c r="C1109" s="137" t="s">
        <v>52</v>
      </c>
      <c r="D1109" s="138" t="s">
        <v>938</v>
      </c>
      <c r="E1109" s="139"/>
    </row>
    <row r="1110" spans="1:5" ht="15.75" x14ac:dyDescent="0.25">
      <c r="A1110" s="136">
        <v>13</v>
      </c>
      <c r="B1110" s="137" t="s">
        <v>159</v>
      </c>
      <c r="C1110" s="137" t="s">
        <v>160</v>
      </c>
      <c r="D1110" s="138" t="s">
        <v>940</v>
      </c>
      <c r="E1110" s="139"/>
    </row>
    <row r="1111" spans="1:5" x14ac:dyDescent="0.25">
      <c r="A1111" s="136"/>
      <c r="B1111" s="136"/>
      <c r="C1111" s="136"/>
      <c r="D1111" s="136"/>
      <c r="E1111" s="136"/>
    </row>
    <row r="1115" spans="1:5" ht="15.75" x14ac:dyDescent="0.25">
      <c r="E1115" s="129" t="s">
        <v>2</v>
      </c>
    </row>
    <row r="1116" spans="1:5" ht="15.75" x14ac:dyDescent="0.25">
      <c r="E1116" s="129" t="s">
        <v>3</v>
      </c>
    </row>
    <row r="1117" spans="1:5" ht="15.75" x14ac:dyDescent="0.25">
      <c r="E1117" s="131" t="s">
        <v>7</v>
      </c>
    </row>
    <row r="1118" spans="1:5" x14ac:dyDescent="0.25">
      <c r="E1118" s="133" t="s">
        <v>646</v>
      </c>
    </row>
    <row r="1119" spans="1:5" x14ac:dyDescent="0.25">
      <c r="A1119" s="191" t="str">
        <f>VLOOKUP(A1122,[1]BD!C:D,2,0)</f>
        <v>Ecatepec de Morelos</v>
      </c>
      <c r="B1119" s="191"/>
      <c r="C1119" s="191"/>
      <c r="D1119" s="191"/>
      <c r="E1119" s="191"/>
    </row>
    <row r="1120" spans="1:5" x14ac:dyDescent="0.25">
      <c r="A1120" s="191"/>
      <c r="B1120" s="191"/>
      <c r="C1120" s="191"/>
      <c r="D1120" s="191"/>
      <c r="E1120" s="191"/>
    </row>
    <row r="1121" spans="1:5" x14ac:dyDescent="0.25">
      <c r="A1121" s="189" t="s">
        <v>21</v>
      </c>
      <c r="B1121" s="189"/>
      <c r="C1121" s="189"/>
      <c r="D1121" s="189"/>
      <c r="E1121" s="142" t="s">
        <v>23</v>
      </c>
    </row>
    <row r="1122" spans="1:5" ht="36" x14ac:dyDescent="0.25">
      <c r="A1122" s="190">
        <v>6042</v>
      </c>
      <c r="B1122" s="190"/>
      <c r="C1122" s="190"/>
      <c r="D1122" s="190"/>
      <c r="E1122" s="135"/>
    </row>
    <row r="1123" spans="1:5" x14ac:dyDescent="0.25">
      <c r="A1123" s="136" t="s">
        <v>647</v>
      </c>
      <c r="B1123" s="136" t="s">
        <v>24</v>
      </c>
      <c r="C1123" s="136" t="s">
        <v>25</v>
      </c>
      <c r="D1123" s="136" t="s">
        <v>648</v>
      </c>
      <c r="E1123" s="136" t="s">
        <v>30</v>
      </c>
    </row>
    <row r="1124" spans="1:5" ht="15.75" x14ac:dyDescent="0.25">
      <c r="A1124" s="136">
        <v>1</v>
      </c>
      <c r="B1124" s="137" t="s">
        <v>37</v>
      </c>
      <c r="C1124" s="137" t="s">
        <v>39</v>
      </c>
      <c r="D1124" s="138" t="s">
        <v>942</v>
      </c>
      <c r="E1124" s="135" t="s">
        <v>41</v>
      </c>
    </row>
    <row r="1125" spans="1:5" ht="15.75" x14ac:dyDescent="0.25">
      <c r="A1125" s="136">
        <v>2</v>
      </c>
      <c r="B1125" s="137" t="s">
        <v>51</v>
      </c>
      <c r="C1125" s="137" t="s">
        <v>52</v>
      </c>
      <c r="D1125" s="138" t="s">
        <v>944</v>
      </c>
      <c r="E1125" s="135"/>
    </row>
    <row r="1126" spans="1:5" ht="15.75" x14ac:dyDescent="0.25">
      <c r="A1126" s="136">
        <v>3</v>
      </c>
      <c r="B1126" s="137" t="s">
        <v>61</v>
      </c>
      <c r="C1126" s="137" t="s">
        <v>62</v>
      </c>
      <c r="D1126" s="138" t="s">
        <v>945</v>
      </c>
      <c r="E1126" s="135" t="s">
        <v>64</v>
      </c>
    </row>
    <row r="1127" spans="1:5" ht="15.75" x14ac:dyDescent="0.25">
      <c r="A1127" s="136">
        <v>4</v>
      </c>
      <c r="B1127" s="137" t="s">
        <v>72</v>
      </c>
      <c r="C1127" s="137" t="s">
        <v>73</v>
      </c>
      <c r="D1127" s="138" t="s">
        <v>947</v>
      </c>
      <c r="E1127" s="135"/>
    </row>
    <row r="1128" spans="1:5" ht="15.75" x14ac:dyDescent="0.25">
      <c r="A1128" s="136">
        <v>5</v>
      </c>
      <c r="B1128" s="137" t="s">
        <v>88</v>
      </c>
      <c r="C1128" s="137" t="s">
        <v>90</v>
      </c>
      <c r="D1128" s="138" t="s">
        <v>1011</v>
      </c>
      <c r="E1128" s="135"/>
    </row>
    <row r="1129" spans="1:5" ht="15.75" x14ac:dyDescent="0.25">
      <c r="A1129" s="136">
        <v>6</v>
      </c>
      <c r="B1129" s="137" t="s">
        <v>96</v>
      </c>
      <c r="C1129" s="137" t="s">
        <v>62</v>
      </c>
      <c r="D1129" s="138" t="s">
        <v>948</v>
      </c>
      <c r="E1129" s="135"/>
    </row>
    <row r="1130" spans="1:5" ht="15.75" x14ac:dyDescent="0.25">
      <c r="A1130" s="136">
        <v>7</v>
      </c>
      <c r="B1130" s="137" t="s">
        <v>98</v>
      </c>
      <c r="C1130" s="137" t="s">
        <v>99</v>
      </c>
      <c r="D1130" s="138" t="s">
        <v>949</v>
      </c>
      <c r="E1130" s="135" t="s">
        <v>101</v>
      </c>
    </row>
    <row r="1131" spans="1:5" ht="15.75" x14ac:dyDescent="0.25">
      <c r="A1131" s="136">
        <v>8</v>
      </c>
      <c r="B1131" s="137" t="s">
        <v>98</v>
      </c>
      <c r="C1131" s="137" t="s">
        <v>99</v>
      </c>
      <c r="D1131" s="138" t="s">
        <v>950</v>
      </c>
      <c r="E1131" s="135" t="s">
        <v>101</v>
      </c>
    </row>
    <row r="1132" spans="1:5" ht="15.75" x14ac:dyDescent="0.25">
      <c r="A1132" s="136">
        <v>9</v>
      </c>
      <c r="B1132" s="137" t="s">
        <v>98</v>
      </c>
      <c r="C1132" s="137" t="s">
        <v>99</v>
      </c>
      <c r="D1132" s="138" t="s">
        <v>951</v>
      </c>
      <c r="E1132" s="135" t="s">
        <v>101</v>
      </c>
    </row>
    <row r="1133" spans="1:5" ht="15.75" x14ac:dyDescent="0.25">
      <c r="A1133" s="136">
        <v>10</v>
      </c>
      <c r="B1133" s="137" t="s">
        <v>114</v>
      </c>
      <c r="C1133" s="137" t="s">
        <v>39</v>
      </c>
      <c r="D1133" s="138" t="s">
        <v>52</v>
      </c>
      <c r="E1133" s="135" t="s">
        <v>115</v>
      </c>
    </row>
    <row r="1134" spans="1:5" ht="30" x14ac:dyDescent="0.25">
      <c r="A1134" s="136">
        <v>11</v>
      </c>
      <c r="B1134" s="137" t="s">
        <v>134</v>
      </c>
      <c r="C1134" s="137" t="s">
        <v>135</v>
      </c>
      <c r="D1134" s="138" t="s">
        <v>953</v>
      </c>
      <c r="E1134" s="139" t="s">
        <v>138</v>
      </c>
    </row>
    <row r="1135" spans="1:5" ht="15.75" x14ac:dyDescent="0.25">
      <c r="A1135" s="136">
        <v>12</v>
      </c>
      <c r="B1135" s="137" t="s">
        <v>145</v>
      </c>
      <c r="C1135" s="137" t="s">
        <v>52</v>
      </c>
      <c r="D1135" s="138" t="s">
        <v>955</v>
      </c>
      <c r="E1135" s="139"/>
    </row>
    <row r="1136" spans="1:5" ht="15.75" x14ac:dyDescent="0.25">
      <c r="A1136" s="136">
        <v>13</v>
      </c>
      <c r="B1136" s="137" t="s">
        <v>159</v>
      </c>
      <c r="C1136" s="137" t="s">
        <v>160</v>
      </c>
      <c r="D1136" s="138" t="s">
        <v>957</v>
      </c>
      <c r="E1136" s="139"/>
    </row>
    <row r="1137" spans="1:5" x14ac:dyDescent="0.25">
      <c r="A1137" s="136"/>
      <c r="B1137" s="136"/>
      <c r="C1137" s="136"/>
      <c r="D1137" s="136"/>
      <c r="E1137" s="136"/>
    </row>
    <row r="1142" spans="1:5" ht="15.75" x14ac:dyDescent="0.25">
      <c r="E1142" s="129" t="s">
        <v>2</v>
      </c>
    </row>
    <row r="1143" spans="1:5" ht="15.75" x14ac:dyDescent="0.25">
      <c r="E1143" s="129" t="s">
        <v>3</v>
      </c>
    </row>
    <row r="1144" spans="1:5" ht="15.75" x14ac:dyDescent="0.25">
      <c r="E1144" s="131" t="s">
        <v>7</v>
      </c>
    </row>
    <row r="1145" spans="1:5" x14ac:dyDescent="0.25">
      <c r="E1145" s="133" t="s">
        <v>646</v>
      </c>
    </row>
    <row r="1146" spans="1:5" x14ac:dyDescent="0.25">
      <c r="A1146" s="191" t="str">
        <f>VLOOKUP(A1149,[1]BD!C:D,2,0)</f>
        <v>Cuautitlan Izcalli</v>
      </c>
      <c r="B1146" s="191"/>
      <c r="C1146" s="191"/>
      <c r="D1146" s="191"/>
      <c r="E1146" s="191"/>
    </row>
    <row r="1147" spans="1:5" x14ac:dyDescent="0.25">
      <c r="A1147" s="191"/>
      <c r="B1147" s="191"/>
      <c r="C1147" s="191"/>
      <c r="D1147" s="191"/>
      <c r="E1147" s="191"/>
    </row>
    <row r="1148" spans="1:5" x14ac:dyDescent="0.25">
      <c r="A1148" s="189" t="s">
        <v>21</v>
      </c>
      <c r="B1148" s="189"/>
      <c r="C1148" s="189"/>
      <c r="D1148" s="189"/>
      <c r="E1148" s="142" t="s">
        <v>23</v>
      </c>
    </row>
    <row r="1149" spans="1:5" ht="36" x14ac:dyDescent="0.25">
      <c r="A1149" s="190">
        <v>6043</v>
      </c>
      <c r="B1149" s="190"/>
      <c r="C1149" s="190"/>
      <c r="D1149" s="190"/>
      <c r="E1149" s="135"/>
    </row>
    <row r="1150" spans="1:5" x14ac:dyDescent="0.25">
      <c r="A1150" s="136" t="s">
        <v>647</v>
      </c>
      <c r="B1150" s="136" t="s">
        <v>24</v>
      </c>
      <c r="C1150" s="136" t="s">
        <v>25</v>
      </c>
      <c r="D1150" s="136" t="s">
        <v>648</v>
      </c>
      <c r="E1150" s="136" t="s">
        <v>30</v>
      </c>
    </row>
    <row r="1151" spans="1:5" ht="15.75" x14ac:dyDescent="0.25">
      <c r="A1151" s="136">
        <v>1</v>
      </c>
      <c r="B1151" s="137" t="s">
        <v>37</v>
      </c>
      <c r="C1151" s="137" t="s">
        <v>39</v>
      </c>
      <c r="D1151" s="138" t="s">
        <v>958</v>
      </c>
      <c r="E1151" s="135" t="s">
        <v>41</v>
      </c>
    </row>
    <row r="1152" spans="1:5" ht="15.75" x14ac:dyDescent="0.25">
      <c r="A1152" s="136">
        <v>2</v>
      </c>
      <c r="B1152" s="137" t="s">
        <v>51</v>
      </c>
      <c r="C1152" s="137" t="s">
        <v>52</v>
      </c>
      <c r="D1152" s="138" t="s">
        <v>960</v>
      </c>
      <c r="E1152" s="135"/>
    </row>
    <row r="1153" spans="1:5" ht="15.75" x14ac:dyDescent="0.25">
      <c r="A1153" s="136">
        <v>3</v>
      </c>
      <c r="B1153" s="137" t="s">
        <v>61</v>
      </c>
      <c r="C1153" s="137" t="s">
        <v>62</v>
      </c>
      <c r="D1153" s="138" t="s">
        <v>961</v>
      </c>
      <c r="E1153" s="135" t="s">
        <v>64</v>
      </c>
    </row>
    <row r="1154" spans="1:5" ht="15.75" x14ac:dyDescent="0.25">
      <c r="A1154" s="136">
        <v>4</v>
      </c>
      <c r="B1154" s="137" t="s">
        <v>72</v>
      </c>
      <c r="C1154" s="137" t="s">
        <v>73</v>
      </c>
      <c r="D1154" s="138" t="s">
        <v>963</v>
      </c>
      <c r="E1154" s="135"/>
    </row>
    <row r="1155" spans="1:5" ht="15.75" x14ac:dyDescent="0.25">
      <c r="A1155" s="136">
        <v>5</v>
      </c>
      <c r="B1155" s="137" t="s">
        <v>88</v>
      </c>
      <c r="C1155" s="137" t="s">
        <v>90</v>
      </c>
      <c r="D1155" s="138" t="s">
        <v>1012</v>
      </c>
      <c r="E1155" s="135"/>
    </row>
    <row r="1156" spans="1:5" ht="15.75" x14ac:dyDescent="0.25">
      <c r="A1156" s="136">
        <v>6</v>
      </c>
      <c r="B1156" s="137" t="s">
        <v>96</v>
      </c>
      <c r="C1156" s="137" t="s">
        <v>62</v>
      </c>
      <c r="D1156" s="138" t="s">
        <v>964</v>
      </c>
      <c r="E1156" s="135"/>
    </row>
    <row r="1157" spans="1:5" ht="15.75" x14ac:dyDescent="0.25">
      <c r="A1157" s="136">
        <v>7</v>
      </c>
      <c r="B1157" s="137" t="s">
        <v>98</v>
      </c>
      <c r="C1157" s="137" t="s">
        <v>99</v>
      </c>
      <c r="D1157" s="138" t="s">
        <v>965</v>
      </c>
      <c r="E1157" s="135" t="s">
        <v>101</v>
      </c>
    </row>
    <row r="1158" spans="1:5" ht="15.75" x14ac:dyDescent="0.25">
      <c r="A1158" s="136">
        <v>8</v>
      </c>
      <c r="B1158" s="137" t="s">
        <v>98</v>
      </c>
      <c r="C1158" s="137" t="s">
        <v>99</v>
      </c>
      <c r="D1158" s="138" t="s">
        <v>966</v>
      </c>
      <c r="E1158" s="135" t="s">
        <v>101</v>
      </c>
    </row>
    <row r="1159" spans="1:5" ht="15.75" x14ac:dyDescent="0.25">
      <c r="A1159" s="136">
        <v>9</v>
      </c>
      <c r="B1159" s="137" t="s">
        <v>98</v>
      </c>
      <c r="C1159" s="137" t="s">
        <v>99</v>
      </c>
      <c r="D1159" s="138" t="s">
        <v>967</v>
      </c>
      <c r="E1159" s="135" t="s">
        <v>101</v>
      </c>
    </row>
    <row r="1160" spans="1:5" ht="15.75" x14ac:dyDescent="0.25">
      <c r="A1160" s="136">
        <v>10</v>
      </c>
      <c r="B1160" s="137" t="s">
        <v>114</v>
      </c>
      <c r="C1160" s="137" t="s">
        <v>39</v>
      </c>
      <c r="D1160" s="138" t="s">
        <v>52</v>
      </c>
      <c r="E1160" s="135" t="s">
        <v>115</v>
      </c>
    </row>
    <row r="1161" spans="1:5" ht="30" x14ac:dyDescent="0.25">
      <c r="A1161" s="136">
        <v>11</v>
      </c>
      <c r="B1161" s="137" t="s">
        <v>134</v>
      </c>
      <c r="C1161" s="137" t="s">
        <v>135</v>
      </c>
      <c r="D1161" s="138" t="s">
        <v>969</v>
      </c>
      <c r="E1161" s="139" t="s">
        <v>138</v>
      </c>
    </row>
    <row r="1162" spans="1:5" ht="15.75" x14ac:dyDescent="0.25">
      <c r="A1162" s="136">
        <v>12</v>
      </c>
      <c r="B1162" s="137" t="s">
        <v>145</v>
      </c>
      <c r="C1162" s="137" t="s">
        <v>52</v>
      </c>
      <c r="D1162" s="138" t="s">
        <v>971</v>
      </c>
      <c r="E1162" s="139"/>
    </row>
    <row r="1163" spans="1:5" ht="15.75" x14ac:dyDescent="0.25">
      <c r="A1163" s="136">
        <v>13</v>
      </c>
      <c r="B1163" s="137" t="s">
        <v>159</v>
      </c>
      <c r="C1163" s="137" t="s">
        <v>160</v>
      </c>
      <c r="D1163" s="138" t="s">
        <v>973</v>
      </c>
      <c r="E1163" s="139"/>
    </row>
    <row r="1164" spans="1:5" x14ac:dyDescent="0.25">
      <c r="A1164" s="136"/>
      <c r="B1164" s="136"/>
      <c r="C1164" s="136"/>
      <c r="D1164" s="136"/>
      <c r="E1164" s="136"/>
    </row>
    <row r="1168" spans="1:5" ht="15.75" x14ac:dyDescent="0.25">
      <c r="E1168" s="129" t="s">
        <v>2</v>
      </c>
    </row>
    <row r="1169" spans="1:5" ht="15.75" x14ac:dyDescent="0.25">
      <c r="E1169" s="129" t="s">
        <v>3</v>
      </c>
    </row>
    <row r="1170" spans="1:5" ht="15.75" x14ac:dyDescent="0.25">
      <c r="E1170" s="131" t="s">
        <v>7</v>
      </c>
    </row>
    <row r="1171" spans="1:5" x14ac:dyDescent="0.25">
      <c r="E1171" s="133" t="s">
        <v>646</v>
      </c>
    </row>
    <row r="1172" spans="1:5" x14ac:dyDescent="0.25">
      <c r="A1172" s="191" t="str">
        <f>VLOOKUP(A1175,[1]BD!C:D,2,0)</f>
        <v>Nicolas Romero</v>
      </c>
      <c r="B1172" s="191"/>
      <c r="C1172" s="191"/>
      <c r="D1172" s="191"/>
      <c r="E1172" s="191"/>
    </row>
    <row r="1173" spans="1:5" x14ac:dyDescent="0.25">
      <c r="A1173" s="191"/>
      <c r="B1173" s="191"/>
      <c r="C1173" s="191"/>
      <c r="D1173" s="191"/>
      <c r="E1173" s="191"/>
    </row>
    <row r="1174" spans="1:5" x14ac:dyDescent="0.25">
      <c r="A1174" s="189" t="s">
        <v>21</v>
      </c>
      <c r="B1174" s="189"/>
      <c r="C1174" s="189"/>
      <c r="D1174" s="189"/>
      <c r="E1174" s="142" t="s">
        <v>23</v>
      </c>
    </row>
    <row r="1175" spans="1:5" ht="36" x14ac:dyDescent="0.25">
      <c r="A1175" s="190">
        <v>6044</v>
      </c>
      <c r="B1175" s="190"/>
      <c r="C1175" s="190"/>
      <c r="D1175" s="190"/>
      <c r="E1175" s="135"/>
    </row>
    <row r="1176" spans="1:5" x14ac:dyDescent="0.25">
      <c r="A1176" s="136" t="s">
        <v>647</v>
      </c>
      <c r="B1176" s="136" t="s">
        <v>24</v>
      </c>
      <c r="C1176" s="136" t="s">
        <v>25</v>
      </c>
      <c r="D1176" s="136" t="s">
        <v>648</v>
      </c>
      <c r="E1176" s="136" t="s">
        <v>30</v>
      </c>
    </row>
    <row r="1177" spans="1:5" ht="15.75" x14ac:dyDescent="0.25">
      <c r="A1177" s="136">
        <v>1</v>
      </c>
      <c r="B1177" s="137" t="s">
        <v>37</v>
      </c>
      <c r="C1177" s="137" t="s">
        <v>39</v>
      </c>
      <c r="D1177" s="138" t="s">
        <v>974</v>
      </c>
      <c r="E1177" s="135" t="s">
        <v>41</v>
      </c>
    </row>
    <row r="1178" spans="1:5" ht="15.75" x14ac:dyDescent="0.25">
      <c r="A1178" s="136">
        <v>2</v>
      </c>
      <c r="B1178" s="137" t="s">
        <v>51</v>
      </c>
      <c r="C1178" s="137" t="s">
        <v>52</v>
      </c>
      <c r="D1178" s="138" t="s">
        <v>975</v>
      </c>
      <c r="E1178" s="135"/>
    </row>
    <row r="1179" spans="1:5" ht="15.75" x14ac:dyDescent="0.25">
      <c r="A1179" s="136">
        <v>3</v>
      </c>
      <c r="B1179" s="137" t="s">
        <v>61</v>
      </c>
      <c r="C1179" s="137" t="s">
        <v>62</v>
      </c>
      <c r="D1179" s="138" t="s">
        <v>977</v>
      </c>
      <c r="E1179" s="135" t="s">
        <v>64</v>
      </c>
    </row>
    <row r="1180" spans="1:5" ht="15.75" x14ac:dyDescent="0.25">
      <c r="A1180" s="136">
        <v>4</v>
      </c>
      <c r="B1180" s="137" t="s">
        <v>72</v>
      </c>
      <c r="C1180" s="137" t="s">
        <v>73</v>
      </c>
      <c r="D1180" s="138" t="s">
        <v>978</v>
      </c>
      <c r="E1180" s="135"/>
    </row>
    <row r="1181" spans="1:5" ht="15.75" x14ac:dyDescent="0.25">
      <c r="A1181" s="136">
        <v>5</v>
      </c>
      <c r="B1181" s="137" t="s">
        <v>88</v>
      </c>
      <c r="C1181" s="137" t="s">
        <v>90</v>
      </c>
      <c r="D1181" s="138" t="s">
        <v>1013</v>
      </c>
      <c r="E1181" s="135"/>
    </row>
    <row r="1182" spans="1:5" ht="15.75" x14ac:dyDescent="0.25">
      <c r="A1182" s="136">
        <v>6</v>
      </c>
      <c r="B1182" s="137" t="s">
        <v>96</v>
      </c>
      <c r="C1182" s="137" t="s">
        <v>62</v>
      </c>
      <c r="D1182" s="138" t="s">
        <v>980</v>
      </c>
      <c r="E1182" s="135"/>
    </row>
    <row r="1183" spans="1:5" ht="15.75" x14ac:dyDescent="0.25">
      <c r="A1183" s="136">
        <v>7</v>
      </c>
      <c r="B1183" s="137" t="s">
        <v>98</v>
      </c>
      <c r="C1183" s="137" t="s">
        <v>99</v>
      </c>
      <c r="D1183" s="138" t="s">
        <v>982</v>
      </c>
      <c r="E1183" s="135" t="s">
        <v>101</v>
      </c>
    </row>
    <row r="1184" spans="1:5" ht="15.75" x14ac:dyDescent="0.25">
      <c r="A1184" s="136">
        <v>8</v>
      </c>
      <c r="B1184" s="137" t="s">
        <v>98</v>
      </c>
      <c r="C1184" s="137" t="s">
        <v>99</v>
      </c>
      <c r="D1184" s="138" t="s">
        <v>984</v>
      </c>
      <c r="E1184" s="135" t="s">
        <v>101</v>
      </c>
    </row>
    <row r="1185" spans="1:5" ht="15.75" x14ac:dyDescent="0.25">
      <c r="A1185" s="136">
        <v>9</v>
      </c>
      <c r="B1185" s="137" t="s">
        <v>98</v>
      </c>
      <c r="C1185" s="137" t="s">
        <v>99</v>
      </c>
      <c r="D1185" s="138" t="s">
        <v>986</v>
      </c>
      <c r="E1185" s="135" t="s">
        <v>101</v>
      </c>
    </row>
    <row r="1186" spans="1:5" ht="15.75" x14ac:dyDescent="0.25">
      <c r="A1186" s="136">
        <v>10</v>
      </c>
      <c r="B1186" s="137" t="s">
        <v>114</v>
      </c>
      <c r="C1186" s="137" t="s">
        <v>39</v>
      </c>
      <c r="D1186" s="138" t="s">
        <v>52</v>
      </c>
      <c r="E1186" s="135" t="s">
        <v>115</v>
      </c>
    </row>
    <row r="1187" spans="1:5" ht="30" x14ac:dyDescent="0.25">
      <c r="A1187" s="136">
        <v>11</v>
      </c>
      <c r="B1187" s="137" t="s">
        <v>134</v>
      </c>
      <c r="C1187" s="137" t="s">
        <v>135</v>
      </c>
      <c r="D1187" s="138" t="s">
        <v>988</v>
      </c>
      <c r="E1187" s="139" t="s">
        <v>138</v>
      </c>
    </row>
    <row r="1188" spans="1:5" ht="15.75" x14ac:dyDescent="0.25">
      <c r="A1188" s="136">
        <v>12</v>
      </c>
      <c r="B1188" s="137" t="s">
        <v>145</v>
      </c>
      <c r="C1188" s="137" t="s">
        <v>52</v>
      </c>
      <c r="D1188" s="138" t="s">
        <v>989</v>
      </c>
      <c r="E1188" s="139"/>
    </row>
    <row r="1189" spans="1:5" ht="15.75" x14ac:dyDescent="0.25">
      <c r="A1189" s="136">
        <v>13</v>
      </c>
      <c r="B1189" s="137" t="s">
        <v>159</v>
      </c>
      <c r="C1189" s="137" t="s">
        <v>160</v>
      </c>
      <c r="D1189" s="138" t="s">
        <v>990</v>
      </c>
      <c r="E1189" s="139"/>
    </row>
    <row r="1190" spans="1:5" x14ac:dyDescent="0.25">
      <c r="A1190" s="136"/>
      <c r="B1190" s="136"/>
      <c r="C1190" s="136"/>
      <c r="D1190" s="136"/>
      <c r="E1190" s="136"/>
    </row>
    <row r="1195" spans="1:5" ht="15.75" x14ac:dyDescent="0.25">
      <c r="E1195" s="129" t="s">
        <v>2</v>
      </c>
    </row>
    <row r="1196" spans="1:5" ht="15.75" x14ac:dyDescent="0.25">
      <c r="E1196" s="129" t="s">
        <v>3</v>
      </c>
    </row>
    <row r="1197" spans="1:5" ht="15.75" x14ac:dyDescent="0.25">
      <c r="E1197" s="131" t="s">
        <v>7</v>
      </c>
    </row>
    <row r="1198" spans="1:5" x14ac:dyDescent="0.25">
      <c r="E1198" s="133" t="s">
        <v>646</v>
      </c>
    </row>
    <row r="1199" spans="1:5" x14ac:dyDescent="0.25">
      <c r="A1199" s="191" t="str">
        <f>VLOOKUP(A1202,[1]BD!C:D,2,0)</f>
        <v>Barrio la Cabecera 3a Seccion (Almoloya de Juarez)</v>
      </c>
      <c r="B1199" s="191"/>
      <c r="C1199" s="191"/>
      <c r="D1199" s="191"/>
      <c r="E1199" s="191"/>
    </row>
    <row r="1200" spans="1:5" x14ac:dyDescent="0.25">
      <c r="A1200" s="191"/>
      <c r="B1200" s="191"/>
      <c r="C1200" s="191"/>
      <c r="D1200" s="191"/>
      <c r="E1200" s="191"/>
    </row>
    <row r="1201" spans="1:5" x14ac:dyDescent="0.25">
      <c r="A1201" s="189" t="s">
        <v>21</v>
      </c>
      <c r="B1201" s="189"/>
      <c r="C1201" s="189"/>
      <c r="D1201" s="189"/>
      <c r="E1201" s="142" t="s">
        <v>23</v>
      </c>
    </row>
    <row r="1202" spans="1:5" ht="36" x14ac:dyDescent="0.25">
      <c r="A1202" s="190">
        <v>6045</v>
      </c>
      <c r="B1202" s="190"/>
      <c r="C1202" s="190"/>
      <c r="D1202" s="190"/>
      <c r="E1202" s="135"/>
    </row>
    <row r="1203" spans="1:5" x14ac:dyDescent="0.25">
      <c r="A1203" s="136" t="s">
        <v>647</v>
      </c>
      <c r="B1203" s="136" t="s">
        <v>24</v>
      </c>
      <c r="C1203" s="136" t="s">
        <v>25</v>
      </c>
      <c r="D1203" s="136" t="s">
        <v>648</v>
      </c>
      <c r="E1203" s="136" t="s">
        <v>30</v>
      </c>
    </row>
    <row r="1204" spans="1:5" ht="15.75" x14ac:dyDescent="0.25">
      <c r="A1204" s="136">
        <v>1</v>
      </c>
      <c r="B1204" s="137" t="s">
        <v>37</v>
      </c>
      <c r="C1204" s="137" t="s">
        <v>39</v>
      </c>
      <c r="D1204" s="138" t="s">
        <v>992</v>
      </c>
      <c r="E1204" s="135" t="s">
        <v>41</v>
      </c>
    </row>
    <row r="1205" spans="1:5" ht="15.75" x14ac:dyDescent="0.25">
      <c r="A1205" s="136">
        <v>2</v>
      </c>
      <c r="B1205" s="137" t="s">
        <v>51</v>
      </c>
      <c r="C1205" s="137" t="s">
        <v>52</v>
      </c>
      <c r="D1205" s="138" t="s">
        <v>993</v>
      </c>
      <c r="E1205" s="135"/>
    </row>
    <row r="1206" spans="1:5" ht="15.75" x14ac:dyDescent="0.25">
      <c r="A1206" s="136">
        <v>3</v>
      </c>
      <c r="B1206" s="137" t="s">
        <v>61</v>
      </c>
      <c r="C1206" s="137" t="s">
        <v>62</v>
      </c>
      <c r="D1206" s="138" t="s">
        <v>995</v>
      </c>
      <c r="E1206" s="135" t="s">
        <v>64</v>
      </c>
    </row>
    <row r="1207" spans="1:5" ht="15.75" x14ac:dyDescent="0.25">
      <c r="A1207" s="136">
        <v>4</v>
      </c>
      <c r="B1207" s="137" t="s">
        <v>72</v>
      </c>
      <c r="C1207" s="137" t="s">
        <v>73</v>
      </c>
      <c r="D1207" s="138" t="s">
        <v>996</v>
      </c>
      <c r="E1207" s="135"/>
    </row>
    <row r="1208" spans="1:5" ht="15.75" x14ac:dyDescent="0.25">
      <c r="A1208" s="136">
        <v>5</v>
      </c>
      <c r="B1208" s="137" t="s">
        <v>88</v>
      </c>
      <c r="C1208" s="137" t="s">
        <v>90</v>
      </c>
      <c r="D1208" s="138" t="s">
        <v>1014</v>
      </c>
      <c r="E1208" s="135"/>
    </row>
    <row r="1209" spans="1:5" ht="15.75" x14ac:dyDescent="0.25">
      <c r="A1209" s="136">
        <v>6</v>
      </c>
      <c r="B1209" s="137" t="s">
        <v>96</v>
      </c>
      <c r="C1209" s="137" t="s">
        <v>62</v>
      </c>
      <c r="D1209" s="138" t="s">
        <v>998</v>
      </c>
      <c r="E1209" s="135"/>
    </row>
    <row r="1210" spans="1:5" ht="15.75" x14ac:dyDescent="0.25">
      <c r="A1210" s="136">
        <v>7</v>
      </c>
      <c r="B1210" s="137" t="s">
        <v>98</v>
      </c>
      <c r="C1210" s="137" t="s">
        <v>99</v>
      </c>
      <c r="D1210" s="138" t="s">
        <v>1000</v>
      </c>
      <c r="E1210" s="135" t="s">
        <v>101</v>
      </c>
    </row>
    <row r="1211" spans="1:5" ht="15.75" x14ac:dyDescent="0.25">
      <c r="A1211" s="136">
        <v>8</v>
      </c>
      <c r="B1211" s="137" t="s">
        <v>98</v>
      </c>
      <c r="C1211" s="137" t="s">
        <v>99</v>
      </c>
      <c r="D1211" s="138" t="s">
        <v>1002</v>
      </c>
      <c r="E1211" s="135" t="s">
        <v>101</v>
      </c>
    </row>
    <row r="1212" spans="1:5" ht="15.75" x14ac:dyDescent="0.25">
      <c r="A1212" s="136">
        <v>9</v>
      </c>
      <c r="B1212" s="137" t="s">
        <v>98</v>
      </c>
      <c r="C1212" s="137" t="s">
        <v>99</v>
      </c>
      <c r="D1212" s="138" t="s">
        <v>1004</v>
      </c>
      <c r="E1212" s="135" t="s">
        <v>101</v>
      </c>
    </row>
    <row r="1213" spans="1:5" ht="15.75" x14ac:dyDescent="0.25">
      <c r="A1213" s="136">
        <v>10</v>
      </c>
      <c r="B1213" s="137" t="s">
        <v>114</v>
      </c>
      <c r="C1213" s="137" t="s">
        <v>39</v>
      </c>
      <c r="D1213" s="138" t="s">
        <v>52</v>
      </c>
      <c r="E1213" s="135" t="s">
        <v>115</v>
      </c>
    </row>
    <row r="1214" spans="1:5" ht="30" x14ac:dyDescent="0.25">
      <c r="A1214" s="136">
        <v>11</v>
      </c>
      <c r="B1214" s="137" t="s">
        <v>134</v>
      </c>
      <c r="C1214" s="137" t="s">
        <v>135</v>
      </c>
      <c r="D1214" s="138" t="s">
        <v>1005</v>
      </c>
      <c r="E1214" s="139" t="s">
        <v>138</v>
      </c>
    </row>
    <row r="1215" spans="1:5" ht="15.75" x14ac:dyDescent="0.25">
      <c r="A1215" s="136">
        <v>12</v>
      </c>
      <c r="B1215" s="137" t="s">
        <v>145</v>
      </c>
      <c r="C1215" s="137" t="s">
        <v>52</v>
      </c>
      <c r="D1215" s="138" t="s">
        <v>1007</v>
      </c>
      <c r="E1215" s="139"/>
    </row>
    <row r="1216" spans="1:5" ht="15.75" x14ac:dyDescent="0.25">
      <c r="A1216" s="136">
        <v>13</v>
      </c>
      <c r="B1216" s="137" t="s">
        <v>159</v>
      </c>
      <c r="C1216" s="137" t="s">
        <v>160</v>
      </c>
      <c r="D1216" s="138" t="s">
        <v>1009</v>
      </c>
      <c r="E1216" s="139"/>
    </row>
    <row r="1217" spans="1:5" x14ac:dyDescent="0.25">
      <c r="A1217" s="136"/>
      <c r="B1217" s="136"/>
      <c r="C1217" s="136"/>
      <c r="D1217" s="136"/>
      <c r="E1217" s="136"/>
    </row>
  </sheetData>
  <mergeCells count="135">
    <mergeCell ref="A38:D38"/>
    <mergeCell ref="A6:E7"/>
    <mergeCell ref="A8:D8"/>
    <mergeCell ref="A9:D9"/>
    <mergeCell ref="A35:E36"/>
    <mergeCell ref="A37:D37"/>
    <mergeCell ref="A145:D145"/>
    <mergeCell ref="A60:E61"/>
    <mergeCell ref="A62:D62"/>
    <mergeCell ref="A63:D63"/>
    <mergeCell ref="A91:E92"/>
    <mergeCell ref="A93:D93"/>
    <mergeCell ref="A94:D94"/>
    <mergeCell ref="A116:E117"/>
    <mergeCell ref="A118:D118"/>
    <mergeCell ref="A119:D119"/>
    <mergeCell ref="A142:E143"/>
    <mergeCell ref="A144:D144"/>
    <mergeCell ref="A265:D265"/>
    <mergeCell ref="A170:E171"/>
    <mergeCell ref="A172:D172"/>
    <mergeCell ref="A173:D173"/>
    <mergeCell ref="A200:E201"/>
    <mergeCell ref="A202:D202"/>
    <mergeCell ref="A203:D203"/>
    <mergeCell ref="A231:E232"/>
    <mergeCell ref="A233:D233"/>
    <mergeCell ref="A234:D234"/>
    <mergeCell ref="A262:E263"/>
    <mergeCell ref="A264:D264"/>
    <mergeCell ref="A371:D371"/>
    <mergeCell ref="A288:E289"/>
    <mergeCell ref="A290:D290"/>
    <mergeCell ref="A291:D291"/>
    <mergeCell ref="A314:E315"/>
    <mergeCell ref="A316:D316"/>
    <mergeCell ref="A317:D317"/>
    <mergeCell ref="A340:E341"/>
    <mergeCell ref="A342:D342"/>
    <mergeCell ref="A343:D343"/>
    <mergeCell ref="A368:E369"/>
    <mergeCell ref="A370:D370"/>
    <mergeCell ref="A479:D479"/>
    <mergeCell ref="A393:E394"/>
    <mergeCell ref="A395:D395"/>
    <mergeCell ref="A396:D396"/>
    <mergeCell ref="A420:E421"/>
    <mergeCell ref="A422:D422"/>
    <mergeCell ref="A423:D423"/>
    <mergeCell ref="A448:E449"/>
    <mergeCell ref="A450:D450"/>
    <mergeCell ref="A451:D451"/>
    <mergeCell ref="A476:E477"/>
    <mergeCell ref="A478:D478"/>
    <mergeCell ref="A587:D587"/>
    <mergeCell ref="A502:E503"/>
    <mergeCell ref="A504:D504"/>
    <mergeCell ref="A505:D505"/>
    <mergeCell ref="A530:E531"/>
    <mergeCell ref="A532:D532"/>
    <mergeCell ref="A533:D533"/>
    <mergeCell ref="A557:E558"/>
    <mergeCell ref="A559:D559"/>
    <mergeCell ref="A560:D560"/>
    <mergeCell ref="A584:E585"/>
    <mergeCell ref="A586:D586"/>
    <mergeCell ref="A695:D695"/>
    <mergeCell ref="A610:E611"/>
    <mergeCell ref="A612:D612"/>
    <mergeCell ref="A613:D613"/>
    <mergeCell ref="A638:E639"/>
    <mergeCell ref="A640:D640"/>
    <mergeCell ref="A641:D641"/>
    <mergeCell ref="A665:E666"/>
    <mergeCell ref="A667:D667"/>
    <mergeCell ref="A668:D668"/>
    <mergeCell ref="A692:E693"/>
    <mergeCell ref="A694:D694"/>
    <mergeCell ref="A826:E827"/>
    <mergeCell ref="A828:D828"/>
    <mergeCell ref="A829:D829"/>
    <mergeCell ref="A857:E858"/>
    <mergeCell ref="A859:D859"/>
    <mergeCell ref="A804:D804"/>
    <mergeCell ref="A719:E720"/>
    <mergeCell ref="A721:D721"/>
    <mergeCell ref="A722:D722"/>
    <mergeCell ref="A746:E747"/>
    <mergeCell ref="A748:D748"/>
    <mergeCell ref="A749:D749"/>
    <mergeCell ref="A772:E773"/>
    <mergeCell ref="A774:D774"/>
    <mergeCell ref="A775:D775"/>
    <mergeCell ref="A801:E802"/>
    <mergeCell ref="A803:D803"/>
    <mergeCell ref="A910:D910"/>
    <mergeCell ref="A911:D911"/>
    <mergeCell ref="A934:E935"/>
    <mergeCell ref="A936:D936"/>
    <mergeCell ref="A937:D937"/>
    <mergeCell ref="A860:D860"/>
    <mergeCell ref="A882:E883"/>
    <mergeCell ref="A884:D884"/>
    <mergeCell ref="A885:D885"/>
    <mergeCell ref="A908:E909"/>
    <mergeCell ref="A991:D991"/>
    <mergeCell ref="A1015:E1016"/>
    <mergeCell ref="A1017:D1017"/>
    <mergeCell ref="A1018:D1018"/>
    <mergeCell ref="A1041:E1042"/>
    <mergeCell ref="A961:E962"/>
    <mergeCell ref="A963:D963"/>
    <mergeCell ref="A964:D964"/>
    <mergeCell ref="A988:E989"/>
    <mergeCell ref="A990:D990"/>
    <mergeCell ref="A1093:E1094"/>
    <mergeCell ref="A1095:D1095"/>
    <mergeCell ref="A1096:D1096"/>
    <mergeCell ref="A1119:E1120"/>
    <mergeCell ref="A1121:D1121"/>
    <mergeCell ref="A1043:D1043"/>
    <mergeCell ref="A1044:D1044"/>
    <mergeCell ref="A1067:E1068"/>
    <mergeCell ref="A1069:D1069"/>
    <mergeCell ref="A1070:D1070"/>
    <mergeCell ref="A1174:D1174"/>
    <mergeCell ref="A1175:D1175"/>
    <mergeCell ref="A1199:E1200"/>
    <mergeCell ref="A1201:D1201"/>
    <mergeCell ref="A1202:D1202"/>
    <mergeCell ref="A1122:D1122"/>
    <mergeCell ref="A1146:E1147"/>
    <mergeCell ref="A1148:D1148"/>
    <mergeCell ref="A1149:D1149"/>
    <mergeCell ref="A1172:E1173"/>
  </mergeCells>
  <pageMargins left="0.31496062992125984" right="0.31496062992125984" top="0.35433070866141736" bottom="0.35433070866141736" header="0.31496062992125984" footer="0.31496062992125984"/>
  <pageSetup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showGridLines="0" topLeftCell="A6" zoomScale="115" zoomScaleNormal="115" zoomScaleSheetLayoutView="100" workbookViewId="0">
      <selection activeCell="F7" sqref="F7:F8"/>
    </sheetView>
  </sheetViews>
  <sheetFormatPr baseColWidth="10" defaultRowHeight="12.75" x14ac:dyDescent="0.25"/>
  <cols>
    <col min="1" max="1" width="7.5703125" style="24" customWidth="1"/>
    <col min="2" max="2" width="7.5703125" style="25" customWidth="1"/>
    <col min="3" max="3" width="7.5703125" style="26" customWidth="1"/>
    <col min="4" max="4" width="50.42578125" style="27" customWidth="1"/>
    <col min="5" max="5" width="10.5703125" style="25" customWidth="1"/>
    <col min="6" max="6" width="13.42578125" style="25" customWidth="1"/>
    <col min="7" max="216" width="11.42578125" style="28"/>
    <col min="217" max="217" width="5.28515625" style="28" customWidth="1"/>
    <col min="218" max="218" width="33.140625" style="28" customWidth="1"/>
    <col min="219" max="220" width="4" style="28" bestFit="1" customWidth="1"/>
    <col min="221" max="221" width="4.28515625" style="28" bestFit="1" customWidth="1"/>
    <col min="222" max="222" width="4.140625" style="28" bestFit="1" customWidth="1"/>
    <col min="223" max="223" width="4.42578125" style="28" bestFit="1" customWidth="1"/>
    <col min="224" max="225" width="4" style="28" bestFit="1" customWidth="1"/>
    <col min="226" max="226" width="4.42578125" style="28" bestFit="1" customWidth="1"/>
    <col min="227" max="228" width="4" style="28" bestFit="1" customWidth="1"/>
    <col min="229" max="229" width="4.28515625" style="28" bestFit="1" customWidth="1"/>
    <col min="230" max="230" width="4.140625" style="28" customWidth="1"/>
    <col min="231" max="231" width="14.42578125" style="28" customWidth="1"/>
    <col min="232" max="472" width="11.42578125" style="28"/>
    <col min="473" max="473" width="5.28515625" style="28" customWidth="1"/>
    <col min="474" max="474" width="33.140625" style="28" customWidth="1"/>
    <col min="475" max="476" width="4" style="28" bestFit="1" customWidth="1"/>
    <col min="477" max="477" width="4.28515625" style="28" bestFit="1" customWidth="1"/>
    <col min="478" max="478" width="4.140625" style="28" bestFit="1" customWidth="1"/>
    <col min="479" max="479" width="4.42578125" style="28" bestFit="1" customWidth="1"/>
    <col min="480" max="481" width="4" style="28" bestFit="1" customWidth="1"/>
    <col min="482" max="482" width="4.42578125" style="28" bestFit="1" customWidth="1"/>
    <col min="483" max="484" width="4" style="28" bestFit="1" customWidth="1"/>
    <col min="485" max="485" width="4.28515625" style="28" bestFit="1" customWidth="1"/>
    <col min="486" max="486" width="4.140625" style="28" customWidth="1"/>
    <col min="487" max="487" width="14.42578125" style="28" customWidth="1"/>
    <col min="488" max="728" width="11.42578125" style="28"/>
    <col min="729" max="729" width="5.28515625" style="28" customWidth="1"/>
    <col min="730" max="730" width="33.140625" style="28" customWidth="1"/>
    <col min="731" max="732" width="4" style="28" bestFit="1" customWidth="1"/>
    <col min="733" max="733" width="4.28515625" style="28" bestFit="1" customWidth="1"/>
    <col min="734" max="734" width="4.140625" style="28" bestFit="1" customWidth="1"/>
    <col min="735" max="735" width="4.42578125" style="28" bestFit="1" customWidth="1"/>
    <col min="736" max="737" width="4" style="28" bestFit="1" customWidth="1"/>
    <col min="738" max="738" width="4.42578125" style="28" bestFit="1" customWidth="1"/>
    <col min="739" max="740" width="4" style="28" bestFit="1" customWidth="1"/>
    <col min="741" max="741" width="4.28515625" style="28" bestFit="1" customWidth="1"/>
    <col min="742" max="742" width="4.140625" style="28" customWidth="1"/>
    <col min="743" max="743" width="14.42578125" style="28" customWidth="1"/>
    <col min="744" max="984" width="11.42578125" style="28"/>
    <col min="985" max="985" width="5.28515625" style="28" customWidth="1"/>
    <col min="986" max="986" width="33.140625" style="28" customWidth="1"/>
    <col min="987" max="988" width="4" style="28" bestFit="1" customWidth="1"/>
    <col min="989" max="989" width="4.28515625" style="28" bestFit="1" customWidth="1"/>
    <col min="990" max="990" width="4.140625" style="28" bestFit="1" customWidth="1"/>
    <col min="991" max="991" width="4.42578125" style="28" bestFit="1" customWidth="1"/>
    <col min="992" max="993" width="4" style="28" bestFit="1" customWidth="1"/>
    <col min="994" max="994" width="4.42578125" style="28" bestFit="1" customWidth="1"/>
    <col min="995" max="996" width="4" style="28" bestFit="1" customWidth="1"/>
    <col min="997" max="997" width="4.28515625" style="28" bestFit="1" customWidth="1"/>
    <col min="998" max="998" width="4.140625" style="28" customWidth="1"/>
    <col min="999" max="999" width="14.42578125" style="28" customWidth="1"/>
    <col min="1000" max="1240" width="11.42578125" style="28"/>
    <col min="1241" max="1241" width="5.28515625" style="28" customWidth="1"/>
    <col min="1242" max="1242" width="33.140625" style="28" customWidth="1"/>
    <col min="1243" max="1244" width="4" style="28" bestFit="1" customWidth="1"/>
    <col min="1245" max="1245" width="4.28515625" style="28" bestFit="1" customWidth="1"/>
    <col min="1246" max="1246" width="4.140625" style="28" bestFit="1" customWidth="1"/>
    <col min="1247" max="1247" width="4.42578125" style="28" bestFit="1" customWidth="1"/>
    <col min="1248" max="1249" width="4" style="28" bestFit="1" customWidth="1"/>
    <col min="1250" max="1250" width="4.42578125" style="28" bestFit="1" customWidth="1"/>
    <col min="1251" max="1252" width="4" style="28" bestFit="1" customWidth="1"/>
    <col min="1253" max="1253" width="4.28515625" style="28" bestFit="1" customWidth="1"/>
    <col min="1254" max="1254" width="4.140625" style="28" customWidth="1"/>
    <col min="1255" max="1255" width="14.42578125" style="28" customWidth="1"/>
    <col min="1256" max="1496" width="11.42578125" style="28"/>
    <col min="1497" max="1497" width="5.28515625" style="28" customWidth="1"/>
    <col min="1498" max="1498" width="33.140625" style="28" customWidth="1"/>
    <col min="1499" max="1500" width="4" style="28" bestFit="1" customWidth="1"/>
    <col min="1501" max="1501" width="4.28515625" style="28" bestFit="1" customWidth="1"/>
    <col min="1502" max="1502" width="4.140625" style="28" bestFit="1" customWidth="1"/>
    <col min="1503" max="1503" width="4.42578125" style="28" bestFit="1" customWidth="1"/>
    <col min="1504" max="1505" width="4" style="28" bestFit="1" customWidth="1"/>
    <col min="1506" max="1506" width="4.42578125" style="28" bestFit="1" customWidth="1"/>
    <col min="1507" max="1508" width="4" style="28" bestFit="1" customWidth="1"/>
    <col min="1509" max="1509" width="4.28515625" style="28" bestFit="1" customWidth="1"/>
    <col min="1510" max="1510" width="4.140625" style="28" customWidth="1"/>
    <col min="1511" max="1511" width="14.42578125" style="28" customWidth="1"/>
    <col min="1512" max="1752" width="11.42578125" style="28"/>
    <col min="1753" max="1753" width="5.28515625" style="28" customWidth="1"/>
    <col min="1754" max="1754" width="33.140625" style="28" customWidth="1"/>
    <col min="1755" max="1756" width="4" style="28" bestFit="1" customWidth="1"/>
    <col min="1757" max="1757" width="4.28515625" style="28" bestFit="1" customWidth="1"/>
    <col min="1758" max="1758" width="4.140625" style="28" bestFit="1" customWidth="1"/>
    <col min="1759" max="1759" width="4.42578125" style="28" bestFit="1" customWidth="1"/>
    <col min="1760" max="1761" width="4" style="28" bestFit="1" customWidth="1"/>
    <col min="1762" max="1762" width="4.42578125" style="28" bestFit="1" customWidth="1"/>
    <col min="1763" max="1764" width="4" style="28" bestFit="1" customWidth="1"/>
    <col min="1765" max="1765" width="4.28515625" style="28" bestFit="1" customWidth="1"/>
    <col min="1766" max="1766" width="4.140625" style="28" customWidth="1"/>
    <col min="1767" max="1767" width="14.42578125" style="28" customWidth="1"/>
    <col min="1768" max="2008" width="11.42578125" style="28"/>
    <col min="2009" max="2009" width="5.28515625" style="28" customWidth="1"/>
    <col min="2010" max="2010" width="33.140625" style="28" customWidth="1"/>
    <col min="2011" max="2012" width="4" style="28" bestFit="1" customWidth="1"/>
    <col min="2013" max="2013" width="4.28515625" style="28" bestFit="1" customWidth="1"/>
    <col min="2014" max="2014" width="4.140625" style="28" bestFit="1" customWidth="1"/>
    <col min="2015" max="2015" width="4.42578125" style="28" bestFit="1" customWidth="1"/>
    <col min="2016" max="2017" width="4" style="28" bestFit="1" customWidth="1"/>
    <col min="2018" max="2018" width="4.42578125" style="28" bestFit="1" customWidth="1"/>
    <col min="2019" max="2020" width="4" style="28" bestFit="1" customWidth="1"/>
    <col min="2021" max="2021" width="4.28515625" style="28" bestFit="1" customWidth="1"/>
    <col min="2022" max="2022" width="4.140625" style="28" customWidth="1"/>
    <col min="2023" max="2023" width="14.42578125" style="28" customWidth="1"/>
    <col min="2024" max="2264" width="11.42578125" style="28"/>
    <col min="2265" max="2265" width="5.28515625" style="28" customWidth="1"/>
    <col min="2266" max="2266" width="33.140625" style="28" customWidth="1"/>
    <col min="2267" max="2268" width="4" style="28" bestFit="1" customWidth="1"/>
    <col min="2269" max="2269" width="4.28515625" style="28" bestFit="1" customWidth="1"/>
    <col min="2270" max="2270" width="4.140625" style="28" bestFit="1" customWidth="1"/>
    <col min="2271" max="2271" width="4.42578125" style="28" bestFit="1" customWidth="1"/>
    <col min="2272" max="2273" width="4" style="28" bestFit="1" customWidth="1"/>
    <col min="2274" max="2274" width="4.42578125" style="28" bestFit="1" customWidth="1"/>
    <col min="2275" max="2276" width="4" style="28" bestFit="1" customWidth="1"/>
    <col min="2277" max="2277" width="4.28515625" style="28" bestFit="1" customWidth="1"/>
    <col min="2278" max="2278" width="4.140625" style="28" customWidth="1"/>
    <col min="2279" max="2279" width="14.42578125" style="28" customWidth="1"/>
    <col min="2280" max="2520" width="11.42578125" style="28"/>
    <col min="2521" max="2521" width="5.28515625" style="28" customWidth="1"/>
    <col min="2522" max="2522" width="33.140625" style="28" customWidth="1"/>
    <col min="2523" max="2524" width="4" style="28" bestFit="1" customWidth="1"/>
    <col min="2525" max="2525" width="4.28515625" style="28" bestFit="1" customWidth="1"/>
    <col min="2526" max="2526" width="4.140625" style="28" bestFit="1" customWidth="1"/>
    <col min="2527" max="2527" width="4.42578125" style="28" bestFit="1" customWidth="1"/>
    <col min="2528" max="2529" width="4" style="28" bestFit="1" customWidth="1"/>
    <col min="2530" max="2530" width="4.42578125" style="28" bestFit="1" customWidth="1"/>
    <col min="2531" max="2532" width="4" style="28" bestFit="1" customWidth="1"/>
    <col min="2533" max="2533" width="4.28515625" style="28" bestFit="1" customWidth="1"/>
    <col min="2534" max="2534" width="4.140625" style="28" customWidth="1"/>
    <col min="2535" max="2535" width="14.42578125" style="28" customWidth="1"/>
    <col min="2536" max="2776" width="11.42578125" style="28"/>
    <col min="2777" max="2777" width="5.28515625" style="28" customWidth="1"/>
    <col min="2778" max="2778" width="33.140625" style="28" customWidth="1"/>
    <col min="2779" max="2780" width="4" style="28" bestFit="1" customWidth="1"/>
    <col min="2781" max="2781" width="4.28515625" style="28" bestFit="1" customWidth="1"/>
    <col min="2782" max="2782" width="4.140625" style="28" bestFit="1" customWidth="1"/>
    <col min="2783" max="2783" width="4.42578125" style="28" bestFit="1" customWidth="1"/>
    <col min="2784" max="2785" width="4" style="28" bestFit="1" customWidth="1"/>
    <col min="2786" max="2786" width="4.42578125" style="28" bestFit="1" customWidth="1"/>
    <col min="2787" max="2788" width="4" style="28" bestFit="1" customWidth="1"/>
    <col min="2789" max="2789" width="4.28515625" style="28" bestFit="1" customWidth="1"/>
    <col min="2790" max="2790" width="4.140625" style="28" customWidth="1"/>
    <col min="2791" max="2791" width="14.42578125" style="28" customWidth="1"/>
    <col min="2792" max="3032" width="11.42578125" style="28"/>
    <col min="3033" max="3033" width="5.28515625" style="28" customWidth="1"/>
    <col min="3034" max="3034" width="33.140625" style="28" customWidth="1"/>
    <col min="3035" max="3036" width="4" style="28" bestFit="1" customWidth="1"/>
    <col min="3037" max="3037" width="4.28515625" style="28" bestFit="1" customWidth="1"/>
    <col min="3038" max="3038" width="4.140625" style="28" bestFit="1" customWidth="1"/>
    <col min="3039" max="3039" width="4.42578125" style="28" bestFit="1" customWidth="1"/>
    <col min="3040" max="3041" width="4" style="28" bestFit="1" customWidth="1"/>
    <col min="3042" max="3042" width="4.42578125" style="28" bestFit="1" customWidth="1"/>
    <col min="3043" max="3044" width="4" style="28" bestFit="1" customWidth="1"/>
    <col min="3045" max="3045" width="4.28515625" style="28" bestFit="1" customWidth="1"/>
    <col min="3046" max="3046" width="4.140625" style="28" customWidth="1"/>
    <col min="3047" max="3047" width="14.42578125" style="28" customWidth="1"/>
    <col min="3048" max="3288" width="11.42578125" style="28"/>
    <col min="3289" max="3289" width="5.28515625" style="28" customWidth="1"/>
    <col min="3290" max="3290" width="33.140625" style="28" customWidth="1"/>
    <col min="3291" max="3292" width="4" style="28" bestFit="1" customWidth="1"/>
    <col min="3293" max="3293" width="4.28515625" style="28" bestFit="1" customWidth="1"/>
    <col min="3294" max="3294" width="4.140625" style="28" bestFit="1" customWidth="1"/>
    <col min="3295" max="3295" width="4.42578125" style="28" bestFit="1" customWidth="1"/>
    <col min="3296" max="3297" width="4" style="28" bestFit="1" customWidth="1"/>
    <col min="3298" max="3298" width="4.42578125" style="28" bestFit="1" customWidth="1"/>
    <col min="3299" max="3300" width="4" style="28" bestFit="1" customWidth="1"/>
    <col min="3301" max="3301" width="4.28515625" style="28" bestFit="1" customWidth="1"/>
    <col min="3302" max="3302" width="4.140625" style="28" customWidth="1"/>
    <col min="3303" max="3303" width="14.42578125" style="28" customWidth="1"/>
    <col min="3304" max="3544" width="11.42578125" style="28"/>
    <col min="3545" max="3545" width="5.28515625" style="28" customWidth="1"/>
    <col min="3546" max="3546" width="33.140625" style="28" customWidth="1"/>
    <col min="3547" max="3548" width="4" style="28" bestFit="1" customWidth="1"/>
    <col min="3549" max="3549" width="4.28515625" style="28" bestFit="1" customWidth="1"/>
    <col min="3550" max="3550" width="4.140625" style="28" bestFit="1" customWidth="1"/>
    <col min="3551" max="3551" width="4.42578125" style="28" bestFit="1" customWidth="1"/>
    <col min="3552" max="3553" width="4" style="28" bestFit="1" customWidth="1"/>
    <col min="3554" max="3554" width="4.42578125" style="28" bestFit="1" customWidth="1"/>
    <col min="3555" max="3556" width="4" style="28" bestFit="1" customWidth="1"/>
    <col min="3557" max="3557" width="4.28515625" style="28" bestFit="1" customWidth="1"/>
    <col min="3558" max="3558" width="4.140625" style="28" customWidth="1"/>
    <col min="3559" max="3559" width="14.42578125" style="28" customWidth="1"/>
    <col min="3560" max="3800" width="11.42578125" style="28"/>
    <col min="3801" max="3801" width="5.28515625" style="28" customWidth="1"/>
    <col min="3802" max="3802" width="33.140625" style="28" customWidth="1"/>
    <col min="3803" max="3804" width="4" style="28" bestFit="1" customWidth="1"/>
    <col min="3805" max="3805" width="4.28515625" style="28" bestFit="1" customWidth="1"/>
    <col min="3806" max="3806" width="4.140625" style="28" bestFit="1" customWidth="1"/>
    <col min="3807" max="3807" width="4.42578125" style="28" bestFit="1" customWidth="1"/>
    <col min="3808" max="3809" width="4" style="28" bestFit="1" customWidth="1"/>
    <col min="3810" max="3810" width="4.42578125" style="28" bestFit="1" customWidth="1"/>
    <col min="3811" max="3812" width="4" style="28" bestFit="1" customWidth="1"/>
    <col min="3813" max="3813" width="4.28515625" style="28" bestFit="1" customWidth="1"/>
    <col min="3814" max="3814" width="4.140625" style="28" customWidth="1"/>
    <col min="3815" max="3815" width="14.42578125" style="28" customWidth="1"/>
    <col min="3816" max="4056" width="11.42578125" style="28"/>
    <col min="4057" max="4057" width="5.28515625" style="28" customWidth="1"/>
    <col min="4058" max="4058" width="33.140625" style="28" customWidth="1"/>
    <col min="4059" max="4060" width="4" style="28" bestFit="1" customWidth="1"/>
    <col min="4061" max="4061" width="4.28515625" style="28" bestFit="1" customWidth="1"/>
    <col min="4062" max="4062" width="4.140625" style="28" bestFit="1" customWidth="1"/>
    <col min="4063" max="4063" width="4.42578125" style="28" bestFit="1" customWidth="1"/>
    <col min="4064" max="4065" width="4" style="28" bestFit="1" customWidth="1"/>
    <col min="4066" max="4066" width="4.42578125" style="28" bestFit="1" customWidth="1"/>
    <col min="4067" max="4068" width="4" style="28" bestFit="1" customWidth="1"/>
    <col min="4069" max="4069" width="4.28515625" style="28" bestFit="1" customWidth="1"/>
    <col min="4070" max="4070" width="4.140625" style="28" customWidth="1"/>
    <col min="4071" max="4071" width="14.42578125" style="28" customWidth="1"/>
    <col min="4072" max="4312" width="11.42578125" style="28"/>
    <col min="4313" max="4313" width="5.28515625" style="28" customWidth="1"/>
    <col min="4314" max="4314" width="33.140625" style="28" customWidth="1"/>
    <col min="4315" max="4316" width="4" style="28" bestFit="1" customWidth="1"/>
    <col min="4317" max="4317" width="4.28515625" style="28" bestFit="1" customWidth="1"/>
    <col min="4318" max="4318" width="4.140625" style="28" bestFit="1" customWidth="1"/>
    <col min="4319" max="4319" width="4.42578125" style="28" bestFit="1" customWidth="1"/>
    <col min="4320" max="4321" width="4" style="28" bestFit="1" customWidth="1"/>
    <col min="4322" max="4322" width="4.42578125" style="28" bestFit="1" customWidth="1"/>
    <col min="4323" max="4324" width="4" style="28" bestFit="1" customWidth="1"/>
    <col min="4325" max="4325" width="4.28515625" style="28" bestFit="1" customWidth="1"/>
    <col min="4326" max="4326" width="4.140625" style="28" customWidth="1"/>
    <col min="4327" max="4327" width="14.42578125" style="28" customWidth="1"/>
    <col min="4328" max="4568" width="11.42578125" style="28"/>
    <col min="4569" max="4569" width="5.28515625" style="28" customWidth="1"/>
    <col min="4570" max="4570" width="33.140625" style="28" customWidth="1"/>
    <col min="4571" max="4572" width="4" style="28" bestFit="1" customWidth="1"/>
    <col min="4573" max="4573" width="4.28515625" style="28" bestFit="1" customWidth="1"/>
    <col min="4574" max="4574" width="4.140625" style="28" bestFit="1" customWidth="1"/>
    <col min="4575" max="4575" width="4.42578125" style="28" bestFit="1" customWidth="1"/>
    <col min="4576" max="4577" width="4" style="28" bestFit="1" customWidth="1"/>
    <col min="4578" max="4578" width="4.42578125" style="28" bestFit="1" customWidth="1"/>
    <col min="4579" max="4580" width="4" style="28" bestFit="1" customWidth="1"/>
    <col min="4581" max="4581" width="4.28515625" style="28" bestFit="1" customWidth="1"/>
    <col min="4582" max="4582" width="4.140625" style="28" customWidth="1"/>
    <col min="4583" max="4583" width="14.42578125" style="28" customWidth="1"/>
    <col min="4584" max="4824" width="11.42578125" style="28"/>
    <col min="4825" max="4825" width="5.28515625" style="28" customWidth="1"/>
    <col min="4826" max="4826" width="33.140625" style="28" customWidth="1"/>
    <col min="4827" max="4828" width="4" style="28" bestFit="1" customWidth="1"/>
    <col min="4829" max="4829" width="4.28515625" style="28" bestFit="1" customWidth="1"/>
    <col min="4830" max="4830" width="4.140625" style="28" bestFit="1" customWidth="1"/>
    <col min="4831" max="4831" width="4.42578125" style="28" bestFit="1" customWidth="1"/>
    <col min="4832" max="4833" width="4" style="28" bestFit="1" customWidth="1"/>
    <col min="4834" max="4834" width="4.42578125" style="28" bestFit="1" customWidth="1"/>
    <col min="4835" max="4836" width="4" style="28" bestFit="1" customWidth="1"/>
    <col min="4837" max="4837" width="4.28515625" style="28" bestFit="1" customWidth="1"/>
    <col min="4838" max="4838" width="4.140625" style="28" customWidth="1"/>
    <col min="4839" max="4839" width="14.42578125" style="28" customWidth="1"/>
    <col min="4840" max="5080" width="11.42578125" style="28"/>
    <col min="5081" max="5081" width="5.28515625" style="28" customWidth="1"/>
    <col min="5082" max="5082" width="33.140625" style="28" customWidth="1"/>
    <col min="5083" max="5084" width="4" style="28" bestFit="1" customWidth="1"/>
    <col min="5085" max="5085" width="4.28515625" style="28" bestFit="1" customWidth="1"/>
    <col min="5086" max="5086" width="4.140625" style="28" bestFit="1" customWidth="1"/>
    <col min="5087" max="5087" width="4.42578125" style="28" bestFit="1" customWidth="1"/>
    <col min="5088" max="5089" width="4" style="28" bestFit="1" customWidth="1"/>
    <col min="5090" max="5090" width="4.42578125" style="28" bestFit="1" customWidth="1"/>
    <col min="5091" max="5092" width="4" style="28" bestFit="1" customWidth="1"/>
    <col min="5093" max="5093" width="4.28515625" style="28" bestFit="1" customWidth="1"/>
    <col min="5094" max="5094" width="4.140625" style="28" customWidth="1"/>
    <col min="5095" max="5095" width="14.42578125" style="28" customWidth="1"/>
    <col min="5096" max="5336" width="11.42578125" style="28"/>
    <col min="5337" max="5337" width="5.28515625" style="28" customWidth="1"/>
    <col min="5338" max="5338" width="33.140625" style="28" customWidth="1"/>
    <col min="5339" max="5340" width="4" style="28" bestFit="1" customWidth="1"/>
    <col min="5341" max="5341" width="4.28515625" style="28" bestFit="1" customWidth="1"/>
    <col min="5342" max="5342" width="4.140625" style="28" bestFit="1" customWidth="1"/>
    <col min="5343" max="5343" width="4.42578125" style="28" bestFit="1" customWidth="1"/>
    <col min="5344" max="5345" width="4" style="28" bestFit="1" customWidth="1"/>
    <col min="5346" max="5346" width="4.42578125" style="28" bestFit="1" customWidth="1"/>
    <col min="5347" max="5348" width="4" style="28" bestFit="1" customWidth="1"/>
    <col min="5349" max="5349" width="4.28515625" style="28" bestFit="1" customWidth="1"/>
    <col min="5350" max="5350" width="4.140625" style="28" customWidth="1"/>
    <col min="5351" max="5351" width="14.42578125" style="28" customWidth="1"/>
    <col min="5352" max="5592" width="11.42578125" style="28"/>
    <col min="5593" max="5593" width="5.28515625" style="28" customWidth="1"/>
    <col min="5594" max="5594" width="33.140625" style="28" customWidth="1"/>
    <col min="5595" max="5596" width="4" style="28" bestFit="1" customWidth="1"/>
    <col min="5597" max="5597" width="4.28515625" style="28" bestFit="1" customWidth="1"/>
    <col min="5598" max="5598" width="4.140625" style="28" bestFit="1" customWidth="1"/>
    <col min="5599" max="5599" width="4.42578125" style="28" bestFit="1" customWidth="1"/>
    <col min="5600" max="5601" width="4" style="28" bestFit="1" customWidth="1"/>
    <col min="5602" max="5602" width="4.42578125" style="28" bestFit="1" customWidth="1"/>
    <col min="5603" max="5604" width="4" style="28" bestFit="1" customWidth="1"/>
    <col min="5605" max="5605" width="4.28515625" style="28" bestFit="1" customWidth="1"/>
    <col min="5606" max="5606" width="4.140625" style="28" customWidth="1"/>
    <col min="5607" max="5607" width="14.42578125" style="28" customWidth="1"/>
    <col min="5608" max="5848" width="11.42578125" style="28"/>
    <col min="5849" max="5849" width="5.28515625" style="28" customWidth="1"/>
    <col min="5850" max="5850" width="33.140625" style="28" customWidth="1"/>
    <col min="5851" max="5852" width="4" style="28" bestFit="1" customWidth="1"/>
    <col min="5853" max="5853" width="4.28515625" style="28" bestFit="1" customWidth="1"/>
    <col min="5854" max="5854" width="4.140625" style="28" bestFit="1" customWidth="1"/>
    <col min="5855" max="5855" width="4.42578125" style="28" bestFit="1" customWidth="1"/>
    <col min="5856" max="5857" width="4" style="28" bestFit="1" customWidth="1"/>
    <col min="5858" max="5858" width="4.42578125" style="28" bestFit="1" customWidth="1"/>
    <col min="5859" max="5860" width="4" style="28" bestFit="1" customWidth="1"/>
    <col min="5861" max="5861" width="4.28515625" style="28" bestFit="1" customWidth="1"/>
    <col min="5862" max="5862" width="4.140625" style="28" customWidth="1"/>
    <col min="5863" max="5863" width="14.42578125" style="28" customWidth="1"/>
    <col min="5864" max="6104" width="11.42578125" style="28"/>
    <col min="6105" max="6105" width="5.28515625" style="28" customWidth="1"/>
    <col min="6106" max="6106" width="33.140625" style="28" customWidth="1"/>
    <col min="6107" max="6108" width="4" style="28" bestFit="1" customWidth="1"/>
    <col min="6109" max="6109" width="4.28515625" style="28" bestFit="1" customWidth="1"/>
    <col min="6110" max="6110" width="4.140625" style="28" bestFit="1" customWidth="1"/>
    <col min="6111" max="6111" width="4.42578125" style="28" bestFit="1" customWidth="1"/>
    <col min="6112" max="6113" width="4" style="28" bestFit="1" customWidth="1"/>
    <col min="6114" max="6114" width="4.42578125" style="28" bestFit="1" customWidth="1"/>
    <col min="6115" max="6116" width="4" style="28" bestFit="1" customWidth="1"/>
    <col min="6117" max="6117" width="4.28515625" style="28" bestFit="1" customWidth="1"/>
    <col min="6118" max="6118" width="4.140625" style="28" customWidth="1"/>
    <col min="6119" max="6119" width="14.42578125" style="28" customWidth="1"/>
    <col min="6120" max="6360" width="11.42578125" style="28"/>
    <col min="6361" max="6361" width="5.28515625" style="28" customWidth="1"/>
    <col min="6362" max="6362" width="33.140625" style="28" customWidth="1"/>
    <col min="6363" max="6364" width="4" style="28" bestFit="1" customWidth="1"/>
    <col min="6365" max="6365" width="4.28515625" style="28" bestFit="1" customWidth="1"/>
    <col min="6366" max="6366" width="4.140625" style="28" bestFit="1" customWidth="1"/>
    <col min="6367" max="6367" width="4.42578125" style="28" bestFit="1" customWidth="1"/>
    <col min="6368" max="6369" width="4" style="28" bestFit="1" customWidth="1"/>
    <col min="6370" max="6370" width="4.42578125" style="28" bestFit="1" customWidth="1"/>
    <col min="6371" max="6372" width="4" style="28" bestFit="1" customWidth="1"/>
    <col min="6373" max="6373" width="4.28515625" style="28" bestFit="1" customWidth="1"/>
    <col min="6374" max="6374" width="4.140625" style="28" customWidth="1"/>
    <col min="6375" max="6375" width="14.42578125" style="28" customWidth="1"/>
    <col min="6376" max="6616" width="11.42578125" style="28"/>
    <col min="6617" max="6617" width="5.28515625" style="28" customWidth="1"/>
    <col min="6618" max="6618" width="33.140625" style="28" customWidth="1"/>
    <col min="6619" max="6620" width="4" style="28" bestFit="1" customWidth="1"/>
    <col min="6621" max="6621" width="4.28515625" style="28" bestFit="1" customWidth="1"/>
    <col min="6622" max="6622" width="4.140625" style="28" bestFit="1" customWidth="1"/>
    <col min="6623" max="6623" width="4.42578125" style="28" bestFit="1" customWidth="1"/>
    <col min="6624" max="6625" width="4" style="28" bestFit="1" customWidth="1"/>
    <col min="6626" max="6626" width="4.42578125" style="28" bestFit="1" customWidth="1"/>
    <col min="6627" max="6628" width="4" style="28" bestFit="1" customWidth="1"/>
    <col min="6629" max="6629" width="4.28515625" style="28" bestFit="1" customWidth="1"/>
    <col min="6630" max="6630" width="4.140625" style="28" customWidth="1"/>
    <col min="6631" max="6631" width="14.42578125" style="28" customWidth="1"/>
    <col min="6632" max="6872" width="11.42578125" style="28"/>
    <col min="6873" max="6873" width="5.28515625" style="28" customWidth="1"/>
    <col min="6874" max="6874" width="33.140625" style="28" customWidth="1"/>
    <col min="6875" max="6876" width="4" style="28" bestFit="1" customWidth="1"/>
    <col min="6877" max="6877" width="4.28515625" style="28" bestFit="1" customWidth="1"/>
    <col min="6878" max="6878" width="4.140625" style="28" bestFit="1" customWidth="1"/>
    <col min="6879" max="6879" width="4.42578125" style="28" bestFit="1" customWidth="1"/>
    <col min="6880" max="6881" width="4" style="28" bestFit="1" customWidth="1"/>
    <col min="6882" max="6882" width="4.42578125" style="28" bestFit="1" customWidth="1"/>
    <col min="6883" max="6884" width="4" style="28" bestFit="1" customWidth="1"/>
    <col min="6885" max="6885" width="4.28515625" style="28" bestFit="1" customWidth="1"/>
    <col min="6886" max="6886" width="4.140625" style="28" customWidth="1"/>
    <col min="6887" max="6887" width="14.42578125" style="28" customWidth="1"/>
    <col min="6888" max="7128" width="11.42578125" style="28"/>
    <col min="7129" max="7129" width="5.28515625" style="28" customWidth="1"/>
    <col min="7130" max="7130" width="33.140625" style="28" customWidth="1"/>
    <col min="7131" max="7132" width="4" style="28" bestFit="1" customWidth="1"/>
    <col min="7133" max="7133" width="4.28515625" style="28" bestFit="1" customWidth="1"/>
    <col min="7134" max="7134" width="4.140625" style="28" bestFit="1" customWidth="1"/>
    <col min="7135" max="7135" width="4.42578125" style="28" bestFit="1" customWidth="1"/>
    <col min="7136" max="7137" width="4" style="28" bestFit="1" customWidth="1"/>
    <col min="7138" max="7138" width="4.42578125" style="28" bestFit="1" customWidth="1"/>
    <col min="7139" max="7140" width="4" style="28" bestFit="1" customWidth="1"/>
    <col min="7141" max="7141" width="4.28515625" style="28" bestFit="1" customWidth="1"/>
    <col min="7142" max="7142" width="4.140625" style="28" customWidth="1"/>
    <col min="7143" max="7143" width="14.42578125" style="28" customWidth="1"/>
    <col min="7144" max="7384" width="11.42578125" style="28"/>
    <col min="7385" max="7385" width="5.28515625" style="28" customWidth="1"/>
    <col min="7386" max="7386" width="33.140625" style="28" customWidth="1"/>
    <col min="7387" max="7388" width="4" style="28" bestFit="1" customWidth="1"/>
    <col min="7389" max="7389" width="4.28515625" style="28" bestFit="1" customWidth="1"/>
    <col min="7390" max="7390" width="4.140625" style="28" bestFit="1" customWidth="1"/>
    <col min="7391" max="7391" width="4.42578125" style="28" bestFit="1" customWidth="1"/>
    <col min="7392" max="7393" width="4" style="28" bestFit="1" customWidth="1"/>
    <col min="7394" max="7394" width="4.42578125" style="28" bestFit="1" customWidth="1"/>
    <col min="7395" max="7396" width="4" style="28" bestFit="1" customWidth="1"/>
    <col min="7397" max="7397" width="4.28515625" style="28" bestFit="1" customWidth="1"/>
    <col min="7398" max="7398" width="4.140625" style="28" customWidth="1"/>
    <col min="7399" max="7399" width="14.42578125" style="28" customWidth="1"/>
    <col min="7400" max="7640" width="11.42578125" style="28"/>
    <col min="7641" max="7641" width="5.28515625" style="28" customWidth="1"/>
    <col min="7642" max="7642" width="33.140625" style="28" customWidth="1"/>
    <col min="7643" max="7644" width="4" style="28" bestFit="1" customWidth="1"/>
    <col min="7645" max="7645" width="4.28515625" style="28" bestFit="1" customWidth="1"/>
    <col min="7646" max="7646" width="4.140625" style="28" bestFit="1" customWidth="1"/>
    <col min="7647" max="7647" width="4.42578125" style="28" bestFit="1" customWidth="1"/>
    <col min="7648" max="7649" width="4" style="28" bestFit="1" customWidth="1"/>
    <col min="7650" max="7650" width="4.42578125" style="28" bestFit="1" customWidth="1"/>
    <col min="7651" max="7652" width="4" style="28" bestFit="1" customWidth="1"/>
    <col min="7653" max="7653" width="4.28515625" style="28" bestFit="1" customWidth="1"/>
    <col min="7654" max="7654" width="4.140625" style="28" customWidth="1"/>
    <col min="7655" max="7655" width="14.42578125" style="28" customWidth="1"/>
    <col min="7656" max="7896" width="11.42578125" style="28"/>
    <col min="7897" max="7897" width="5.28515625" style="28" customWidth="1"/>
    <col min="7898" max="7898" width="33.140625" style="28" customWidth="1"/>
    <col min="7899" max="7900" width="4" style="28" bestFit="1" customWidth="1"/>
    <col min="7901" max="7901" width="4.28515625" style="28" bestFit="1" customWidth="1"/>
    <col min="7902" max="7902" width="4.140625" style="28" bestFit="1" customWidth="1"/>
    <col min="7903" max="7903" width="4.42578125" style="28" bestFit="1" customWidth="1"/>
    <col min="7904" max="7905" width="4" style="28" bestFit="1" customWidth="1"/>
    <col min="7906" max="7906" width="4.42578125" style="28" bestFit="1" customWidth="1"/>
    <col min="7907" max="7908" width="4" style="28" bestFit="1" customWidth="1"/>
    <col min="7909" max="7909" width="4.28515625" style="28" bestFit="1" customWidth="1"/>
    <col min="7910" max="7910" width="4.140625" style="28" customWidth="1"/>
    <col min="7911" max="7911" width="14.42578125" style="28" customWidth="1"/>
    <col min="7912" max="8152" width="11.42578125" style="28"/>
    <col min="8153" max="8153" width="5.28515625" style="28" customWidth="1"/>
    <col min="8154" max="8154" width="33.140625" style="28" customWidth="1"/>
    <col min="8155" max="8156" width="4" style="28" bestFit="1" customWidth="1"/>
    <col min="8157" max="8157" width="4.28515625" style="28" bestFit="1" customWidth="1"/>
    <col min="8158" max="8158" width="4.140625" style="28" bestFit="1" customWidth="1"/>
    <col min="8159" max="8159" width="4.42578125" style="28" bestFit="1" customWidth="1"/>
    <col min="8160" max="8161" width="4" style="28" bestFit="1" customWidth="1"/>
    <col min="8162" max="8162" width="4.42578125" style="28" bestFit="1" customWidth="1"/>
    <col min="8163" max="8164" width="4" style="28" bestFit="1" customWidth="1"/>
    <col min="8165" max="8165" width="4.28515625" style="28" bestFit="1" customWidth="1"/>
    <col min="8166" max="8166" width="4.140625" style="28" customWidth="1"/>
    <col min="8167" max="8167" width="14.42578125" style="28" customWidth="1"/>
    <col min="8168" max="8408" width="11.42578125" style="28"/>
    <col min="8409" max="8409" width="5.28515625" style="28" customWidth="1"/>
    <col min="8410" max="8410" width="33.140625" style="28" customWidth="1"/>
    <col min="8411" max="8412" width="4" style="28" bestFit="1" customWidth="1"/>
    <col min="8413" max="8413" width="4.28515625" style="28" bestFit="1" customWidth="1"/>
    <col min="8414" max="8414" width="4.140625" style="28" bestFit="1" customWidth="1"/>
    <col min="8415" max="8415" width="4.42578125" style="28" bestFit="1" customWidth="1"/>
    <col min="8416" max="8417" width="4" style="28" bestFit="1" customWidth="1"/>
    <col min="8418" max="8418" width="4.42578125" style="28" bestFit="1" customWidth="1"/>
    <col min="8419" max="8420" width="4" style="28" bestFit="1" customWidth="1"/>
    <col min="8421" max="8421" width="4.28515625" style="28" bestFit="1" customWidth="1"/>
    <col min="8422" max="8422" width="4.140625" style="28" customWidth="1"/>
    <col min="8423" max="8423" width="14.42578125" style="28" customWidth="1"/>
    <col min="8424" max="8664" width="11.42578125" style="28"/>
    <col min="8665" max="8665" width="5.28515625" style="28" customWidth="1"/>
    <col min="8666" max="8666" width="33.140625" style="28" customWidth="1"/>
    <col min="8667" max="8668" width="4" style="28" bestFit="1" customWidth="1"/>
    <col min="8669" max="8669" width="4.28515625" style="28" bestFit="1" customWidth="1"/>
    <col min="8670" max="8670" width="4.140625" style="28" bestFit="1" customWidth="1"/>
    <col min="8671" max="8671" width="4.42578125" style="28" bestFit="1" customWidth="1"/>
    <col min="8672" max="8673" width="4" style="28" bestFit="1" customWidth="1"/>
    <col min="8674" max="8674" width="4.42578125" style="28" bestFit="1" customWidth="1"/>
    <col min="8675" max="8676" width="4" style="28" bestFit="1" customWidth="1"/>
    <col min="8677" max="8677" width="4.28515625" style="28" bestFit="1" customWidth="1"/>
    <col min="8678" max="8678" width="4.140625" style="28" customWidth="1"/>
    <col min="8679" max="8679" width="14.42578125" style="28" customWidth="1"/>
    <col min="8680" max="8920" width="11.42578125" style="28"/>
    <col min="8921" max="8921" width="5.28515625" style="28" customWidth="1"/>
    <col min="8922" max="8922" width="33.140625" style="28" customWidth="1"/>
    <col min="8923" max="8924" width="4" style="28" bestFit="1" customWidth="1"/>
    <col min="8925" max="8925" width="4.28515625" style="28" bestFit="1" customWidth="1"/>
    <col min="8926" max="8926" width="4.140625" style="28" bestFit="1" customWidth="1"/>
    <col min="8927" max="8927" width="4.42578125" style="28" bestFit="1" customWidth="1"/>
    <col min="8928" max="8929" width="4" style="28" bestFit="1" customWidth="1"/>
    <col min="8930" max="8930" width="4.42578125" style="28" bestFit="1" customWidth="1"/>
    <col min="8931" max="8932" width="4" style="28" bestFit="1" customWidth="1"/>
    <col min="8933" max="8933" width="4.28515625" style="28" bestFit="1" customWidth="1"/>
    <col min="8934" max="8934" width="4.140625" style="28" customWidth="1"/>
    <col min="8935" max="8935" width="14.42578125" style="28" customWidth="1"/>
    <col min="8936" max="9176" width="11.42578125" style="28"/>
    <col min="9177" max="9177" width="5.28515625" style="28" customWidth="1"/>
    <col min="9178" max="9178" width="33.140625" style="28" customWidth="1"/>
    <col min="9179" max="9180" width="4" style="28" bestFit="1" customWidth="1"/>
    <col min="9181" max="9181" width="4.28515625" style="28" bestFit="1" customWidth="1"/>
    <col min="9182" max="9182" width="4.140625" style="28" bestFit="1" customWidth="1"/>
    <col min="9183" max="9183" width="4.42578125" style="28" bestFit="1" customWidth="1"/>
    <col min="9184" max="9185" width="4" style="28" bestFit="1" customWidth="1"/>
    <col min="9186" max="9186" width="4.42578125" style="28" bestFit="1" customWidth="1"/>
    <col min="9187" max="9188" width="4" style="28" bestFit="1" customWidth="1"/>
    <col min="9189" max="9189" width="4.28515625" style="28" bestFit="1" customWidth="1"/>
    <col min="9190" max="9190" width="4.140625" style="28" customWidth="1"/>
    <col min="9191" max="9191" width="14.42578125" style="28" customWidth="1"/>
    <col min="9192" max="9432" width="11.42578125" style="28"/>
    <col min="9433" max="9433" width="5.28515625" style="28" customWidth="1"/>
    <col min="9434" max="9434" width="33.140625" style="28" customWidth="1"/>
    <col min="9435" max="9436" width="4" style="28" bestFit="1" customWidth="1"/>
    <col min="9437" max="9437" width="4.28515625" style="28" bestFit="1" customWidth="1"/>
    <col min="9438" max="9438" width="4.140625" style="28" bestFit="1" customWidth="1"/>
    <col min="9439" max="9439" width="4.42578125" style="28" bestFit="1" customWidth="1"/>
    <col min="9440" max="9441" width="4" style="28" bestFit="1" customWidth="1"/>
    <col min="9442" max="9442" width="4.42578125" style="28" bestFit="1" customWidth="1"/>
    <col min="9443" max="9444" width="4" style="28" bestFit="1" customWidth="1"/>
    <col min="9445" max="9445" width="4.28515625" style="28" bestFit="1" customWidth="1"/>
    <col min="9446" max="9446" width="4.140625" style="28" customWidth="1"/>
    <col min="9447" max="9447" width="14.42578125" style="28" customWidth="1"/>
    <col min="9448" max="9688" width="11.42578125" style="28"/>
    <col min="9689" max="9689" width="5.28515625" style="28" customWidth="1"/>
    <col min="9690" max="9690" width="33.140625" style="28" customWidth="1"/>
    <col min="9691" max="9692" width="4" style="28" bestFit="1" customWidth="1"/>
    <col min="9693" max="9693" width="4.28515625" style="28" bestFit="1" customWidth="1"/>
    <col min="9694" max="9694" width="4.140625" style="28" bestFit="1" customWidth="1"/>
    <col min="9695" max="9695" width="4.42578125" style="28" bestFit="1" customWidth="1"/>
    <col min="9696" max="9697" width="4" style="28" bestFit="1" customWidth="1"/>
    <col min="9698" max="9698" width="4.42578125" style="28" bestFit="1" customWidth="1"/>
    <col min="9699" max="9700" width="4" style="28" bestFit="1" customWidth="1"/>
    <col min="9701" max="9701" width="4.28515625" style="28" bestFit="1" customWidth="1"/>
    <col min="9702" max="9702" width="4.140625" style="28" customWidth="1"/>
    <col min="9703" max="9703" width="14.42578125" style="28" customWidth="1"/>
    <col min="9704" max="9944" width="11.42578125" style="28"/>
    <col min="9945" max="9945" width="5.28515625" style="28" customWidth="1"/>
    <col min="9946" max="9946" width="33.140625" style="28" customWidth="1"/>
    <col min="9947" max="9948" width="4" style="28" bestFit="1" customWidth="1"/>
    <col min="9949" max="9949" width="4.28515625" style="28" bestFit="1" customWidth="1"/>
    <col min="9950" max="9950" width="4.140625" style="28" bestFit="1" customWidth="1"/>
    <col min="9951" max="9951" width="4.42578125" style="28" bestFit="1" customWidth="1"/>
    <col min="9952" max="9953" width="4" style="28" bestFit="1" customWidth="1"/>
    <col min="9954" max="9954" width="4.42578125" style="28" bestFit="1" customWidth="1"/>
    <col min="9955" max="9956" width="4" style="28" bestFit="1" customWidth="1"/>
    <col min="9957" max="9957" width="4.28515625" style="28" bestFit="1" customWidth="1"/>
    <col min="9958" max="9958" width="4.140625" style="28" customWidth="1"/>
    <col min="9959" max="9959" width="14.42578125" style="28" customWidth="1"/>
    <col min="9960" max="10200" width="11.42578125" style="28"/>
    <col min="10201" max="10201" width="5.28515625" style="28" customWidth="1"/>
    <col min="10202" max="10202" width="33.140625" style="28" customWidth="1"/>
    <col min="10203" max="10204" width="4" style="28" bestFit="1" customWidth="1"/>
    <col min="10205" max="10205" width="4.28515625" style="28" bestFit="1" customWidth="1"/>
    <col min="10206" max="10206" width="4.140625" style="28" bestFit="1" customWidth="1"/>
    <col min="10207" max="10207" width="4.42578125" style="28" bestFit="1" customWidth="1"/>
    <col min="10208" max="10209" width="4" style="28" bestFit="1" customWidth="1"/>
    <col min="10210" max="10210" width="4.42578125" style="28" bestFit="1" customWidth="1"/>
    <col min="10211" max="10212" width="4" style="28" bestFit="1" customWidth="1"/>
    <col min="10213" max="10213" width="4.28515625" style="28" bestFit="1" customWidth="1"/>
    <col min="10214" max="10214" width="4.140625" style="28" customWidth="1"/>
    <col min="10215" max="10215" width="14.42578125" style="28" customWidth="1"/>
    <col min="10216" max="10456" width="11.42578125" style="28"/>
    <col min="10457" max="10457" width="5.28515625" style="28" customWidth="1"/>
    <col min="10458" max="10458" width="33.140625" style="28" customWidth="1"/>
    <col min="10459" max="10460" width="4" style="28" bestFit="1" customWidth="1"/>
    <col min="10461" max="10461" width="4.28515625" style="28" bestFit="1" customWidth="1"/>
    <col min="10462" max="10462" width="4.140625" style="28" bestFit="1" customWidth="1"/>
    <col min="10463" max="10463" width="4.42578125" style="28" bestFit="1" customWidth="1"/>
    <col min="10464" max="10465" width="4" style="28" bestFit="1" customWidth="1"/>
    <col min="10466" max="10466" width="4.42578125" style="28" bestFit="1" customWidth="1"/>
    <col min="10467" max="10468" width="4" style="28" bestFit="1" customWidth="1"/>
    <col min="10469" max="10469" width="4.28515625" style="28" bestFit="1" customWidth="1"/>
    <col min="10470" max="10470" width="4.140625" style="28" customWidth="1"/>
    <col min="10471" max="10471" width="14.42578125" style="28" customWidth="1"/>
    <col min="10472" max="10712" width="11.42578125" style="28"/>
    <col min="10713" max="10713" width="5.28515625" style="28" customWidth="1"/>
    <col min="10714" max="10714" width="33.140625" style="28" customWidth="1"/>
    <col min="10715" max="10716" width="4" style="28" bestFit="1" customWidth="1"/>
    <col min="10717" max="10717" width="4.28515625" style="28" bestFit="1" customWidth="1"/>
    <col min="10718" max="10718" width="4.140625" style="28" bestFit="1" customWidth="1"/>
    <col min="10719" max="10719" width="4.42578125" style="28" bestFit="1" customWidth="1"/>
    <col min="10720" max="10721" width="4" style="28" bestFit="1" customWidth="1"/>
    <col min="10722" max="10722" width="4.42578125" style="28" bestFit="1" customWidth="1"/>
    <col min="10723" max="10724" width="4" style="28" bestFit="1" customWidth="1"/>
    <col min="10725" max="10725" width="4.28515625" style="28" bestFit="1" customWidth="1"/>
    <col min="10726" max="10726" width="4.140625" style="28" customWidth="1"/>
    <col min="10727" max="10727" width="14.42578125" style="28" customWidth="1"/>
    <col min="10728" max="10968" width="11.42578125" style="28"/>
    <col min="10969" max="10969" width="5.28515625" style="28" customWidth="1"/>
    <col min="10970" max="10970" width="33.140625" style="28" customWidth="1"/>
    <col min="10971" max="10972" width="4" style="28" bestFit="1" customWidth="1"/>
    <col min="10973" max="10973" width="4.28515625" style="28" bestFit="1" customWidth="1"/>
    <col min="10974" max="10974" width="4.140625" style="28" bestFit="1" customWidth="1"/>
    <col min="10975" max="10975" width="4.42578125" style="28" bestFit="1" customWidth="1"/>
    <col min="10976" max="10977" width="4" style="28" bestFit="1" customWidth="1"/>
    <col min="10978" max="10978" width="4.42578125" style="28" bestFit="1" customWidth="1"/>
    <col min="10979" max="10980" width="4" style="28" bestFit="1" customWidth="1"/>
    <col min="10981" max="10981" width="4.28515625" style="28" bestFit="1" customWidth="1"/>
    <col min="10982" max="10982" width="4.140625" style="28" customWidth="1"/>
    <col min="10983" max="10983" width="14.42578125" style="28" customWidth="1"/>
    <col min="10984" max="11224" width="11.42578125" style="28"/>
    <col min="11225" max="11225" width="5.28515625" style="28" customWidth="1"/>
    <col min="11226" max="11226" width="33.140625" style="28" customWidth="1"/>
    <col min="11227" max="11228" width="4" style="28" bestFit="1" customWidth="1"/>
    <col min="11229" max="11229" width="4.28515625" style="28" bestFit="1" customWidth="1"/>
    <col min="11230" max="11230" width="4.140625" style="28" bestFit="1" customWidth="1"/>
    <col min="11231" max="11231" width="4.42578125" style="28" bestFit="1" customWidth="1"/>
    <col min="11232" max="11233" width="4" style="28" bestFit="1" customWidth="1"/>
    <col min="11234" max="11234" width="4.42578125" style="28" bestFit="1" customWidth="1"/>
    <col min="11235" max="11236" width="4" style="28" bestFit="1" customWidth="1"/>
    <col min="11237" max="11237" width="4.28515625" style="28" bestFit="1" customWidth="1"/>
    <col min="11238" max="11238" width="4.140625" style="28" customWidth="1"/>
    <col min="11239" max="11239" width="14.42578125" style="28" customWidth="1"/>
    <col min="11240" max="11480" width="11.42578125" style="28"/>
    <col min="11481" max="11481" width="5.28515625" style="28" customWidth="1"/>
    <col min="11482" max="11482" width="33.140625" style="28" customWidth="1"/>
    <col min="11483" max="11484" width="4" style="28" bestFit="1" customWidth="1"/>
    <col min="11485" max="11485" width="4.28515625" style="28" bestFit="1" customWidth="1"/>
    <col min="11486" max="11486" width="4.140625" style="28" bestFit="1" customWidth="1"/>
    <col min="11487" max="11487" width="4.42578125" style="28" bestFit="1" customWidth="1"/>
    <col min="11488" max="11489" width="4" style="28" bestFit="1" customWidth="1"/>
    <col min="11490" max="11490" width="4.42578125" style="28" bestFit="1" customWidth="1"/>
    <col min="11491" max="11492" width="4" style="28" bestFit="1" customWidth="1"/>
    <col min="11493" max="11493" width="4.28515625" style="28" bestFit="1" customWidth="1"/>
    <col min="11494" max="11494" width="4.140625" style="28" customWidth="1"/>
    <col min="11495" max="11495" width="14.42578125" style="28" customWidth="1"/>
    <col min="11496" max="11736" width="11.42578125" style="28"/>
    <col min="11737" max="11737" width="5.28515625" style="28" customWidth="1"/>
    <col min="11738" max="11738" width="33.140625" style="28" customWidth="1"/>
    <col min="11739" max="11740" width="4" style="28" bestFit="1" customWidth="1"/>
    <col min="11741" max="11741" width="4.28515625" style="28" bestFit="1" customWidth="1"/>
    <col min="11742" max="11742" width="4.140625" style="28" bestFit="1" customWidth="1"/>
    <col min="11743" max="11743" width="4.42578125" style="28" bestFit="1" customWidth="1"/>
    <col min="11744" max="11745" width="4" style="28" bestFit="1" customWidth="1"/>
    <col min="11746" max="11746" width="4.42578125" style="28" bestFit="1" customWidth="1"/>
    <col min="11747" max="11748" width="4" style="28" bestFit="1" customWidth="1"/>
    <col min="11749" max="11749" width="4.28515625" style="28" bestFit="1" customWidth="1"/>
    <col min="11750" max="11750" width="4.140625" style="28" customWidth="1"/>
    <col min="11751" max="11751" width="14.42578125" style="28" customWidth="1"/>
    <col min="11752" max="11992" width="11.42578125" style="28"/>
    <col min="11993" max="11993" width="5.28515625" style="28" customWidth="1"/>
    <col min="11994" max="11994" width="33.140625" style="28" customWidth="1"/>
    <col min="11995" max="11996" width="4" style="28" bestFit="1" customWidth="1"/>
    <col min="11997" max="11997" width="4.28515625" style="28" bestFit="1" customWidth="1"/>
    <col min="11998" max="11998" width="4.140625" style="28" bestFit="1" customWidth="1"/>
    <col min="11999" max="11999" width="4.42578125" style="28" bestFit="1" customWidth="1"/>
    <col min="12000" max="12001" width="4" style="28" bestFit="1" customWidth="1"/>
    <col min="12002" max="12002" width="4.42578125" style="28" bestFit="1" customWidth="1"/>
    <col min="12003" max="12004" width="4" style="28" bestFit="1" customWidth="1"/>
    <col min="12005" max="12005" width="4.28515625" style="28" bestFit="1" customWidth="1"/>
    <col min="12006" max="12006" width="4.140625" style="28" customWidth="1"/>
    <col min="12007" max="12007" width="14.42578125" style="28" customWidth="1"/>
    <col min="12008" max="12248" width="11.42578125" style="28"/>
    <col min="12249" max="12249" width="5.28515625" style="28" customWidth="1"/>
    <col min="12250" max="12250" width="33.140625" style="28" customWidth="1"/>
    <col min="12251" max="12252" width="4" style="28" bestFit="1" customWidth="1"/>
    <col min="12253" max="12253" width="4.28515625" style="28" bestFit="1" customWidth="1"/>
    <col min="12254" max="12254" width="4.140625" style="28" bestFit="1" customWidth="1"/>
    <col min="12255" max="12255" width="4.42578125" style="28" bestFit="1" customWidth="1"/>
    <col min="12256" max="12257" width="4" style="28" bestFit="1" customWidth="1"/>
    <col min="12258" max="12258" width="4.42578125" style="28" bestFit="1" customWidth="1"/>
    <col min="12259" max="12260" width="4" style="28" bestFit="1" customWidth="1"/>
    <col min="12261" max="12261" width="4.28515625" style="28" bestFit="1" customWidth="1"/>
    <col min="12262" max="12262" width="4.140625" style="28" customWidth="1"/>
    <col min="12263" max="12263" width="14.42578125" style="28" customWidth="1"/>
    <col min="12264" max="12504" width="11.42578125" style="28"/>
    <col min="12505" max="12505" width="5.28515625" style="28" customWidth="1"/>
    <col min="12506" max="12506" width="33.140625" style="28" customWidth="1"/>
    <col min="12507" max="12508" width="4" style="28" bestFit="1" customWidth="1"/>
    <col min="12509" max="12509" width="4.28515625" style="28" bestFit="1" customWidth="1"/>
    <col min="12510" max="12510" width="4.140625" style="28" bestFit="1" customWidth="1"/>
    <col min="12511" max="12511" width="4.42578125" style="28" bestFit="1" customWidth="1"/>
    <col min="12512" max="12513" width="4" style="28" bestFit="1" customWidth="1"/>
    <col min="12514" max="12514" width="4.42578125" style="28" bestFit="1" customWidth="1"/>
    <col min="12515" max="12516" width="4" style="28" bestFit="1" customWidth="1"/>
    <col min="12517" max="12517" width="4.28515625" style="28" bestFit="1" customWidth="1"/>
    <col min="12518" max="12518" width="4.140625" style="28" customWidth="1"/>
    <col min="12519" max="12519" width="14.42578125" style="28" customWidth="1"/>
    <col min="12520" max="12760" width="11.42578125" style="28"/>
    <col min="12761" max="12761" width="5.28515625" style="28" customWidth="1"/>
    <col min="12762" max="12762" width="33.140625" style="28" customWidth="1"/>
    <col min="12763" max="12764" width="4" style="28" bestFit="1" customWidth="1"/>
    <col min="12765" max="12765" width="4.28515625" style="28" bestFit="1" customWidth="1"/>
    <col min="12766" max="12766" width="4.140625" style="28" bestFit="1" customWidth="1"/>
    <col min="12767" max="12767" width="4.42578125" style="28" bestFit="1" customWidth="1"/>
    <col min="12768" max="12769" width="4" style="28" bestFit="1" customWidth="1"/>
    <col min="12770" max="12770" width="4.42578125" style="28" bestFit="1" customWidth="1"/>
    <col min="12771" max="12772" width="4" style="28" bestFit="1" customWidth="1"/>
    <col min="12773" max="12773" width="4.28515625" style="28" bestFit="1" customWidth="1"/>
    <col min="12774" max="12774" width="4.140625" style="28" customWidth="1"/>
    <col min="12775" max="12775" width="14.42578125" style="28" customWidth="1"/>
    <col min="12776" max="13016" width="11.42578125" style="28"/>
    <col min="13017" max="13017" width="5.28515625" style="28" customWidth="1"/>
    <col min="13018" max="13018" width="33.140625" style="28" customWidth="1"/>
    <col min="13019" max="13020" width="4" style="28" bestFit="1" customWidth="1"/>
    <col min="13021" max="13021" width="4.28515625" style="28" bestFit="1" customWidth="1"/>
    <col min="13022" max="13022" width="4.140625" style="28" bestFit="1" customWidth="1"/>
    <col min="13023" max="13023" width="4.42578125" style="28" bestFit="1" customWidth="1"/>
    <col min="13024" max="13025" width="4" style="28" bestFit="1" customWidth="1"/>
    <col min="13026" max="13026" width="4.42578125" style="28" bestFit="1" customWidth="1"/>
    <col min="13027" max="13028" width="4" style="28" bestFit="1" customWidth="1"/>
    <col min="13029" max="13029" width="4.28515625" style="28" bestFit="1" customWidth="1"/>
    <col min="13030" max="13030" width="4.140625" style="28" customWidth="1"/>
    <col min="13031" max="13031" width="14.42578125" style="28" customWidth="1"/>
    <col min="13032" max="13272" width="11.42578125" style="28"/>
    <col min="13273" max="13273" width="5.28515625" style="28" customWidth="1"/>
    <col min="13274" max="13274" width="33.140625" style="28" customWidth="1"/>
    <col min="13275" max="13276" width="4" style="28" bestFit="1" customWidth="1"/>
    <col min="13277" max="13277" width="4.28515625" style="28" bestFit="1" customWidth="1"/>
    <col min="13278" max="13278" width="4.140625" style="28" bestFit="1" customWidth="1"/>
    <col min="13279" max="13279" width="4.42578125" style="28" bestFit="1" customWidth="1"/>
    <col min="13280" max="13281" width="4" style="28" bestFit="1" customWidth="1"/>
    <col min="13282" max="13282" width="4.42578125" style="28" bestFit="1" customWidth="1"/>
    <col min="13283" max="13284" width="4" style="28" bestFit="1" customWidth="1"/>
    <col min="13285" max="13285" width="4.28515625" style="28" bestFit="1" customWidth="1"/>
    <col min="13286" max="13286" width="4.140625" style="28" customWidth="1"/>
    <col min="13287" max="13287" width="14.42578125" style="28" customWidth="1"/>
    <col min="13288" max="13528" width="11.42578125" style="28"/>
    <col min="13529" max="13529" width="5.28515625" style="28" customWidth="1"/>
    <col min="13530" max="13530" width="33.140625" style="28" customWidth="1"/>
    <col min="13531" max="13532" width="4" style="28" bestFit="1" customWidth="1"/>
    <col min="13533" max="13533" width="4.28515625" style="28" bestFit="1" customWidth="1"/>
    <col min="13534" max="13534" width="4.140625" style="28" bestFit="1" customWidth="1"/>
    <col min="13535" max="13535" width="4.42578125" style="28" bestFit="1" customWidth="1"/>
    <col min="13536" max="13537" width="4" style="28" bestFit="1" customWidth="1"/>
    <col min="13538" max="13538" width="4.42578125" style="28" bestFit="1" customWidth="1"/>
    <col min="13539" max="13540" width="4" style="28" bestFit="1" customWidth="1"/>
    <col min="13541" max="13541" width="4.28515625" style="28" bestFit="1" customWidth="1"/>
    <col min="13542" max="13542" width="4.140625" style="28" customWidth="1"/>
    <col min="13543" max="13543" width="14.42578125" style="28" customWidth="1"/>
    <col min="13544" max="13784" width="11.42578125" style="28"/>
    <col min="13785" max="13785" width="5.28515625" style="28" customWidth="1"/>
    <col min="13786" max="13786" width="33.140625" style="28" customWidth="1"/>
    <col min="13787" max="13788" width="4" style="28" bestFit="1" customWidth="1"/>
    <col min="13789" max="13789" width="4.28515625" style="28" bestFit="1" customWidth="1"/>
    <col min="13790" max="13790" width="4.140625" style="28" bestFit="1" customWidth="1"/>
    <col min="13791" max="13791" width="4.42578125" style="28" bestFit="1" customWidth="1"/>
    <col min="13792" max="13793" width="4" style="28" bestFit="1" customWidth="1"/>
    <col min="13794" max="13794" width="4.42578125" style="28" bestFit="1" customWidth="1"/>
    <col min="13795" max="13796" width="4" style="28" bestFit="1" customWidth="1"/>
    <col min="13797" max="13797" width="4.28515625" style="28" bestFit="1" customWidth="1"/>
    <col min="13798" max="13798" width="4.140625" style="28" customWidth="1"/>
    <col min="13799" max="13799" width="14.42578125" style="28" customWidth="1"/>
    <col min="13800" max="14040" width="11.42578125" style="28"/>
    <col min="14041" max="14041" width="5.28515625" style="28" customWidth="1"/>
    <col min="14042" max="14042" width="33.140625" style="28" customWidth="1"/>
    <col min="14043" max="14044" width="4" style="28" bestFit="1" customWidth="1"/>
    <col min="14045" max="14045" width="4.28515625" style="28" bestFit="1" customWidth="1"/>
    <col min="14046" max="14046" width="4.140625" style="28" bestFit="1" customWidth="1"/>
    <col min="14047" max="14047" width="4.42578125" style="28" bestFit="1" customWidth="1"/>
    <col min="14048" max="14049" width="4" style="28" bestFit="1" customWidth="1"/>
    <col min="14050" max="14050" width="4.42578125" style="28" bestFit="1" customWidth="1"/>
    <col min="14051" max="14052" width="4" style="28" bestFit="1" customWidth="1"/>
    <col min="14053" max="14053" width="4.28515625" style="28" bestFit="1" customWidth="1"/>
    <col min="14054" max="14054" width="4.140625" style="28" customWidth="1"/>
    <col min="14055" max="14055" width="14.42578125" style="28" customWidth="1"/>
    <col min="14056" max="14296" width="11.42578125" style="28"/>
    <col min="14297" max="14297" width="5.28515625" style="28" customWidth="1"/>
    <col min="14298" max="14298" width="33.140625" style="28" customWidth="1"/>
    <col min="14299" max="14300" width="4" style="28" bestFit="1" customWidth="1"/>
    <col min="14301" max="14301" width="4.28515625" style="28" bestFit="1" customWidth="1"/>
    <col min="14302" max="14302" width="4.140625" style="28" bestFit="1" customWidth="1"/>
    <col min="14303" max="14303" width="4.42578125" style="28" bestFit="1" customWidth="1"/>
    <col min="14304" max="14305" width="4" style="28" bestFit="1" customWidth="1"/>
    <col min="14306" max="14306" width="4.42578125" style="28" bestFit="1" customWidth="1"/>
    <col min="14307" max="14308" width="4" style="28" bestFit="1" customWidth="1"/>
    <col min="14309" max="14309" width="4.28515625" style="28" bestFit="1" customWidth="1"/>
    <col min="14310" max="14310" width="4.140625" style="28" customWidth="1"/>
    <col min="14311" max="14311" width="14.42578125" style="28" customWidth="1"/>
    <col min="14312" max="14552" width="11.42578125" style="28"/>
    <col min="14553" max="14553" width="5.28515625" style="28" customWidth="1"/>
    <col min="14554" max="14554" width="33.140625" style="28" customWidth="1"/>
    <col min="14555" max="14556" width="4" style="28" bestFit="1" customWidth="1"/>
    <col min="14557" max="14557" width="4.28515625" style="28" bestFit="1" customWidth="1"/>
    <col min="14558" max="14558" width="4.140625" style="28" bestFit="1" customWidth="1"/>
    <col min="14559" max="14559" width="4.42578125" style="28" bestFit="1" customWidth="1"/>
    <col min="14560" max="14561" width="4" style="28" bestFit="1" customWidth="1"/>
    <col min="14562" max="14562" width="4.42578125" style="28" bestFit="1" customWidth="1"/>
    <col min="14563" max="14564" width="4" style="28" bestFit="1" customWidth="1"/>
    <col min="14565" max="14565" width="4.28515625" style="28" bestFit="1" customWidth="1"/>
    <col min="14566" max="14566" width="4.140625" style="28" customWidth="1"/>
    <col min="14567" max="14567" width="14.42578125" style="28" customWidth="1"/>
    <col min="14568" max="14808" width="11.42578125" style="28"/>
    <col min="14809" max="14809" width="5.28515625" style="28" customWidth="1"/>
    <col min="14810" max="14810" width="33.140625" style="28" customWidth="1"/>
    <col min="14811" max="14812" width="4" style="28" bestFit="1" customWidth="1"/>
    <col min="14813" max="14813" width="4.28515625" style="28" bestFit="1" customWidth="1"/>
    <col min="14814" max="14814" width="4.140625" style="28" bestFit="1" customWidth="1"/>
    <col min="14815" max="14815" width="4.42578125" style="28" bestFit="1" customWidth="1"/>
    <col min="14816" max="14817" width="4" style="28" bestFit="1" customWidth="1"/>
    <col min="14818" max="14818" width="4.42578125" style="28" bestFit="1" customWidth="1"/>
    <col min="14819" max="14820" width="4" style="28" bestFit="1" customWidth="1"/>
    <col min="14821" max="14821" width="4.28515625" style="28" bestFit="1" customWidth="1"/>
    <col min="14822" max="14822" width="4.140625" style="28" customWidth="1"/>
    <col min="14823" max="14823" width="14.42578125" style="28" customWidth="1"/>
    <col min="14824" max="15064" width="11.42578125" style="28"/>
    <col min="15065" max="15065" width="5.28515625" style="28" customWidth="1"/>
    <col min="15066" max="15066" width="33.140625" style="28" customWidth="1"/>
    <col min="15067" max="15068" width="4" style="28" bestFit="1" customWidth="1"/>
    <col min="15069" max="15069" width="4.28515625" style="28" bestFit="1" customWidth="1"/>
    <col min="15070" max="15070" width="4.140625" style="28" bestFit="1" customWidth="1"/>
    <col min="15071" max="15071" width="4.42578125" style="28" bestFit="1" customWidth="1"/>
    <col min="15072" max="15073" width="4" style="28" bestFit="1" customWidth="1"/>
    <col min="15074" max="15074" width="4.42578125" style="28" bestFit="1" customWidth="1"/>
    <col min="15075" max="15076" width="4" style="28" bestFit="1" customWidth="1"/>
    <col min="15077" max="15077" width="4.28515625" style="28" bestFit="1" customWidth="1"/>
    <col min="15078" max="15078" width="4.140625" style="28" customWidth="1"/>
    <col min="15079" max="15079" width="14.42578125" style="28" customWidth="1"/>
    <col min="15080" max="15320" width="11.42578125" style="28"/>
    <col min="15321" max="15321" width="5.28515625" style="28" customWidth="1"/>
    <col min="15322" max="15322" width="33.140625" style="28" customWidth="1"/>
    <col min="15323" max="15324" width="4" style="28" bestFit="1" customWidth="1"/>
    <col min="15325" max="15325" width="4.28515625" style="28" bestFit="1" customWidth="1"/>
    <col min="15326" max="15326" width="4.140625" style="28" bestFit="1" customWidth="1"/>
    <col min="15327" max="15327" width="4.42578125" style="28" bestFit="1" customWidth="1"/>
    <col min="15328" max="15329" width="4" style="28" bestFit="1" customWidth="1"/>
    <col min="15330" max="15330" width="4.42578125" style="28" bestFit="1" customWidth="1"/>
    <col min="15331" max="15332" width="4" style="28" bestFit="1" customWidth="1"/>
    <col min="15333" max="15333" width="4.28515625" style="28" bestFit="1" customWidth="1"/>
    <col min="15334" max="15334" width="4.140625" style="28" customWidth="1"/>
    <col min="15335" max="15335" width="14.42578125" style="28" customWidth="1"/>
    <col min="15336" max="15576" width="11.42578125" style="28"/>
    <col min="15577" max="15577" width="5.28515625" style="28" customWidth="1"/>
    <col min="15578" max="15578" width="33.140625" style="28" customWidth="1"/>
    <col min="15579" max="15580" width="4" style="28" bestFit="1" customWidth="1"/>
    <col min="15581" max="15581" width="4.28515625" style="28" bestFit="1" customWidth="1"/>
    <col min="15582" max="15582" width="4.140625" style="28" bestFit="1" customWidth="1"/>
    <col min="15583" max="15583" width="4.42578125" style="28" bestFit="1" customWidth="1"/>
    <col min="15584" max="15585" width="4" style="28" bestFit="1" customWidth="1"/>
    <col min="15586" max="15586" width="4.42578125" style="28" bestFit="1" customWidth="1"/>
    <col min="15587" max="15588" width="4" style="28" bestFit="1" customWidth="1"/>
    <col min="15589" max="15589" width="4.28515625" style="28" bestFit="1" customWidth="1"/>
    <col min="15590" max="15590" width="4.140625" style="28" customWidth="1"/>
    <col min="15591" max="15591" width="14.42578125" style="28" customWidth="1"/>
    <col min="15592" max="15832" width="11.42578125" style="28"/>
    <col min="15833" max="15833" width="5.28515625" style="28" customWidth="1"/>
    <col min="15834" max="15834" width="33.140625" style="28" customWidth="1"/>
    <col min="15835" max="15836" width="4" style="28" bestFit="1" customWidth="1"/>
    <col min="15837" max="15837" width="4.28515625" style="28" bestFit="1" customWidth="1"/>
    <col min="15838" max="15838" width="4.140625" style="28" bestFit="1" customWidth="1"/>
    <col min="15839" max="15839" width="4.42578125" style="28" bestFit="1" customWidth="1"/>
    <col min="15840" max="15841" width="4" style="28" bestFit="1" customWidth="1"/>
    <col min="15842" max="15842" width="4.42578125" style="28" bestFit="1" customWidth="1"/>
    <col min="15843" max="15844" width="4" style="28" bestFit="1" customWidth="1"/>
    <col min="15845" max="15845" width="4.28515625" style="28" bestFit="1" customWidth="1"/>
    <col min="15846" max="15846" width="4.140625" style="28" customWidth="1"/>
    <col min="15847" max="15847" width="14.42578125" style="28" customWidth="1"/>
    <col min="15848" max="16088" width="11.42578125" style="28"/>
    <col min="16089" max="16089" width="5.28515625" style="28" customWidth="1"/>
    <col min="16090" max="16090" width="33.140625" style="28" customWidth="1"/>
    <col min="16091" max="16092" width="4" style="28" bestFit="1" customWidth="1"/>
    <col min="16093" max="16093" width="4.28515625" style="28" bestFit="1" customWidth="1"/>
    <col min="16094" max="16094" width="4.140625" style="28" bestFit="1" customWidth="1"/>
    <col min="16095" max="16095" width="4.42578125" style="28" bestFit="1" customWidth="1"/>
    <col min="16096" max="16097" width="4" style="28" bestFit="1" customWidth="1"/>
    <col min="16098" max="16098" width="4.42578125" style="28" bestFit="1" customWidth="1"/>
    <col min="16099" max="16100" width="4" style="28" bestFit="1" customWidth="1"/>
    <col min="16101" max="16101" width="4.28515625" style="28" bestFit="1" customWidth="1"/>
    <col min="16102" max="16102" width="4.140625" style="28" customWidth="1"/>
    <col min="16103" max="16103" width="14.42578125" style="28" customWidth="1"/>
    <col min="16104" max="16384" width="11.42578125" style="28"/>
  </cols>
  <sheetData>
    <row r="1" spans="1:7" ht="54" customHeight="1" x14ac:dyDescent="0.25"/>
    <row r="2" spans="1:7" ht="50.25" customHeight="1" x14ac:dyDescent="0.25"/>
    <row r="3" spans="1:7" ht="15.75" customHeight="1" x14ac:dyDescent="0.25">
      <c r="A3" s="192" t="s">
        <v>638</v>
      </c>
      <c r="B3" s="192"/>
      <c r="C3" s="192"/>
      <c r="D3" s="192"/>
      <c r="E3" s="192"/>
      <c r="F3" s="192"/>
      <c r="G3" s="192"/>
    </row>
    <row r="4" spans="1:7" ht="15.75" customHeight="1" x14ac:dyDescent="0.25">
      <c r="A4" s="192" t="s">
        <v>639</v>
      </c>
      <c r="B4" s="192"/>
      <c r="C4" s="192"/>
      <c r="D4" s="192"/>
      <c r="E4" s="192"/>
      <c r="F4" s="192"/>
      <c r="G4" s="192"/>
    </row>
    <row r="5" spans="1:7" ht="4.5" customHeight="1" x14ac:dyDescent="0.25">
      <c r="A5" s="193"/>
      <c r="B5" s="193"/>
      <c r="C5" s="193"/>
      <c r="D5" s="193"/>
      <c r="E5" s="193"/>
      <c r="F5" s="193"/>
      <c r="G5" s="29"/>
    </row>
    <row r="6" spans="1:7" s="31" customFormat="1" ht="22.5" customHeight="1" x14ac:dyDescent="0.25">
      <c r="A6" s="194" t="s">
        <v>110</v>
      </c>
      <c r="B6" s="194" t="s">
        <v>111</v>
      </c>
      <c r="C6" s="194" t="s">
        <v>104</v>
      </c>
      <c r="D6" s="194" t="s">
        <v>105</v>
      </c>
      <c r="E6" s="194" t="s">
        <v>640</v>
      </c>
      <c r="F6" s="194"/>
      <c r="G6" s="30" t="s">
        <v>108</v>
      </c>
    </row>
    <row r="7" spans="1:7" s="31" customFormat="1" ht="17.25" customHeight="1" x14ac:dyDescent="0.25">
      <c r="A7" s="194"/>
      <c r="B7" s="194"/>
      <c r="C7" s="194"/>
      <c r="D7" s="194"/>
      <c r="E7" s="194" t="s">
        <v>106</v>
      </c>
      <c r="F7" s="194" t="s">
        <v>107</v>
      </c>
      <c r="G7" s="196" t="s">
        <v>641</v>
      </c>
    </row>
    <row r="8" spans="1:7" s="31" customFormat="1" ht="17.25" customHeight="1" thickBot="1" x14ac:dyDescent="0.3">
      <c r="A8" s="195"/>
      <c r="B8" s="195"/>
      <c r="C8" s="195"/>
      <c r="D8" s="195"/>
      <c r="E8" s="195"/>
      <c r="F8" s="195"/>
      <c r="G8" s="197"/>
    </row>
    <row r="9" spans="1:7" s="31" customFormat="1" ht="18.75" customHeight="1" thickTop="1" x14ac:dyDescent="0.25">
      <c r="A9" s="198" t="s">
        <v>117</v>
      </c>
      <c r="B9" s="201">
        <v>1</v>
      </c>
      <c r="C9" s="32">
        <v>6028</v>
      </c>
      <c r="D9" s="33" t="s">
        <v>112</v>
      </c>
      <c r="E9" s="34" t="s">
        <v>113</v>
      </c>
      <c r="F9" s="35" t="s">
        <v>116</v>
      </c>
      <c r="G9" s="203">
        <v>70</v>
      </c>
    </row>
    <row r="10" spans="1:7" s="31" customFormat="1" ht="18" customHeight="1" x14ac:dyDescent="0.25">
      <c r="A10" s="199"/>
      <c r="B10" s="202"/>
      <c r="C10" s="36">
        <v>6040</v>
      </c>
      <c r="D10" s="37" t="s">
        <v>89</v>
      </c>
      <c r="E10" s="38" t="s">
        <v>118</v>
      </c>
      <c r="F10" s="39" t="s">
        <v>119</v>
      </c>
      <c r="G10" s="204"/>
    </row>
    <row r="11" spans="1:7" s="31" customFormat="1" ht="18" customHeight="1" x14ac:dyDescent="0.25">
      <c r="A11" s="199"/>
      <c r="B11" s="40">
        <v>2</v>
      </c>
      <c r="C11" s="41">
        <v>6003</v>
      </c>
      <c r="D11" s="42" t="s">
        <v>120</v>
      </c>
      <c r="E11" s="43" t="s">
        <v>121</v>
      </c>
      <c r="F11" s="44" t="s">
        <v>122</v>
      </c>
      <c r="G11" s="41">
        <v>50</v>
      </c>
    </row>
    <row r="12" spans="1:7" s="31" customFormat="1" ht="18" customHeight="1" x14ac:dyDescent="0.25">
      <c r="A12" s="199"/>
      <c r="B12" s="45">
        <v>3</v>
      </c>
      <c r="C12" s="46">
        <v>6005</v>
      </c>
      <c r="D12" s="47" t="s">
        <v>120</v>
      </c>
      <c r="E12" s="48" t="s">
        <v>123</v>
      </c>
      <c r="F12" s="49" t="s">
        <v>124</v>
      </c>
      <c r="G12" s="46">
        <v>70</v>
      </c>
    </row>
    <row r="13" spans="1:7" s="31" customFormat="1" ht="18" customHeight="1" x14ac:dyDescent="0.25">
      <c r="A13" s="199"/>
      <c r="B13" s="205">
        <v>4</v>
      </c>
      <c r="C13" s="50">
        <v>6031</v>
      </c>
      <c r="D13" s="51" t="s">
        <v>81</v>
      </c>
      <c r="E13" s="52" t="s">
        <v>123</v>
      </c>
      <c r="F13" s="53" t="s">
        <v>125</v>
      </c>
      <c r="G13" s="207">
        <v>70</v>
      </c>
    </row>
    <row r="14" spans="1:7" s="31" customFormat="1" ht="18" customHeight="1" x14ac:dyDescent="0.25">
      <c r="A14" s="199"/>
      <c r="B14" s="206"/>
      <c r="C14" s="54">
        <v>6041</v>
      </c>
      <c r="D14" s="55" t="s">
        <v>126</v>
      </c>
      <c r="E14" s="56" t="s">
        <v>127</v>
      </c>
      <c r="F14" s="57" t="s">
        <v>128</v>
      </c>
      <c r="G14" s="208"/>
    </row>
    <row r="15" spans="1:7" s="31" customFormat="1" ht="18" customHeight="1" x14ac:dyDescent="0.25">
      <c r="A15" s="199"/>
      <c r="B15" s="45">
        <v>5</v>
      </c>
      <c r="C15" s="46">
        <v>6032</v>
      </c>
      <c r="D15" s="47" t="s">
        <v>129</v>
      </c>
      <c r="E15" s="48" t="s">
        <v>130</v>
      </c>
      <c r="F15" s="49" t="s">
        <v>131</v>
      </c>
      <c r="G15" s="46">
        <v>50</v>
      </c>
    </row>
    <row r="16" spans="1:7" s="31" customFormat="1" ht="18" customHeight="1" thickBot="1" x14ac:dyDescent="0.3">
      <c r="A16" s="200"/>
      <c r="B16" s="58">
        <v>6</v>
      </c>
      <c r="C16" s="59">
        <v>6030</v>
      </c>
      <c r="D16" s="60" t="s">
        <v>129</v>
      </c>
      <c r="E16" s="61" t="s">
        <v>132</v>
      </c>
      <c r="F16" s="62" t="s">
        <v>133</v>
      </c>
      <c r="G16" s="59">
        <v>50</v>
      </c>
    </row>
    <row r="17" spans="1:8" ht="18" customHeight="1" thickTop="1" x14ac:dyDescent="0.25">
      <c r="A17" s="198" t="s">
        <v>140</v>
      </c>
      <c r="B17" s="45">
        <v>7</v>
      </c>
      <c r="C17" s="46">
        <v>6006</v>
      </c>
      <c r="D17" s="47" t="s">
        <v>44</v>
      </c>
      <c r="E17" s="63" t="s">
        <v>113</v>
      </c>
      <c r="F17" s="64" t="s">
        <v>139</v>
      </c>
      <c r="G17" s="65">
        <v>70</v>
      </c>
    </row>
    <row r="18" spans="1:8" ht="18" customHeight="1" x14ac:dyDescent="0.25">
      <c r="A18" s="199"/>
      <c r="B18" s="66">
        <v>8</v>
      </c>
      <c r="C18" s="41">
        <v>6021</v>
      </c>
      <c r="D18" s="42" t="s">
        <v>44</v>
      </c>
      <c r="E18" s="67" t="s">
        <v>141</v>
      </c>
      <c r="F18" s="68" t="s">
        <v>142</v>
      </c>
      <c r="G18" s="69">
        <v>70</v>
      </c>
    </row>
    <row r="19" spans="1:8" ht="18" customHeight="1" x14ac:dyDescent="0.25">
      <c r="A19" s="199"/>
      <c r="B19" s="45">
        <v>9</v>
      </c>
      <c r="C19" s="46">
        <v>6020</v>
      </c>
      <c r="D19" s="47" t="s">
        <v>65</v>
      </c>
      <c r="E19" s="63" t="s">
        <v>121</v>
      </c>
      <c r="F19" s="64" t="s">
        <v>132</v>
      </c>
      <c r="G19" s="65">
        <v>50</v>
      </c>
      <c r="H19" s="70"/>
    </row>
    <row r="20" spans="1:8" s="31" customFormat="1" ht="18" customHeight="1" x14ac:dyDescent="0.25">
      <c r="A20" s="199"/>
      <c r="B20" s="66">
        <v>10</v>
      </c>
      <c r="C20" s="41">
        <v>6026</v>
      </c>
      <c r="D20" s="42" t="s">
        <v>143</v>
      </c>
      <c r="E20" s="67" t="s">
        <v>123</v>
      </c>
      <c r="F20" s="68" t="s">
        <v>124</v>
      </c>
      <c r="G20" s="41">
        <v>70</v>
      </c>
    </row>
    <row r="21" spans="1:8" s="31" customFormat="1" ht="18" customHeight="1" x14ac:dyDescent="0.25">
      <c r="A21" s="199"/>
      <c r="B21" s="209">
        <v>11</v>
      </c>
      <c r="C21" s="71">
        <v>6012</v>
      </c>
      <c r="D21" s="72" t="s">
        <v>49</v>
      </c>
      <c r="E21" s="73" t="s">
        <v>127</v>
      </c>
      <c r="F21" s="74" t="s">
        <v>131</v>
      </c>
      <c r="G21" s="211">
        <v>70</v>
      </c>
    </row>
    <row r="22" spans="1:8" s="31" customFormat="1" ht="18" customHeight="1" x14ac:dyDescent="0.25">
      <c r="A22" s="199"/>
      <c r="B22" s="210"/>
      <c r="C22" s="36">
        <v>6043</v>
      </c>
      <c r="D22" s="37" t="s">
        <v>143</v>
      </c>
      <c r="E22" s="75" t="s">
        <v>142</v>
      </c>
      <c r="F22" s="76" t="s">
        <v>144</v>
      </c>
      <c r="G22" s="212"/>
    </row>
    <row r="23" spans="1:8" s="31" customFormat="1" ht="18" customHeight="1" x14ac:dyDescent="0.25">
      <c r="A23" s="199"/>
      <c r="B23" s="77">
        <v>12</v>
      </c>
      <c r="C23" s="78">
        <v>6002</v>
      </c>
      <c r="D23" s="79" t="s">
        <v>76</v>
      </c>
      <c r="E23" s="80" t="s">
        <v>132</v>
      </c>
      <c r="F23" s="81" t="s">
        <v>119</v>
      </c>
      <c r="G23" s="78">
        <v>70</v>
      </c>
    </row>
    <row r="24" spans="1:8" s="31" customFormat="1" ht="18" customHeight="1" thickBot="1" x14ac:dyDescent="0.3">
      <c r="A24" s="200"/>
      <c r="B24" s="82">
        <v>13</v>
      </c>
      <c r="C24" s="83">
        <v>6034</v>
      </c>
      <c r="D24" s="84" t="s">
        <v>76</v>
      </c>
      <c r="E24" s="85" t="s">
        <v>148</v>
      </c>
      <c r="F24" s="86" t="s">
        <v>149</v>
      </c>
      <c r="G24" s="83">
        <v>70</v>
      </c>
    </row>
    <row r="25" spans="1:8" s="31" customFormat="1" ht="18" customHeight="1" thickTop="1" x14ac:dyDescent="0.25">
      <c r="A25" s="198" t="s">
        <v>151</v>
      </c>
      <c r="B25" s="87">
        <v>14</v>
      </c>
      <c r="C25" s="88">
        <v>6022</v>
      </c>
      <c r="D25" s="89" t="s">
        <v>150</v>
      </c>
      <c r="E25" s="90" t="s">
        <v>113</v>
      </c>
      <c r="F25" s="91" t="s">
        <v>139</v>
      </c>
      <c r="G25" s="88">
        <v>70</v>
      </c>
    </row>
    <row r="26" spans="1:8" s="31" customFormat="1" ht="18" customHeight="1" x14ac:dyDescent="0.25">
      <c r="A26" s="199"/>
      <c r="B26" s="45">
        <v>15</v>
      </c>
      <c r="C26" s="46">
        <v>6033</v>
      </c>
      <c r="D26" s="47" t="s">
        <v>152</v>
      </c>
      <c r="E26" s="92" t="s">
        <v>153</v>
      </c>
      <c r="F26" s="64" t="s">
        <v>116</v>
      </c>
      <c r="G26" s="46">
        <v>70</v>
      </c>
    </row>
    <row r="27" spans="1:8" s="31" customFormat="1" ht="18" customHeight="1" x14ac:dyDescent="0.25">
      <c r="A27" s="199"/>
      <c r="B27" s="66">
        <v>16</v>
      </c>
      <c r="C27" s="41">
        <v>6042</v>
      </c>
      <c r="D27" s="42" t="s">
        <v>44</v>
      </c>
      <c r="E27" s="67" t="s">
        <v>154</v>
      </c>
      <c r="F27" s="68" t="s">
        <v>142</v>
      </c>
      <c r="G27" s="41">
        <v>50</v>
      </c>
    </row>
    <row r="28" spans="1:8" s="31" customFormat="1" ht="18" customHeight="1" x14ac:dyDescent="0.25">
      <c r="A28" s="199"/>
      <c r="B28" s="45">
        <v>17</v>
      </c>
      <c r="C28" s="46">
        <v>6008</v>
      </c>
      <c r="D28" s="47" t="s">
        <v>44</v>
      </c>
      <c r="E28" s="63" t="s">
        <v>155</v>
      </c>
      <c r="F28" s="64" t="s">
        <v>124</v>
      </c>
      <c r="G28" s="46">
        <v>50</v>
      </c>
    </row>
    <row r="29" spans="1:8" s="31" customFormat="1" ht="18" customHeight="1" x14ac:dyDescent="0.25">
      <c r="A29" s="199"/>
      <c r="B29" s="213">
        <v>18</v>
      </c>
      <c r="C29" s="93">
        <v>6015</v>
      </c>
      <c r="D29" s="94" t="s">
        <v>156</v>
      </c>
      <c r="E29" s="95" t="s">
        <v>139</v>
      </c>
      <c r="F29" s="96" t="s">
        <v>132</v>
      </c>
      <c r="G29" s="214">
        <v>70</v>
      </c>
    </row>
    <row r="30" spans="1:8" s="31" customFormat="1" ht="18" customHeight="1" x14ac:dyDescent="0.25">
      <c r="A30" s="199"/>
      <c r="B30" s="206"/>
      <c r="C30" s="54">
        <v>6045</v>
      </c>
      <c r="D30" s="55" t="s">
        <v>157</v>
      </c>
      <c r="E30" s="57" t="s">
        <v>116</v>
      </c>
      <c r="F30" s="57" t="s">
        <v>125</v>
      </c>
      <c r="G30" s="208"/>
    </row>
    <row r="31" spans="1:8" ht="18" customHeight="1" x14ac:dyDescent="0.25">
      <c r="A31" s="199"/>
      <c r="B31" s="209">
        <v>19</v>
      </c>
      <c r="C31" s="71">
        <v>6036</v>
      </c>
      <c r="D31" s="72" t="s">
        <v>158</v>
      </c>
      <c r="E31" s="73" t="s">
        <v>122</v>
      </c>
      <c r="F31" s="74" t="s">
        <v>161</v>
      </c>
      <c r="G31" s="216">
        <v>70</v>
      </c>
    </row>
    <row r="32" spans="1:8" s="31" customFormat="1" ht="18" customHeight="1" thickBot="1" x14ac:dyDescent="0.3">
      <c r="A32" s="200"/>
      <c r="B32" s="215"/>
      <c r="C32" s="97">
        <v>6035</v>
      </c>
      <c r="D32" s="98" t="s">
        <v>84</v>
      </c>
      <c r="E32" s="99" t="s">
        <v>124</v>
      </c>
      <c r="F32" s="100" t="s">
        <v>144</v>
      </c>
      <c r="G32" s="217"/>
    </row>
    <row r="33" spans="1:7" s="31" customFormat="1" ht="18" customHeight="1" thickTop="1" x14ac:dyDescent="0.25">
      <c r="A33" s="198" t="s">
        <v>164</v>
      </c>
      <c r="B33" s="223">
        <v>22</v>
      </c>
      <c r="C33" s="101">
        <v>6023</v>
      </c>
      <c r="D33" s="102" t="s">
        <v>70</v>
      </c>
      <c r="E33" s="103" t="s">
        <v>113</v>
      </c>
      <c r="F33" s="104" t="s">
        <v>127</v>
      </c>
      <c r="G33" s="225">
        <v>70</v>
      </c>
    </row>
    <row r="34" spans="1:7" s="31" customFormat="1" ht="18" customHeight="1" x14ac:dyDescent="0.25">
      <c r="A34" s="199"/>
      <c r="B34" s="224"/>
      <c r="C34" s="54">
        <v>6039</v>
      </c>
      <c r="D34" s="55" t="s">
        <v>87</v>
      </c>
      <c r="E34" s="56" t="s">
        <v>153</v>
      </c>
      <c r="F34" s="57" t="s">
        <v>116</v>
      </c>
      <c r="G34" s="208"/>
    </row>
    <row r="35" spans="1:7" s="31" customFormat="1" ht="18" customHeight="1" x14ac:dyDescent="0.25">
      <c r="A35" s="199"/>
      <c r="B35" s="105">
        <v>20</v>
      </c>
      <c r="C35" s="106">
        <v>6037</v>
      </c>
      <c r="D35" s="107" t="s">
        <v>165</v>
      </c>
      <c r="E35" s="108" t="s">
        <v>154</v>
      </c>
      <c r="F35" s="109" t="s">
        <v>142</v>
      </c>
      <c r="G35" s="106">
        <v>70</v>
      </c>
    </row>
    <row r="36" spans="1:7" s="31" customFormat="1" ht="18" customHeight="1" x14ac:dyDescent="0.25">
      <c r="A36" s="199"/>
      <c r="B36" s="40">
        <v>21</v>
      </c>
      <c r="C36" s="41">
        <v>6018</v>
      </c>
      <c r="D36" s="42" t="s">
        <v>165</v>
      </c>
      <c r="E36" s="67" t="s">
        <v>155</v>
      </c>
      <c r="F36" s="68" t="s">
        <v>132</v>
      </c>
      <c r="G36" s="41">
        <v>70</v>
      </c>
    </row>
    <row r="37" spans="1:7" ht="18" customHeight="1" x14ac:dyDescent="0.25">
      <c r="A37" s="199"/>
      <c r="B37" s="209">
        <v>23</v>
      </c>
      <c r="C37" s="71">
        <v>6014</v>
      </c>
      <c r="D37" s="72" t="s">
        <v>166</v>
      </c>
      <c r="E37" s="73" t="s">
        <v>139</v>
      </c>
      <c r="F37" s="74" t="s">
        <v>125</v>
      </c>
      <c r="G37" s="216">
        <v>70</v>
      </c>
    </row>
    <row r="38" spans="1:7" ht="18" customHeight="1" x14ac:dyDescent="0.25">
      <c r="A38" s="199"/>
      <c r="B38" s="210"/>
      <c r="C38" s="36">
        <v>6013</v>
      </c>
      <c r="D38" s="37" t="s">
        <v>50</v>
      </c>
      <c r="E38" s="75" t="s">
        <v>116</v>
      </c>
      <c r="F38" s="75" t="s">
        <v>149</v>
      </c>
      <c r="G38" s="226"/>
    </row>
    <row r="39" spans="1:7" s="31" customFormat="1" ht="18" customHeight="1" x14ac:dyDescent="0.25">
      <c r="A39" s="199"/>
      <c r="B39" s="227">
        <v>24</v>
      </c>
      <c r="C39" s="50">
        <v>6004</v>
      </c>
      <c r="D39" s="51" t="s">
        <v>42</v>
      </c>
      <c r="E39" s="52" t="s">
        <v>122</v>
      </c>
      <c r="F39" s="53" t="s">
        <v>131</v>
      </c>
      <c r="G39" s="207">
        <v>70</v>
      </c>
    </row>
    <row r="40" spans="1:7" s="31" customFormat="1" ht="18" customHeight="1" thickBot="1" x14ac:dyDescent="0.3">
      <c r="A40" s="200"/>
      <c r="B40" s="228"/>
      <c r="C40" s="110">
        <v>6017</v>
      </c>
      <c r="D40" s="111" t="s">
        <v>167</v>
      </c>
      <c r="E40" s="112" t="s">
        <v>124</v>
      </c>
      <c r="F40" s="113" t="s">
        <v>168</v>
      </c>
      <c r="G40" s="222"/>
    </row>
    <row r="41" spans="1:7" s="31" customFormat="1" ht="18" customHeight="1" thickTop="1" x14ac:dyDescent="0.25">
      <c r="A41" s="218" t="s">
        <v>170</v>
      </c>
      <c r="B41" s="45">
        <v>25</v>
      </c>
      <c r="C41" s="46">
        <v>6001</v>
      </c>
      <c r="D41" s="47" t="s">
        <v>169</v>
      </c>
      <c r="E41" s="64" t="s">
        <v>113</v>
      </c>
      <c r="F41" s="64" t="s">
        <v>139</v>
      </c>
      <c r="G41" s="46">
        <v>70</v>
      </c>
    </row>
    <row r="42" spans="1:7" s="31" customFormat="1" ht="18" customHeight="1" x14ac:dyDescent="0.25">
      <c r="A42" s="219"/>
      <c r="B42" s="114">
        <v>26</v>
      </c>
      <c r="C42" s="115">
        <v>6027</v>
      </c>
      <c r="D42" s="116" t="s">
        <v>77</v>
      </c>
      <c r="E42" s="117" t="s">
        <v>153</v>
      </c>
      <c r="F42" s="117" t="s">
        <v>116</v>
      </c>
      <c r="G42" s="115">
        <v>50</v>
      </c>
    </row>
    <row r="43" spans="1:7" s="31" customFormat="1" ht="18" customHeight="1" x14ac:dyDescent="0.25">
      <c r="A43" s="219"/>
      <c r="B43" s="45">
        <v>27</v>
      </c>
      <c r="C43" s="46">
        <v>6044</v>
      </c>
      <c r="D43" s="47" t="s">
        <v>172</v>
      </c>
      <c r="E43" s="63" t="s">
        <v>154</v>
      </c>
      <c r="F43" s="64" t="s">
        <v>142</v>
      </c>
      <c r="G43" s="46">
        <v>50</v>
      </c>
    </row>
    <row r="44" spans="1:7" s="31" customFormat="1" ht="18" customHeight="1" x14ac:dyDescent="0.25">
      <c r="A44" s="219"/>
      <c r="B44" s="205">
        <v>28</v>
      </c>
      <c r="C44" s="50">
        <v>6016</v>
      </c>
      <c r="D44" s="51" t="s">
        <v>173</v>
      </c>
      <c r="E44" s="52" t="s">
        <v>155</v>
      </c>
      <c r="F44" s="53" t="s">
        <v>148</v>
      </c>
      <c r="G44" s="207">
        <v>70</v>
      </c>
    </row>
    <row r="45" spans="1:7" s="31" customFormat="1" ht="18" customHeight="1" x14ac:dyDescent="0.25">
      <c r="A45" s="219"/>
      <c r="B45" s="206"/>
      <c r="C45" s="54">
        <v>6019</v>
      </c>
      <c r="D45" s="55" t="s">
        <v>174</v>
      </c>
      <c r="E45" s="56" t="s">
        <v>139</v>
      </c>
      <c r="F45" s="57" t="s">
        <v>131</v>
      </c>
      <c r="G45" s="208"/>
    </row>
    <row r="46" spans="1:7" s="31" customFormat="1" ht="18" customHeight="1" x14ac:dyDescent="0.25">
      <c r="A46" s="219"/>
      <c r="B46" s="45">
        <v>29</v>
      </c>
      <c r="C46" s="46">
        <v>6010</v>
      </c>
      <c r="D46" s="47" t="s">
        <v>47</v>
      </c>
      <c r="E46" s="63" t="s">
        <v>116</v>
      </c>
      <c r="F46" s="64" t="s">
        <v>119</v>
      </c>
      <c r="G46" s="46">
        <v>50</v>
      </c>
    </row>
    <row r="47" spans="1:7" s="31" customFormat="1" ht="18" customHeight="1" x14ac:dyDescent="0.25">
      <c r="A47" s="219"/>
      <c r="B47" s="66">
        <v>30</v>
      </c>
      <c r="C47" s="41">
        <v>6009</v>
      </c>
      <c r="D47" s="42" t="s">
        <v>46</v>
      </c>
      <c r="E47" s="67" t="s">
        <v>122</v>
      </c>
      <c r="F47" s="68" t="s">
        <v>131</v>
      </c>
      <c r="G47" s="41">
        <v>50</v>
      </c>
    </row>
    <row r="48" spans="1:7" s="31" customFormat="1" ht="18" customHeight="1" x14ac:dyDescent="0.25">
      <c r="A48" s="219"/>
      <c r="B48" s="209">
        <v>31</v>
      </c>
      <c r="C48" s="71">
        <v>6007</v>
      </c>
      <c r="D48" s="72" t="s">
        <v>45</v>
      </c>
      <c r="E48" s="73" t="s">
        <v>124</v>
      </c>
      <c r="F48" s="74" t="s">
        <v>168</v>
      </c>
      <c r="G48" s="211">
        <v>70</v>
      </c>
    </row>
    <row r="49" spans="1:7" s="31" customFormat="1" ht="18" customHeight="1" thickBot="1" x14ac:dyDescent="0.3">
      <c r="A49" s="220"/>
      <c r="B49" s="210"/>
      <c r="C49" s="36">
        <v>6029</v>
      </c>
      <c r="D49" s="37" t="s">
        <v>175</v>
      </c>
      <c r="E49" s="118" t="s">
        <v>125</v>
      </c>
      <c r="F49" s="76" t="s">
        <v>176</v>
      </c>
      <c r="G49" s="212"/>
    </row>
    <row r="50" spans="1:7" s="31" customFormat="1" ht="18" customHeight="1" thickTop="1" x14ac:dyDescent="0.25">
      <c r="A50" s="218" t="s">
        <v>178</v>
      </c>
      <c r="B50" s="119">
        <v>32</v>
      </c>
      <c r="C50" s="88">
        <v>6025</v>
      </c>
      <c r="D50" s="89" t="s">
        <v>177</v>
      </c>
      <c r="E50" s="90" t="s">
        <v>113</v>
      </c>
      <c r="F50" s="91" t="s">
        <v>139</v>
      </c>
      <c r="G50" s="88">
        <v>70</v>
      </c>
    </row>
    <row r="51" spans="1:7" s="31" customFormat="1" ht="18" customHeight="1" x14ac:dyDescent="0.25">
      <c r="A51" s="219"/>
      <c r="B51" s="45">
        <v>33</v>
      </c>
      <c r="C51" s="46">
        <v>6024</v>
      </c>
      <c r="D51" s="47" t="s">
        <v>177</v>
      </c>
      <c r="E51" s="63" t="s">
        <v>153</v>
      </c>
      <c r="F51" s="63" t="s">
        <v>116</v>
      </c>
      <c r="G51" s="46">
        <v>70</v>
      </c>
    </row>
    <row r="52" spans="1:7" s="31" customFormat="1" ht="18" customHeight="1" x14ac:dyDescent="0.25">
      <c r="A52" s="219"/>
      <c r="B52" s="205">
        <v>34</v>
      </c>
      <c r="C52" s="50">
        <v>6038</v>
      </c>
      <c r="D52" s="51" t="s">
        <v>180</v>
      </c>
      <c r="E52" s="52" t="s">
        <v>154</v>
      </c>
      <c r="F52" s="53" t="s">
        <v>124</v>
      </c>
      <c r="G52" s="207">
        <v>70</v>
      </c>
    </row>
    <row r="53" spans="1:7" s="31" customFormat="1" ht="18" customHeight="1" thickBot="1" x14ac:dyDescent="0.3">
      <c r="A53" s="220"/>
      <c r="B53" s="221"/>
      <c r="C53" s="110">
        <v>6011</v>
      </c>
      <c r="D53" s="111" t="s">
        <v>181</v>
      </c>
      <c r="E53" s="112" t="s">
        <v>155</v>
      </c>
      <c r="F53" s="113" t="s">
        <v>131</v>
      </c>
      <c r="G53" s="222"/>
    </row>
    <row r="54" spans="1:7" ht="6.75" customHeight="1" thickTop="1" x14ac:dyDescent="0.25">
      <c r="A54" s="120"/>
      <c r="B54" s="120"/>
      <c r="C54" s="120"/>
      <c r="D54" s="120"/>
      <c r="E54" s="120"/>
      <c r="F54" s="120"/>
      <c r="G54" s="120"/>
    </row>
    <row r="55" spans="1:7" s="31" customFormat="1" ht="14.25" customHeight="1" x14ac:dyDescent="0.25">
      <c r="A55" s="121" t="s">
        <v>642</v>
      </c>
      <c r="B55" s="122" t="s">
        <v>643</v>
      </c>
      <c r="C55" s="121">
        <v>10</v>
      </c>
      <c r="D55" s="123" t="s">
        <v>109</v>
      </c>
      <c r="E55" s="124"/>
      <c r="F55" s="124"/>
      <c r="G55" s="124"/>
    </row>
    <row r="56" spans="1:7" s="31" customFormat="1" ht="2.25" customHeight="1" x14ac:dyDescent="0.25">
      <c r="A56" s="121"/>
      <c r="B56" s="121"/>
      <c r="C56" s="121"/>
      <c r="D56" s="123"/>
      <c r="E56" s="124"/>
      <c r="F56" s="124"/>
      <c r="G56" s="124"/>
    </row>
    <row r="57" spans="1:7" s="31" customFormat="1" ht="14.25" customHeight="1" x14ac:dyDescent="0.25">
      <c r="A57" s="121" t="s">
        <v>642</v>
      </c>
      <c r="B57" s="122" t="s">
        <v>644</v>
      </c>
      <c r="C57" s="121">
        <v>24</v>
      </c>
      <c r="D57" s="123" t="s">
        <v>109</v>
      </c>
      <c r="E57" s="124"/>
      <c r="F57" s="124"/>
      <c r="G57" s="124"/>
    </row>
    <row r="58" spans="1:7" ht="2.25" customHeight="1" x14ac:dyDescent="0.25"/>
    <row r="59" spans="1:7" ht="14.25" customHeight="1" x14ac:dyDescent="0.25">
      <c r="B59" s="25" t="s">
        <v>645</v>
      </c>
      <c r="C59" s="125">
        <v>34</v>
      </c>
      <c r="D59" s="27" t="s">
        <v>109</v>
      </c>
    </row>
    <row r="60" spans="1:7" s="126" customFormat="1" ht="15" customHeight="1" x14ac:dyDescent="0.25">
      <c r="A60" s="24"/>
      <c r="B60" s="25"/>
      <c r="D60" s="127"/>
      <c r="E60" s="25"/>
      <c r="F60" s="25"/>
    </row>
  </sheetData>
  <autoFilter ref="A8:F53"/>
  <mergeCells count="39">
    <mergeCell ref="A50:A53"/>
    <mergeCell ref="B52:B53"/>
    <mergeCell ref="G52:G53"/>
    <mergeCell ref="A33:A40"/>
    <mergeCell ref="B33:B34"/>
    <mergeCell ref="G33:G34"/>
    <mergeCell ref="B37:B38"/>
    <mergeCell ref="G37:G38"/>
    <mergeCell ref="B39:B40"/>
    <mergeCell ref="G39:G40"/>
    <mergeCell ref="A41:A49"/>
    <mergeCell ref="B44:B45"/>
    <mergeCell ref="G44:G45"/>
    <mergeCell ref="B48:B49"/>
    <mergeCell ref="G48:G49"/>
    <mergeCell ref="A17:A24"/>
    <mergeCell ref="B21:B22"/>
    <mergeCell ref="G21:G22"/>
    <mergeCell ref="A25:A32"/>
    <mergeCell ref="B29:B30"/>
    <mergeCell ref="G29:G30"/>
    <mergeCell ref="B31:B32"/>
    <mergeCell ref="G31:G32"/>
    <mergeCell ref="A9:A16"/>
    <mergeCell ref="B9:B10"/>
    <mergeCell ref="G9:G10"/>
    <mergeCell ref="B13:B14"/>
    <mergeCell ref="G13:G14"/>
    <mergeCell ref="A3:G3"/>
    <mergeCell ref="A4:G4"/>
    <mergeCell ref="A5:F5"/>
    <mergeCell ref="A6:A8"/>
    <mergeCell ref="B6:B8"/>
    <mergeCell ref="C6:C8"/>
    <mergeCell ref="D6:D8"/>
    <mergeCell ref="E6:F6"/>
    <mergeCell ref="E7:E8"/>
    <mergeCell ref="F7:F8"/>
    <mergeCell ref="G7:G8"/>
  </mergeCells>
  <printOptions horizontalCentered="1"/>
  <pageMargins left="0.23622047244094491" right="0.23622047244094491" top="0" bottom="0.74803149606299213" header="0.31496062992125984" footer="0.31496062992125984"/>
  <pageSetup scale="70" orientation="portrait" r:id="rId1"/>
  <headerFooter>
    <oddFooter>&amp;RPágina &amp;P de &amp;N           &amp;K00+000.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Views>
    <sheetView workbookViewId="0">
      <selection activeCell="A20" sqref="A20"/>
    </sheetView>
  </sheetViews>
  <sheetFormatPr baseColWidth="10" defaultRowHeight="15" x14ac:dyDescent="0.25"/>
  <cols>
    <col min="1" max="1" width="5" style="150" bestFit="1" customWidth="1"/>
    <col min="2" max="2" width="15.140625" style="150" bestFit="1" customWidth="1"/>
    <col min="3" max="3" width="20.5703125" style="150" bestFit="1" customWidth="1"/>
    <col min="4" max="4" width="17.5703125" style="150" bestFit="1" customWidth="1"/>
    <col min="5" max="5" width="14.7109375" style="150" bestFit="1" customWidth="1"/>
    <col min="6" max="6" width="42.7109375" style="150" bestFit="1" customWidth="1"/>
    <col min="7" max="16384" width="11.42578125" style="150"/>
  </cols>
  <sheetData>
    <row r="1" spans="1:6" x14ac:dyDescent="0.25">
      <c r="A1" s="148"/>
      <c r="B1" s="148"/>
      <c r="C1" s="148"/>
      <c r="D1" s="148"/>
      <c r="E1" s="149"/>
      <c r="F1" s="149"/>
    </row>
    <row r="2" spans="1:6" ht="15.75" x14ac:dyDescent="0.25">
      <c r="A2" s="148"/>
      <c r="B2" s="148"/>
      <c r="C2" s="148"/>
      <c r="D2" s="149"/>
      <c r="E2" s="149"/>
      <c r="F2" s="151" t="s">
        <v>2</v>
      </c>
    </row>
    <row r="3" spans="1:6" ht="15.75" x14ac:dyDescent="0.25">
      <c r="A3" s="148"/>
      <c r="B3" s="148"/>
      <c r="C3" s="148"/>
      <c r="D3" s="149"/>
      <c r="E3" s="149"/>
      <c r="F3" s="151" t="s">
        <v>3</v>
      </c>
    </row>
    <row r="4" spans="1:6" ht="15.75" x14ac:dyDescent="0.25">
      <c r="A4" s="148"/>
      <c r="B4" s="148"/>
      <c r="C4" s="148"/>
      <c r="D4" s="149"/>
      <c r="E4" s="149"/>
      <c r="F4" s="151" t="s">
        <v>7</v>
      </c>
    </row>
    <row r="5" spans="1:6" x14ac:dyDescent="0.25">
      <c r="A5" s="148"/>
      <c r="B5" s="148"/>
      <c r="C5" s="148"/>
      <c r="D5" s="149"/>
      <c r="E5" s="149"/>
      <c r="F5" s="152" t="s">
        <v>646</v>
      </c>
    </row>
    <row r="6" spans="1:6" ht="15" customHeight="1" x14ac:dyDescent="0.25">
      <c r="A6" s="234" t="s">
        <v>1023</v>
      </c>
      <c r="B6" s="234"/>
      <c r="C6" s="234"/>
      <c r="D6" s="234"/>
      <c r="E6" s="234"/>
      <c r="F6" s="234"/>
    </row>
    <row r="7" spans="1:6" ht="15" customHeight="1" x14ac:dyDescent="0.25">
      <c r="A7" s="234"/>
      <c r="B7" s="234"/>
      <c r="C7" s="234"/>
      <c r="D7" s="234"/>
      <c r="E7" s="234"/>
      <c r="F7" s="234"/>
    </row>
    <row r="8" spans="1:6" x14ac:dyDescent="0.25">
      <c r="A8" s="234"/>
      <c r="B8" s="234"/>
      <c r="C8" s="234"/>
      <c r="D8" s="234"/>
      <c r="E8" s="234"/>
      <c r="F8" s="234"/>
    </row>
    <row r="9" spans="1:6" x14ac:dyDescent="0.25">
      <c r="A9" s="234"/>
      <c r="B9" s="234"/>
      <c r="C9" s="234"/>
      <c r="D9" s="234"/>
      <c r="E9" s="234"/>
      <c r="F9" s="234"/>
    </row>
    <row r="10" spans="1:6" x14ac:dyDescent="0.25">
      <c r="A10" s="234"/>
      <c r="B10" s="234"/>
      <c r="C10" s="234"/>
      <c r="D10" s="234"/>
      <c r="E10" s="234"/>
      <c r="F10" s="234"/>
    </row>
    <row r="11" spans="1:6" x14ac:dyDescent="0.25">
      <c r="A11" s="234"/>
      <c r="B11" s="234"/>
      <c r="C11" s="234"/>
      <c r="D11" s="234"/>
      <c r="E11" s="234"/>
      <c r="F11" s="234"/>
    </row>
    <row r="12" spans="1:6" x14ac:dyDescent="0.25">
      <c r="A12" s="234"/>
      <c r="B12" s="234"/>
      <c r="C12" s="234"/>
      <c r="D12" s="234"/>
      <c r="E12" s="234"/>
      <c r="F12" s="234"/>
    </row>
    <row r="13" spans="1:6" x14ac:dyDescent="0.25">
      <c r="A13" s="234"/>
      <c r="B13" s="234"/>
      <c r="C13" s="234"/>
      <c r="D13" s="234"/>
      <c r="E13" s="234"/>
      <c r="F13" s="234"/>
    </row>
    <row r="14" spans="1:6" x14ac:dyDescent="0.25">
      <c r="A14" s="234"/>
      <c r="B14" s="234"/>
      <c r="C14" s="234"/>
      <c r="D14" s="234"/>
      <c r="E14" s="234"/>
      <c r="F14" s="234"/>
    </row>
    <row r="15" spans="1:6" x14ac:dyDescent="0.25">
      <c r="A15" s="234"/>
      <c r="B15" s="234"/>
      <c r="C15" s="234"/>
      <c r="D15" s="234"/>
      <c r="E15" s="234"/>
      <c r="F15" s="234"/>
    </row>
    <row r="16" spans="1:6" x14ac:dyDescent="0.25">
      <c r="A16" s="234"/>
      <c r="B16" s="234"/>
      <c r="C16" s="234"/>
      <c r="D16" s="234"/>
      <c r="E16" s="234"/>
      <c r="F16" s="234"/>
    </row>
    <row r="17" spans="1:6" x14ac:dyDescent="0.25">
      <c r="A17" s="234"/>
      <c r="B17" s="234"/>
      <c r="C17" s="234"/>
      <c r="D17" s="234"/>
      <c r="E17" s="234"/>
      <c r="F17" s="234"/>
    </row>
    <row r="18" spans="1:6" x14ac:dyDescent="0.25">
      <c r="A18" s="234"/>
      <c r="B18" s="234"/>
      <c r="C18" s="234"/>
      <c r="D18" s="234"/>
      <c r="E18" s="234"/>
      <c r="F18" s="234"/>
    </row>
    <row r="19" spans="1:6" x14ac:dyDescent="0.25">
      <c r="A19" s="234"/>
      <c r="B19" s="234"/>
      <c r="C19" s="234"/>
      <c r="D19" s="234"/>
      <c r="E19" s="234"/>
      <c r="F19" s="234"/>
    </row>
    <row r="20" spans="1:6" x14ac:dyDescent="0.25">
      <c r="A20" s="153"/>
      <c r="B20" s="153"/>
      <c r="C20" s="153"/>
      <c r="D20" s="235" t="s">
        <v>640</v>
      </c>
      <c r="E20" s="235"/>
      <c r="F20" s="153"/>
    </row>
    <row r="21" spans="1:6" ht="15.75" thickBot="1" x14ac:dyDescent="0.3">
      <c r="A21" s="154" t="s">
        <v>111</v>
      </c>
      <c r="B21" s="154" t="s">
        <v>104</v>
      </c>
      <c r="C21" s="155" t="s">
        <v>105</v>
      </c>
      <c r="D21" s="154" t="s">
        <v>106</v>
      </c>
      <c r="E21" s="154" t="s">
        <v>107</v>
      </c>
      <c r="F21" s="156" t="s">
        <v>1017</v>
      </c>
    </row>
    <row r="22" spans="1:6" ht="29.25" thickTop="1" x14ac:dyDescent="0.25">
      <c r="A22" s="229">
        <v>1</v>
      </c>
      <c r="B22" s="147">
        <v>6028</v>
      </c>
      <c r="C22" s="102" t="s">
        <v>112</v>
      </c>
      <c r="D22" s="157" t="s">
        <v>113</v>
      </c>
      <c r="E22" s="158" t="s">
        <v>116</v>
      </c>
      <c r="F22" s="237">
        <v>70</v>
      </c>
    </row>
    <row r="23" spans="1:6" x14ac:dyDescent="0.25">
      <c r="A23" s="230"/>
      <c r="B23" s="144">
        <v>6040</v>
      </c>
      <c r="C23" s="55" t="s">
        <v>89</v>
      </c>
      <c r="D23" s="159" t="s">
        <v>118</v>
      </c>
      <c r="E23" s="160" t="s">
        <v>119</v>
      </c>
      <c r="F23" s="238"/>
    </row>
    <row r="24" spans="1:6" x14ac:dyDescent="0.25">
      <c r="A24" s="40">
        <v>2</v>
      </c>
      <c r="B24" s="41">
        <v>6003</v>
      </c>
      <c r="C24" s="42" t="s">
        <v>120</v>
      </c>
      <c r="D24" s="43" t="s">
        <v>121</v>
      </c>
      <c r="E24" s="44" t="s">
        <v>122</v>
      </c>
      <c r="F24" s="41">
        <v>50</v>
      </c>
    </row>
    <row r="25" spans="1:6" x14ac:dyDescent="0.25">
      <c r="A25" s="40">
        <v>3</v>
      </c>
      <c r="B25" s="41">
        <v>6005</v>
      </c>
      <c r="C25" s="42" t="s">
        <v>120</v>
      </c>
      <c r="D25" s="43" t="s">
        <v>123</v>
      </c>
      <c r="E25" s="44" t="s">
        <v>124</v>
      </c>
      <c r="F25" s="41">
        <v>70</v>
      </c>
    </row>
    <row r="26" spans="1:6" ht="28.5" x14ac:dyDescent="0.25">
      <c r="A26" s="227">
        <v>4</v>
      </c>
      <c r="B26" s="143">
        <v>6031</v>
      </c>
      <c r="C26" s="51" t="s">
        <v>81</v>
      </c>
      <c r="D26" s="52" t="s">
        <v>123</v>
      </c>
      <c r="E26" s="53" t="s">
        <v>125</v>
      </c>
      <c r="F26" s="207">
        <v>70</v>
      </c>
    </row>
    <row r="27" spans="1:6" x14ac:dyDescent="0.25">
      <c r="A27" s="224"/>
      <c r="B27" s="144">
        <v>6041</v>
      </c>
      <c r="C27" s="55" t="s">
        <v>126</v>
      </c>
      <c r="D27" s="56" t="s">
        <v>127</v>
      </c>
      <c r="E27" s="57" t="s">
        <v>128</v>
      </c>
      <c r="F27" s="208"/>
    </row>
    <row r="28" spans="1:6" x14ac:dyDescent="0.25">
      <c r="A28" s="40">
        <v>5</v>
      </c>
      <c r="B28" s="41">
        <v>6032</v>
      </c>
      <c r="C28" s="42" t="s">
        <v>129</v>
      </c>
      <c r="D28" s="43" t="s">
        <v>130</v>
      </c>
      <c r="E28" s="44" t="s">
        <v>131</v>
      </c>
      <c r="F28" s="41">
        <v>50</v>
      </c>
    </row>
    <row r="29" spans="1:6" ht="15.75" thickBot="1" x14ac:dyDescent="0.3">
      <c r="A29" s="161">
        <v>6</v>
      </c>
      <c r="B29" s="59">
        <v>6030</v>
      </c>
      <c r="C29" s="60" t="s">
        <v>129</v>
      </c>
      <c r="D29" s="61" t="s">
        <v>132</v>
      </c>
      <c r="E29" s="62" t="s">
        <v>133</v>
      </c>
      <c r="F29" s="59">
        <v>50</v>
      </c>
    </row>
    <row r="30" spans="1:6" ht="15.75" thickTop="1" x14ac:dyDescent="0.25"/>
    <row r="32" spans="1:6" x14ac:dyDescent="0.25">
      <c r="A32" s="148"/>
      <c r="B32" s="148"/>
      <c r="C32" s="148"/>
      <c r="D32" s="148"/>
      <c r="E32" s="149"/>
      <c r="F32" s="149"/>
    </row>
    <row r="33" spans="1:6" ht="15.75" x14ac:dyDescent="0.25">
      <c r="A33" s="148"/>
      <c r="B33" s="148"/>
      <c r="C33" s="148"/>
      <c r="D33" s="149"/>
      <c r="E33" s="149"/>
      <c r="F33" s="151" t="s">
        <v>2</v>
      </c>
    </row>
    <row r="34" spans="1:6" ht="15.75" x14ac:dyDescent="0.25">
      <c r="A34" s="148"/>
      <c r="B34" s="148"/>
      <c r="C34" s="148"/>
      <c r="D34" s="149"/>
      <c r="E34" s="149"/>
      <c r="F34" s="151" t="s">
        <v>3</v>
      </c>
    </row>
    <row r="35" spans="1:6" ht="15.75" x14ac:dyDescent="0.25">
      <c r="A35" s="148"/>
      <c r="B35" s="148"/>
      <c r="C35" s="148"/>
      <c r="D35" s="149"/>
      <c r="E35" s="149"/>
      <c r="F35" s="151" t="s">
        <v>7</v>
      </c>
    </row>
    <row r="36" spans="1:6" x14ac:dyDescent="0.25">
      <c r="A36" s="148"/>
      <c r="B36" s="148"/>
      <c r="C36" s="148"/>
      <c r="D36" s="149"/>
      <c r="E36" s="149"/>
      <c r="F36" s="152" t="s">
        <v>646</v>
      </c>
    </row>
    <row r="37" spans="1:6" ht="15" customHeight="1" x14ac:dyDescent="0.25">
      <c r="A37" s="234" t="s">
        <v>1022</v>
      </c>
      <c r="B37" s="234"/>
      <c r="C37" s="234"/>
      <c r="D37" s="234"/>
      <c r="E37" s="234"/>
      <c r="F37" s="234"/>
    </row>
    <row r="38" spans="1:6" ht="15" customHeight="1" x14ac:dyDescent="0.25">
      <c r="A38" s="234"/>
      <c r="B38" s="234"/>
      <c r="C38" s="234"/>
      <c r="D38" s="234"/>
      <c r="E38" s="234"/>
      <c r="F38" s="234"/>
    </row>
    <row r="39" spans="1:6" ht="15" customHeight="1" x14ac:dyDescent="0.25">
      <c r="A39" s="234"/>
      <c r="B39" s="234"/>
      <c r="C39" s="234"/>
      <c r="D39" s="234"/>
      <c r="E39" s="234"/>
      <c r="F39" s="234"/>
    </row>
    <row r="40" spans="1:6" ht="15" customHeight="1" x14ac:dyDescent="0.25">
      <c r="A40" s="234"/>
      <c r="B40" s="234"/>
      <c r="C40" s="234"/>
      <c r="D40" s="234"/>
      <c r="E40" s="234"/>
      <c r="F40" s="234"/>
    </row>
    <row r="41" spans="1:6" ht="15" customHeight="1" x14ac:dyDescent="0.25">
      <c r="A41" s="234"/>
      <c r="B41" s="234"/>
      <c r="C41" s="234"/>
      <c r="D41" s="234"/>
      <c r="E41" s="234"/>
      <c r="F41" s="234"/>
    </row>
    <row r="42" spans="1:6" ht="15" customHeight="1" x14ac:dyDescent="0.25">
      <c r="A42" s="234"/>
      <c r="B42" s="234"/>
      <c r="C42" s="234"/>
      <c r="D42" s="234"/>
      <c r="E42" s="234"/>
      <c r="F42" s="234"/>
    </row>
    <row r="43" spans="1:6" ht="15" customHeight="1" x14ac:dyDescent="0.25">
      <c r="A43" s="234"/>
      <c r="B43" s="234"/>
      <c r="C43" s="234"/>
      <c r="D43" s="234"/>
      <c r="E43" s="234"/>
      <c r="F43" s="234"/>
    </row>
    <row r="44" spans="1:6" ht="15" customHeight="1" x14ac:dyDescent="0.25">
      <c r="A44" s="234"/>
      <c r="B44" s="234"/>
      <c r="C44" s="234"/>
      <c r="D44" s="234"/>
      <c r="E44" s="234"/>
      <c r="F44" s="234"/>
    </row>
    <row r="45" spans="1:6" ht="15" customHeight="1" x14ac:dyDescent="0.25">
      <c r="A45" s="234"/>
      <c r="B45" s="234"/>
      <c r="C45" s="234"/>
      <c r="D45" s="234"/>
      <c r="E45" s="234"/>
      <c r="F45" s="234"/>
    </row>
    <row r="46" spans="1:6" ht="15" customHeight="1" x14ac:dyDescent="0.25">
      <c r="A46" s="234"/>
      <c r="B46" s="234"/>
      <c r="C46" s="234"/>
      <c r="D46" s="234"/>
      <c r="E46" s="234"/>
      <c r="F46" s="234"/>
    </row>
    <row r="47" spans="1:6" ht="15" customHeight="1" x14ac:dyDescent="0.25">
      <c r="A47" s="234"/>
      <c r="B47" s="234"/>
      <c r="C47" s="234"/>
      <c r="D47" s="234"/>
      <c r="E47" s="234"/>
      <c r="F47" s="234"/>
    </row>
    <row r="48" spans="1:6" ht="15" customHeight="1" x14ac:dyDescent="0.25">
      <c r="A48" s="234"/>
      <c r="B48" s="234"/>
      <c r="C48" s="234"/>
      <c r="D48" s="234"/>
      <c r="E48" s="234"/>
      <c r="F48" s="234"/>
    </row>
    <row r="49" spans="1:6" ht="15" customHeight="1" x14ac:dyDescent="0.25">
      <c r="A49" s="234"/>
      <c r="B49" s="234"/>
      <c r="C49" s="234"/>
      <c r="D49" s="234"/>
      <c r="E49" s="234"/>
      <c r="F49" s="234"/>
    </row>
    <row r="50" spans="1:6" ht="15" customHeight="1" x14ac:dyDescent="0.25">
      <c r="A50" s="234"/>
      <c r="B50" s="234"/>
      <c r="C50" s="234"/>
      <c r="D50" s="234"/>
      <c r="E50" s="234"/>
      <c r="F50" s="234"/>
    </row>
    <row r="51" spans="1:6" x14ac:dyDescent="0.25">
      <c r="A51" s="153"/>
      <c r="B51" s="153"/>
      <c r="C51" s="153"/>
      <c r="D51" s="235" t="s">
        <v>640</v>
      </c>
      <c r="E51" s="235"/>
      <c r="F51" s="153"/>
    </row>
    <row r="52" spans="1:6" x14ac:dyDescent="0.25">
      <c r="A52" s="154" t="s">
        <v>111</v>
      </c>
      <c r="B52" s="154" t="s">
        <v>104</v>
      </c>
      <c r="C52" s="155" t="s">
        <v>105</v>
      </c>
      <c r="D52" s="154" t="s">
        <v>106</v>
      </c>
      <c r="E52" s="154" t="s">
        <v>107</v>
      </c>
      <c r="F52" s="156" t="s">
        <v>1017</v>
      </c>
    </row>
    <row r="53" spans="1:6" x14ac:dyDescent="0.25">
      <c r="A53" s="40">
        <v>7</v>
      </c>
      <c r="B53" s="41">
        <v>6006</v>
      </c>
      <c r="C53" s="42" t="s">
        <v>44</v>
      </c>
      <c r="D53" s="67" t="s">
        <v>113</v>
      </c>
      <c r="E53" s="68" t="s">
        <v>139</v>
      </c>
      <c r="F53" s="69">
        <v>70</v>
      </c>
    </row>
    <row r="54" spans="1:6" x14ac:dyDescent="0.25">
      <c r="A54" s="40">
        <v>8</v>
      </c>
      <c r="B54" s="41">
        <v>6021</v>
      </c>
      <c r="C54" s="42" t="s">
        <v>44</v>
      </c>
      <c r="D54" s="67" t="s">
        <v>141</v>
      </c>
      <c r="E54" s="68" t="s">
        <v>142</v>
      </c>
      <c r="F54" s="69">
        <v>70</v>
      </c>
    </row>
    <row r="55" spans="1:6" ht="28.5" x14ac:dyDescent="0.25">
      <c r="A55" s="40">
        <v>9</v>
      </c>
      <c r="B55" s="41">
        <v>6020</v>
      </c>
      <c r="C55" s="42" t="s">
        <v>65</v>
      </c>
      <c r="D55" s="67" t="s">
        <v>121</v>
      </c>
      <c r="E55" s="68" t="s">
        <v>132</v>
      </c>
      <c r="F55" s="69">
        <v>50</v>
      </c>
    </row>
    <row r="56" spans="1:6" x14ac:dyDescent="0.25">
      <c r="A56" s="40">
        <v>10</v>
      </c>
      <c r="B56" s="41">
        <v>6026</v>
      </c>
      <c r="C56" s="42" t="s">
        <v>143</v>
      </c>
      <c r="D56" s="67" t="s">
        <v>123</v>
      </c>
      <c r="E56" s="68" t="s">
        <v>124</v>
      </c>
      <c r="F56" s="41">
        <v>70</v>
      </c>
    </row>
    <row r="57" spans="1:6" x14ac:dyDescent="0.25">
      <c r="A57" s="227">
        <v>11</v>
      </c>
      <c r="B57" s="143">
        <v>6012</v>
      </c>
      <c r="C57" s="51" t="s">
        <v>49</v>
      </c>
      <c r="D57" s="52" t="s">
        <v>127</v>
      </c>
      <c r="E57" s="53" t="s">
        <v>131</v>
      </c>
      <c r="F57" s="207">
        <v>70</v>
      </c>
    </row>
    <row r="58" spans="1:6" x14ac:dyDescent="0.25">
      <c r="A58" s="224"/>
      <c r="B58" s="144">
        <v>6043</v>
      </c>
      <c r="C58" s="55" t="s">
        <v>143</v>
      </c>
      <c r="D58" s="56" t="s">
        <v>142</v>
      </c>
      <c r="E58" s="57" t="s">
        <v>144</v>
      </c>
      <c r="F58" s="208"/>
    </row>
    <row r="59" spans="1:6" x14ac:dyDescent="0.25">
      <c r="A59" s="77">
        <v>12</v>
      </c>
      <c r="B59" s="78">
        <v>6002</v>
      </c>
      <c r="C59" s="79" t="s">
        <v>76</v>
      </c>
      <c r="D59" s="80" t="s">
        <v>132</v>
      </c>
      <c r="E59" s="81" t="s">
        <v>119</v>
      </c>
      <c r="F59" s="78">
        <v>70</v>
      </c>
    </row>
    <row r="60" spans="1:6" ht="15.75" thickBot="1" x14ac:dyDescent="0.3">
      <c r="A60" s="161">
        <v>13</v>
      </c>
      <c r="B60" s="59">
        <v>6034</v>
      </c>
      <c r="C60" s="60" t="s">
        <v>76</v>
      </c>
      <c r="D60" s="61" t="s">
        <v>148</v>
      </c>
      <c r="E60" s="62" t="s">
        <v>149</v>
      </c>
      <c r="F60" s="59">
        <v>70</v>
      </c>
    </row>
    <row r="61" spans="1:6" ht="15.75" thickTop="1" x14ac:dyDescent="0.25"/>
    <row r="64" spans="1:6" x14ac:dyDescent="0.25">
      <c r="A64" s="148"/>
      <c r="B64" s="148"/>
      <c r="C64" s="148"/>
      <c r="D64" s="148"/>
      <c r="E64" s="149"/>
      <c r="F64" s="149"/>
    </row>
    <row r="65" spans="1:6" ht="15.75" x14ac:dyDescent="0.25">
      <c r="A65" s="148"/>
      <c r="B65" s="148"/>
      <c r="C65" s="148"/>
      <c r="D65" s="149"/>
      <c r="E65" s="149"/>
      <c r="F65" s="151" t="s">
        <v>2</v>
      </c>
    </row>
    <row r="66" spans="1:6" ht="15.75" x14ac:dyDescent="0.25">
      <c r="A66" s="148"/>
      <c r="B66" s="148"/>
      <c r="C66" s="148"/>
      <c r="D66" s="149"/>
      <c r="E66" s="149"/>
      <c r="F66" s="151" t="s">
        <v>3</v>
      </c>
    </row>
    <row r="67" spans="1:6" ht="15.75" x14ac:dyDescent="0.25">
      <c r="A67" s="148"/>
      <c r="B67" s="148"/>
      <c r="C67" s="148"/>
      <c r="D67" s="149"/>
      <c r="E67" s="149"/>
      <c r="F67" s="151" t="s">
        <v>7</v>
      </c>
    </row>
    <row r="68" spans="1:6" x14ac:dyDescent="0.25">
      <c r="A68" s="148"/>
      <c r="B68" s="148"/>
      <c r="C68" s="148"/>
      <c r="D68" s="149"/>
      <c r="E68" s="149"/>
      <c r="F68" s="152" t="s">
        <v>646</v>
      </c>
    </row>
    <row r="69" spans="1:6" ht="15" customHeight="1" x14ac:dyDescent="0.25">
      <c r="A69" s="234" t="s">
        <v>1021</v>
      </c>
      <c r="B69" s="234"/>
      <c r="C69" s="234"/>
      <c r="D69" s="234"/>
      <c r="E69" s="234"/>
      <c r="F69" s="234"/>
    </row>
    <row r="70" spans="1:6" ht="15" customHeight="1" x14ac:dyDescent="0.25">
      <c r="A70" s="234"/>
      <c r="B70" s="234"/>
      <c r="C70" s="234"/>
      <c r="D70" s="234"/>
      <c r="E70" s="234"/>
      <c r="F70" s="234"/>
    </row>
    <row r="71" spans="1:6" ht="15" customHeight="1" x14ac:dyDescent="0.25">
      <c r="A71" s="234"/>
      <c r="B71" s="234"/>
      <c r="C71" s="234"/>
      <c r="D71" s="234"/>
      <c r="E71" s="234"/>
      <c r="F71" s="234"/>
    </row>
    <row r="72" spans="1:6" ht="15" customHeight="1" x14ac:dyDescent="0.25">
      <c r="A72" s="234"/>
      <c r="B72" s="234"/>
      <c r="C72" s="234"/>
      <c r="D72" s="234"/>
      <c r="E72" s="234"/>
      <c r="F72" s="234"/>
    </row>
    <row r="73" spans="1:6" ht="15" customHeight="1" x14ac:dyDescent="0.25">
      <c r="A73" s="234"/>
      <c r="B73" s="234"/>
      <c r="C73" s="234"/>
      <c r="D73" s="234"/>
      <c r="E73" s="234"/>
      <c r="F73" s="234"/>
    </row>
    <row r="74" spans="1:6" ht="15" customHeight="1" x14ac:dyDescent="0.25">
      <c r="A74" s="234"/>
      <c r="B74" s="234"/>
      <c r="C74" s="234"/>
      <c r="D74" s="234"/>
      <c r="E74" s="234"/>
      <c r="F74" s="234"/>
    </row>
    <row r="75" spans="1:6" ht="15" customHeight="1" x14ac:dyDescent="0.25">
      <c r="A75" s="234"/>
      <c r="B75" s="234"/>
      <c r="C75" s="234"/>
      <c r="D75" s="234"/>
      <c r="E75" s="234"/>
      <c r="F75" s="234"/>
    </row>
    <row r="76" spans="1:6" ht="15" customHeight="1" x14ac:dyDescent="0.25">
      <c r="A76" s="234"/>
      <c r="B76" s="234"/>
      <c r="C76" s="234"/>
      <c r="D76" s="234"/>
      <c r="E76" s="234"/>
      <c r="F76" s="234"/>
    </row>
    <row r="77" spans="1:6" ht="15" customHeight="1" x14ac:dyDescent="0.25">
      <c r="A77" s="234"/>
      <c r="B77" s="234"/>
      <c r="C77" s="234"/>
      <c r="D77" s="234"/>
      <c r="E77" s="234"/>
      <c r="F77" s="234"/>
    </row>
    <row r="78" spans="1:6" ht="15" customHeight="1" x14ac:dyDescent="0.25">
      <c r="A78" s="234"/>
      <c r="B78" s="234"/>
      <c r="C78" s="234"/>
      <c r="D78" s="234"/>
      <c r="E78" s="234"/>
      <c r="F78" s="234"/>
    </row>
    <row r="79" spans="1:6" ht="15" customHeight="1" x14ac:dyDescent="0.25">
      <c r="A79" s="234"/>
      <c r="B79" s="234"/>
      <c r="C79" s="234"/>
      <c r="D79" s="234"/>
      <c r="E79" s="234"/>
      <c r="F79" s="234"/>
    </row>
    <row r="80" spans="1:6" ht="15" customHeight="1" x14ac:dyDescent="0.25">
      <c r="A80" s="234"/>
      <c r="B80" s="234"/>
      <c r="C80" s="234"/>
      <c r="D80" s="234"/>
      <c r="E80" s="234"/>
      <c r="F80" s="234"/>
    </row>
    <row r="81" spans="1:6" ht="15" customHeight="1" x14ac:dyDescent="0.25">
      <c r="A81" s="234"/>
      <c r="B81" s="234"/>
      <c r="C81" s="234"/>
      <c r="D81" s="234"/>
      <c r="E81" s="234"/>
      <c r="F81" s="234"/>
    </row>
    <row r="82" spans="1:6" ht="15" customHeight="1" x14ac:dyDescent="0.25">
      <c r="A82" s="234"/>
      <c r="B82" s="234"/>
      <c r="C82" s="234"/>
      <c r="D82" s="234"/>
      <c r="E82" s="234"/>
      <c r="F82" s="234"/>
    </row>
    <row r="83" spans="1:6" x14ac:dyDescent="0.25">
      <c r="A83" s="153"/>
      <c r="B83" s="153"/>
      <c r="C83" s="153"/>
      <c r="D83" s="235" t="s">
        <v>640</v>
      </c>
      <c r="E83" s="235"/>
      <c r="F83" s="153"/>
    </row>
    <row r="84" spans="1:6" ht="15.75" thickBot="1" x14ac:dyDescent="0.3">
      <c r="A84" s="154" t="s">
        <v>111</v>
      </c>
      <c r="B84" s="154" t="s">
        <v>104</v>
      </c>
      <c r="C84" s="155" t="s">
        <v>105</v>
      </c>
      <c r="D84" s="154" t="s">
        <v>106</v>
      </c>
      <c r="E84" s="154" t="s">
        <v>107</v>
      </c>
      <c r="F84" s="156" t="s">
        <v>1017</v>
      </c>
    </row>
    <row r="85" spans="1:6" ht="29.25" thickTop="1" x14ac:dyDescent="0.25">
      <c r="A85" s="87">
        <v>14</v>
      </c>
      <c r="B85" s="88">
        <v>6022</v>
      </c>
      <c r="C85" s="89" t="s">
        <v>150</v>
      </c>
      <c r="D85" s="90" t="s">
        <v>113</v>
      </c>
      <c r="E85" s="91" t="s">
        <v>139</v>
      </c>
      <c r="F85" s="88">
        <v>70</v>
      </c>
    </row>
    <row r="86" spans="1:6" ht="28.5" x14ac:dyDescent="0.25">
      <c r="A86" s="40">
        <v>15</v>
      </c>
      <c r="B86" s="41">
        <v>6033</v>
      </c>
      <c r="C86" s="42" t="s">
        <v>152</v>
      </c>
      <c r="D86" s="162" t="s">
        <v>153</v>
      </c>
      <c r="E86" s="68" t="s">
        <v>116</v>
      </c>
      <c r="F86" s="41">
        <v>70</v>
      </c>
    </row>
    <row r="87" spans="1:6" x14ac:dyDescent="0.25">
      <c r="A87" s="40">
        <v>16</v>
      </c>
      <c r="B87" s="41">
        <v>6042</v>
      </c>
      <c r="C87" s="42" t="s">
        <v>44</v>
      </c>
      <c r="D87" s="67" t="s">
        <v>154</v>
      </c>
      <c r="E87" s="68" t="s">
        <v>142</v>
      </c>
      <c r="F87" s="41">
        <v>50</v>
      </c>
    </row>
    <row r="88" spans="1:6" x14ac:dyDescent="0.25">
      <c r="A88" s="40">
        <v>17</v>
      </c>
      <c r="B88" s="41">
        <v>6008</v>
      </c>
      <c r="C88" s="42" t="s">
        <v>44</v>
      </c>
      <c r="D88" s="67" t="s">
        <v>155</v>
      </c>
      <c r="E88" s="68" t="s">
        <v>124</v>
      </c>
      <c r="F88" s="41">
        <v>50</v>
      </c>
    </row>
    <row r="89" spans="1:6" x14ac:dyDescent="0.25">
      <c r="A89" s="231">
        <v>18</v>
      </c>
      <c r="B89" s="145">
        <v>6015</v>
      </c>
      <c r="C89" s="94" t="s">
        <v>156</v>
      </c>
      <c r="D89" s="95" t="s">
        <v>139</v>
      </c>
      <c r="E89" s="96" t="s">
        <v>132</v>
      </c>
      <c r="F89" s="214">
        <v>70</v>
      </c>
    </row>
    <row r="90" spans="1:6" ht="57" x14ac:dyDescent="0.25">
      <c r="A90" s="224"/>
      <c r="B90" s="144">
        <v>6045</v>
      </c>
      <c r="C90" s="55" t="s">
        <v>157</v>
      </c>
      <c r="D90" s="57" t="s">
        <v>116</v>
      </c>
      <c r="E90" s="57" t="s">
        <v>125</v>
      </c>
      <c r="F90" s="208"/>
    </row>
    <row r="91" spans="1:6" ht="28.5" x14ac:dyDescent="0.25">
      <c r="A91" s="227">
        <v>19</v>
      </c>
      <c r="B91" s="143">
        <v>6036</v>
      </c>
      <c r="C91" s="51" t="s">
        <v>158</v>
      </c>
      <c r="D91" s="52" t="s">
        <v>122</v>
      </c>
      <c r="E91" s="53" t="s">
        <v>161</v>
      </c>
      <c r="F91" s="232">
        <v>70</v>
      </c>
    </row>
    <row r="92" spans="1:6" ht="15.75" thickBot="1" x14ac:dyDescent="0.3">
      <c r="A92" s="228"/>
      <c r="B92" s="146">
        <v>6035</v>
      </c>
      <c r="C92" s="111" t="s">
        <v>84</v>
      </c>
      <c r="D92" s="112" t="s">
        <v>124</v>
      </c>
      <c r="E92" s="113" t="s">
        <v>144</v>
      </c>
      <c r="F92" s="233"/>
    </row>
    <row r="93" spans="1:6" ht="15.75" thickTop="1" x14ac:dyDescent="0.25"/>
    <row r="96" spans="1:6" x14ac:dyDescent="0.25">
      <c r="A96" s="148"/>
      <c r="B96" s="148"/>
      <c r="C96" s="148"/>
      <c r="D96" s="148"/>
      <c r="E96" s="149"/>
      <c r="F96" s="149"/>
    </row>
    <row r="97" spans="1:6" ht="15.75" x14ac:dyDescent="0.25">
      <c r="A97" s="148"/>
      <c r="B97" s="148"/>
      <c r="C97" s="148"/>
      <c r="D97" s="149"/>
      <c r="E97" s="149"/>
      <c r="F97" s="151" t="s">
        <v>2</v>
      </c>
    </row>
    <row r="98" spans="1:6" ht="15.75" x14ac:dyDescent="0.25">
      <c r="A98" s="148"/>
      <c r="B98" s="148"/>
      <c r="C98" s="148"/>
      <c r="D98" s="149"/>
      <c r="E98" s="149"/>
      <c r="F98" s="151" t="s">
        <v>3</v>
      </c>
    </row>
    <row r="99" spans="1:6" ht="15.75" x14ac:dyDescent="0.25">
      <c r="A99" s="148"/>
      <c r="B99" s="148"/>
      <c r="C99" s="148"/>
      <c r="D99" s="149"/>
      <c r="E99" s="149"/>
      <c r="F99" s="151" t="s">
        <v>7</v>
      </c>
    </row>
    <row r="100" spans="1:6" x14ac:dyDescent="0.25">
      <c r="A100" s="148"/>
      <c r="B100" s="148"/>
      <c r="C100" s="148"/>
      <c r="D100" s="149"/>
      <c r="E100" s="149"/>
      <c r="F100" s="152" t="s">
        <v>646</v>
      </c>
    </row>
    <row r="101" spans="1:6" ht="15" customHeight="1" x14ac:dyDescent="0.25">
      <c r="A101" s="234" t="s">
        <v>1020</v>
      </c>
      <c r="B101" s="234"/>
      <c r="C101" s="234"/>
      <c r="D101" s="234"/>
      <c r="E101" s="234"/>
      <c r="F101" s="234"/>
    </row>
    <row r="102" spans="1:6" ht="15" customHeight="1" x14ac:dyDescent="0.25">
      <c r="A102" s="234"/>
      <c r="B102" s="234"/>
      <c r="C102" s="234"/>
      <c r="D102" s="234"/>
      <c r="E102" s="234"/>
      <c r="F102" s="234"/>
    </row>
    <row r="103" spans="1:6" ht="15" customHeight="1" x14ac:dyDescent="0.25">
      <c r="A103" s="234"/>
      <c r="B103" s="234"/>
      <c r="C103" s="234"/>
      <c r="D103" s="234"/>
      <c r="E103" s="234"/>
      <c r="F103" s="234"/>
    </row>
    <row r="104" spans="1:6" ht="15" customHeight="1" x14ac:dyDescent="0.25">
      <c r="A104" s="234"/>
      <c r="B104" s="234"/>
      <c r="C104" s="234"/>
      <c r="D104" s="234"/>
      <c r="E104" s="234"/>
      <c r="F104" s="234"/>
    </row>
    <row r="105" spans="1:6" ht="15" customHeight="1" x14ac:dyDescent="0.25">
      <c r="A105" s="234"/>
      <c r="B105" s="234"/>
      <c r="C105" s="234"/>
      <c r="D105" s="234"/>
      <c r="E105" s="234"/>
      <c r="F105" s="234"/>
    </row>
    <row r="106" spans="1:6" ht="15" customHeight="1" x14ac:dyDescent="0.25">
      <c r="A106" s="234"/>
      <c r="B106" s="234"/>
      <c r="C106" s="234"/>
      <c r="D106" s="234"/>
      <c r="E106" s="234"/>
      <c r="F106" s="234"/>
    </row>
    <row r="107" spans="1:6" ht="15" customHeight="1" x14ac:dyDescent="0.25">
      <c r="A107" s="234"/>
      <c r="B107" s="234"/>
      <c r="C107" s="234"/>
      <c r="D107" s="234"/>
      <c r="E107" s="234"/>
      <c r="F107" s="234"/>
    </row>
    <row r="108" spans="1:6" ht="15" customHeight="1" x14ac:dyDescent="0.25">
      <c r="A108" s="234"/>
      <c r="B108" s="234"/>
      <c r="C108" s="234"/>
      <c r="D108" s="234"/>
      <c r="E108" s="234"/>
      <c r="F108" s="234"/>
    </row>
    <row r="109" spans="1:6" ht="15" customHeight="1" x14ac:dyDescent="0.25">
      <c r="A109" s="234"/>
      <c r="B109" s="234"/>
      <c r="C109" s="234"/>
      <c r="D109" s="234"/>
      <c r="E109" s="234"/>
      <c r="F109" s="234"/>
    </row>
    <row r="110" spans="1:6" ht="15" customHeight="1" x14ac:dyDescent="0.25">
      <c r="A110" s="234"/>
      <c r="B110" s="234"/>
      <c r="C110" s="234"/>
      <c r="D110" s="234"/>
      <c r="E110" s="234"/>
      <c r="F110" s="234"/>
    </row>
    <row r="111" spans="1:6" ht="15" customHeight="1" x14ac:dyDescent="0.25">
      <c r="A111" s="234"/>
      <c r="B111" s="234"/>
      <c r="C111" s="234"/>
      <c r="D111" s="234"/>
      <c r="E111" s="234"/>
      <c r="F111" s="234"/>
    </row>
    <row r="112" spans="1:6" ht="15" customHeight="1" x14ac:dyDescent="0.25">
      <c r="A112" s="234"/>
      <c r="B112" s="234"/>
      <c r="C112" s="234"/>
      <c r="D112" s="234"/>
      <c r="E112" s="234"/>
      <c r="F112" s="234"/>
    </row>
    <row r="113" spans="1:6" ht="15" customHeight="1" x14ac:dyDescent="0.25">
      <c r="A113" s="234"/>
      <c r="B113" s="234"/>
      <c r="C113" s="234"/>
      <c r="D113" s="234"/>
      <c r="E113" s="234"/>
      <c r="F113" s="234"/>
    </row>
    <row r="114" spans="1:6" ht="15" customHeight="1" x14ac:dyDescent="0.25">
      <c r="A114" s="234"/>
      <c r="B114" s="234"/>
      <c r="C114" s="234"/>
      <c r="D114" s="234"/>
      <c r="E114" s="234"/>
      <c r="F114" s="234"/>
    </row>
    <row r="115" spans="1:6" x14ac:dyDescent="0.25">
      <c r="A115" s="153"/>
      <c r="B115" s="153"/>
      <c r="C115" s="153"/>
      <c r="D115" s="235" t="s">
        <v>640</v>
      </c>
      <c r="E115" s="235"/>
      <c r="F115" s="153"/>
    </row>
    <row r="116" spans="1:6" ht="15.75" thickBot="1" x14ac:dyDescent="0.3">
      <c r="A116" s="154" t="s">
        <v>111</v>
      </c>
      <c r="B116" s="154" t="s">
        <v>104</v>
      </c>
      <c r="C116" s="155" t="s">
        <v>105</v>
      </c>
      <c r="D116" s="154" t="s">
        <v>106</v>
      </c>
      <c r="E116" s="154" t="s">
        <v>107</v>
      </c>
      <c r="F116" s="156" t="s">
        <v>1017</v>
      </c>
    </row>
    <row r="117" spans="1:6" ht="15.75" thickTop="1" x14ac:dyDescent="0.25">
      <c r="A117" s="223">
        <v>22</v>
      </c>
      <c r="B117" s="147">
        <v>6023</v>
      </c>
      <c r="C117" s="102" t="s">
        <v>70</v>
      </c>
      <c r="D117" s="103" t="s">
        <v>113</v>
      </c>
      <c r="E117" s="104" t="s">
        <v>127</v>
      </c>
      <c r="F117" s="225">
        <v>70</v>
      </c>
    </row>
    <row r="118" spans="1:6" ht="28.5" x14ac:dyDescent="0.25">
      <c r="A118" s="224"/>
      <c r="B118" s="144">
        <v>6039</v>
      </c>
      <c r="C118" s="55" t="s">
        <v>87</v>
      </c>
      <c r="D118" s="56" t="s">
        <v>153</v>
      </c>
      <c r="E118" s="57" t="s">
        <v>116</v>
      </c>
      <c r="F118" s="208"/>
    </row>
    <row r="119" spans="1:6" x14ac:dyDescent="0.25">
      <c r="A119" s="77">
        <v>20</v>
      </c>
      <c r="B119" s="78">
        <v>6037</v>
      </c>
      <c r="C119" s="79" t="s">
        <v>165</v>
      </c>
      <c r="D119" s="163" t="s">
        <v>154</v>
      </c>
      <c r="E119" s="164" t="s">
        <v>142</v>
      </c>
      <c r="F119" s="78">
        <v>70</v>
      </c>
    </row>
    <row r="120" spans="1:6" x14ac:dyDescent="0.25">
      <c r="A120" s="40">
        <v>21</v>
      </c>
      <c r="B120" s="41">
        <v>6018</v>
      </c>
      <c r="C120" s="42" t="s">
        <v>165</v>
      </c>
      <c r="D120" s="67" t="s">
        <v>155</v>
      </c>
      <c r="E120" s="68" t="s">
        <v>132</v>
      </c>
      <c r="F120" s="41">
        <v>70</v>
      </c>
    </row>
    <row r="121" spans="1:6" ht="28.5" x14ac:dyDescent="0.25">
      <c r="A121" s="227">
        <v>23</v>
      </c>
      <c r="B121" s="143">
        <v>6014</v>
      </c>
      <c r="C121" s="51" t="s">
        <v>166</v>
      </c>
      <c r="D121" s="52" t="s">
        <v>139</v>
      </c>
      <c r="E121" s="53" t="s">
        <v>125</v>
      </c>
      <c r="F121" s="232">
        <v>70</v>
      </c>
    </row>
    <row r="122" spans="1:6" ht="28.5" x14ac:dyDescent="0.25">
      <c r="A122" s="224"/>
      <c r="B122" s="144">
        <v>6013</v>
      </c>
      <c r="C122" s="55" t="s">
        <v>50</v>
      </c>
      <c r="D122" s="56" t="s">
        <v>116</v>
      </c>
      <c r="E122" s="56" t="s">
        <v>149</v>
      </c>
      <c r="F122" s="236"/>
    </row>
    <row r="123" spans="1:6" x14ac:dyDescent="0.25">
      <c r="A123" s="227">
        <v>24</v>
      </c>
      <c r="B123" s="143">
        <v>6004</v>
      </c>
      <c r="C123" s="51" t="s">
        <v>42</v>
      </c>
      <c r="D123" s="52" t="s">
        <v>122</v>
      </c>
      <c r="E123" s="53" t="s">
        <v>131</v>
      </c>
      <c r="F123" s="207">
        <v>70</v>
      </c>
    </row>
    <row r="124" spans="1:6" ht="29.25" thickBot="1" x14ac:dyDescent="0.3">
      <c r="A124" s="228"/>
      <c r="B124" s="146">
        <v>6017</v>
      </c>
      <c r="C124" s="111" t="s">
        <v>167</v>
      </c>
      <c r="D124" s="112" t="s">
        <v>124</v>
      </c>
      <c r="E124" s="113" t="s">
        <v>168</v>
      </c>
      <c r="F124" s="222"/>
    </row>
    <row r="125" spans="1:6" ht="15.75" thickTop="1" x14ac:dyDescent="0.25"/>
    <row r="128" spans="1:6" x14ac:dyDescent="0.25">
      <c r="A128" s="148"/>
      <c r="B128" s="148"/>
      <c r="C128" s="148"/>
      <c r="D128" s="148"/>
      <c r="E128" s="149"/>
      <c r="F128" s="149"/>
    </row>
    <row r="129" spans="1:6" ht="15.75" x14ac:dyDescent="0.25">
      <c r="A129" s="148"/>
      <c r="B129" s="148"/>
      <c r="C129" s="148"/>
      <c r="D129" s="149"/>
      <c r="E129" s="149"/>
      <c r="F129" s="151" t="s">
        <v>2</v>
      </c>
    </row>
    <row r="130" spans="1:6" ht="15.75" x14ac:dyDescent="0.25">
      <c r="A130" s="148"/>
      <c r="B130" s="148"/>
      <c r="C130" s="148"/>
      <c r="D130" s="149"/>
      <c r="E130" s="149"/>
      <c r="F130" s="151" t="s">
        <v>3</v>
      </c>
    </row>
    <row r="131" spans="1:6" ht="15.75" x14ac:dyDescent="0.25">
      <c r="A131" s="148"/>
      <c r="B131" s="148"/>
      <c r="C131" s="148"/>
      <c r="D131" s="149"/>
      <c r="E131" s="149"/>
      <c r="F131" s="151" t="s">
        <v>7</v>
      </c>
    </row>
    <row r="132" spans="1:6" x14ac:dyDescent="0.25">
      <c r="A132" s="148"/>
      <c r="B132" s="148"/>
      <c r="C132" s="148"/>
      <c r="D132" s="149"/>
      <c r="E132" s="149"/>
      <c r="F132" s="152" t="s">
        <v>646</v>
      </c>
    </row>
    <row r="133" spans="1:6" ht="15" customHeight="1" x14ac:dyDescent="0.25">
      <c r="A133" s="234" t="s">
        <v>1019</v>
      </c>
      <c r="B133" s="234"/>
      <c r="C133" s="234"/>
      <c r="D133" s="234"/>
      <c r="E133" s="234"/>
      <c r="F133" s="234"/>
    </row>
    <row r="134" spans="1:6" ht="15" customHeight="1" x14ac:dyDescent="0.25">
      <c r="A134" s="234"/>
      <c r="B134" s="234"/>
      <c r="C134" s="234"/>
      <c r="D134" s="234"/>
      <c r="E134" s="234"/>
      <c r="F134" s="234"/>
    </row>
    <row r="135" spans="1:6" ht="15" customHeight="1" x14ac:dyDescent="0.25">
      <c r="A135" s="234"/>
      <c r="B135" s="234"/>
      <c r="C135" s="234"/>
      <c r="D135" s="234"/>
      <c r="E135" s="234"/>
      <c r="F135" s="234"/>
    </row>
    <row r="136" spans="1:6" ht="15" customHeight="1" x14ac:dyDescent="0.25">
      <c r="A136" s="234"/>
      <c r="B136" s="234"/>
      <c r="C136" s="234"/>
      <c r="D136" s="234"/>
      <c r="E136" s="234"/>
      <c r="F136" s="234"/>
    </row>
    <row r="137" spans="1:6" ht="15" customHeight="1" x14ac:dyDescent="0.25">
      <c r="A137" s="234"/>
      <c r="B137" s="234"/>
      <c r="C137" s="234"/>
      <c r="D137" s="234"/>
      <c r="E137" s="234"/>
      <c r="F137" s="234"/>
    </row>
    <row r="138" spans="1:6" ht="15" customHeight="1" x14ac:dyDescent="0.25">
      <c r="A138" s="234"/>
      <c r="B138" s="234"/>
      <c r="C138" s="234"/>
      <c r="D138" s="234"/>
      <c r="E138" s="234"/>
      <c r="F138" s="234"/>
    </row>
    <row r="139" spans="1:6" ht="15" customHeight="1" x14ac:dyDescent="0.25">
      <c r="A139" s="234"/>
      <c r="B139" s="234"/>
      <c r="C139" s="234"/>
      <c r="D139" s="234"/>
      <c r="E139" s="234"/>
      <c r="F139" s="234"/>
    </row>
    <row r="140" spans="1:6" ht="15" customHeight="1" x14ac:dyDescent="0.25">
      <c r="A140" s="234"/>
      <c r="B140" s="234"/>
      <c r="C140" s="234"/>
      <c r="D140" s="234"/>
      <c r="E140" s="234"/>
      <c r="F140" s="234"/>
    </row>
    <row r="141" spans="1:6" ht="15" customHeight="1" x14ac:dyDescent="0.25">
      <c r="A141" s="234"/>
      <c r="B141" s="234"/>
      <c r="C141" s="234"/>
      <c r="D141" s="234"/>
      <c r="E141" s="234"/>
      <c r="F141" s="234"/>
    </row>
    <row r="142" spans="1:6" ht="15" customHeight="1" x14ac:dyDescent="0.25">
      <c r="A142" s="234"/>
      <c r="B142" s="234"/>
      <c r="C142" s="234"/>
      <c r="D142" s="234"/>
      <c r="E142" s="234"/>
      <c r="F142" s="234"/>
    </row>
    <row r="143" spans="1:6" ht="15" customHeight="1" x14ac:dyDescent="0.25">
      <c r="A143" s="234"/>
      <c r="B143" s="234"/>
      <c r="C143" s="234"/>
      <c r="D143" s="234"/>
      <c r="E143" s="234"/>
      <c r="F143" s="234"/>
    </row>
    <row r="144" spans="1:6" ht="15" customHeight="1" x14ac:dyDescent="0.25">
      <c r="A144" s="234"/>
      <c r="B144" s="234"/>
      <c r="C144" s="234"/>
      <c r="D144" s="234"/>
      <c r="E144" s="234"/>
      <c r="F144" s="234"/>
    </row>
    <row r="145" spans="1:6" ht="15" customHeight="1" x14ac:dyDescent="0.25">
      <c r="A145" s="234"/>
      <c r="B145" s="234"/>
      <c r="C145" s="234"/>
      <c r="D145" s="234"/>
      <c r="E145" s="234"/>
      <c r="F145" s="234"/>
    </row>
    <row r="146" spans="1:6" ht="15" customHeight="1" x14ac:dyDescent="0.25">
      <c r="A146" s="234"/>
      <c r="B146" s="234"/>
      <c r="C146" s="234"/>
      <c r="D146" s="234"/>
      <c r="E146" s="234"/>
      <c r="F146" s="234"/>
    </row>
    <row r="147" spans="1:6" x14ac:dyDescent="0.25">
      <c r="A147" s="153"/>
      <c r="B147" s="153"/>
      <c r="C147" s="153"/>
      <c r="D147" s="235" t="s">
        <v>640</v>
      </c>
      <c r="E147" s="235"/>
      <c r="F147" s="153"/>
    </row>
    <row r="148" spans="1:6" x14ac:dyDescent="0.25">
      <c r="A148" s="154" t="s">
        <v>111</v>
      </c>
      <c r="B148" s="154" t="s">
        <v>104</v>
      </c>
      <c r="C148" s="155" t="s">
        <v>105</v>
      </c>
      <c r="D148" s="154" t="s">
        <v>106</v>
      </c>
      <c r="E148" s="154" t="s">
        <v>107</v>
      </c>
      <c r="F148" s="156" t="s">
        <v>1017</v>
      </c>
    </row>
    <row r="149" spans="1:6" ht="28.5" x14ac:dyDescent="0.25">
      <c r="A149" s="40">
        <v>25</v>
      </c>
      <c r="B149" s="41">
        <v>6001</v>
      </c>
      <c r="C149" s="42" t="s">
        <v>169</v>
      </c>
      <c r="D149" s="68" t="s">
        <v>113</v>
      </c>
      <c r="E149" s="68" t="s">
        <v>139</v>
      </c>
      <c r="F149" s="41">
        <v>70</v>
      </c>
    </row>
    <row r="150" spans="1:6" ht="28.5" x14ac:dyDescent="0.25">
      <c r="A150" s="114">
        <v>26</v>
      </c>
      <c r="B150" s="115">
        <v>6027</v>
      </c>
      <c r="C150" s="116" t="s">
        <v>77</v>
      </c>
      <c r="D150" s="117" t="s">
        <v>153</v>
      </c>
      <c r="E150" s="117" t="s">
        <v>116</v>
      </c>
      <c r="F150" s="115">
        <v>50</v>
      </c>
    </row>
    <row r="151" spans="1:6" x14ac:dyDescent="0.25">
      <c r="A151" s="40">
        <v>27</v>
      </c>
      <c r="B151" s="41">
        <v>6044</v>
      </c>
      <c r="C151" s="42" t="s">
        <v>172</v>
      </c>
      <c r="D151" s="67" t="s">
        <v>154</v>
      </c>
      <c r="E151" s="68" t="s">
        <v>142</v>
      </c>
      <c r="F151" s="41">
        <v>50</v>
      </c>
    </row>
    <row r="152" spans="1:6" ht="28.5" x14ac:dyDescent="0.25">
      <c r="A152" s="227">
        <v>28</v>
      </c>
      <c r="B152" s="143">
        <v>6016</v>
      </c>
      <c r="C152" s="51" t="s">
        <v>173</v>
      </c>
      <c r="D152" s="52" t="s">
        <v>155</v>
      </c>
      <c r="E152" s="53" t="s">
        <v>148</v>
      </c>
      <c r="F152" s="207">
        <v>70</v>
      </c>
    </row>
    <row r="153" spans="1:6" ht="28.5" x14ac:dyDescent="0.25">
      <c r="A153" s="224"/>
      <c r="B153" s="144">
        <v>6019</v>
      </c>
      <c r="C153" s="55" t="s">
        <v>174</v>
      </c>
      <c r="D153" s="56" t="s">
        <v>139</v>
      </c>
      <c r="E153" s="57" t="s">
        <v>131</v>
      </c>
      <c r="F153" s="208"/>
    </row>
    <row r="154" spans="1:6" x14ac:dyDescent="0.25">
      <c r="A154" s="40">
        <v>29</v>
      </c>
      <c r="B154" s="41">
        <v>6010</v>
      </c>
      <c r="C154" s="42" t="s">
        <v>47</v>
      </c>
      <c r="D154" s="67" t="s">
        <v>116</v>
      </c>
      <c r="E154" s="68" t="s">
        <v>119</v>
      </c>
      <c r="F154" s="41">
        <v>50</v>
      </c>
    </row>
    <row r="155" spans="1:6" x14ac:dyDescent="0.25">
      <c r="A155" s="40">
        <v>30</v>
      </c>
      <c r="B155" s="41">
        <v>6009</v>
      </c>
      <c r="C155" s="42" t="s">
        <v>46</v>
      </c>
      <c r="D155" s="67" t="s">
        <v>122</v>
      </c>
      <c r="E155" s="68" t="s">
        <v>131</v>
      </c>
      <c r="F155" s="41">
        <v>50</v>
      </c>
    </row>
    <row r="156" spans="1:6" ht="28.5" x14ac:dyDescent="0.25">
      <c r="A156" s="227">
        <v>31</v>
      </c>
      <c r="B156" s="143">
        <v>6007</v>
      </c>
      <c r="C156" s="51" t="s">
        <v>45</v>
      </c>
      <c r="D156" s="52" t="s">
        <v>124</v>
      </c>
      <c r="E156" s="53" t="s">
        <v>168</v>
      </c>
      <c r="F156" s="207">
        <v>70</v>
      </c>
    </row>
    <row r="157" spans="1:6" ht="28.5" x14ac:dyDescent="0.25">
      <c r="A157" s="224"/>
      <c r="B157" s="144">
        <v>6029</v>
      </c>
      <c r="C157" s="55" t="s">
        <v>175</v>
      </c>
      <c r="D157" s="165" t="s">
        <v>125</v>
      </c>
      <c r="E157" s="57" t="s">
        <v>176</v>
      </c>
      <c r="F157" s="208"/>
    </row>
    <row r="159" spans="1:6" x14ac:dyDescent="0.25">
      <c r="A159" s="148"/>
      <c r="B159" s="148"/>
      <c r="C159" s="148"/>
      <c r="D159" s="148"/>
      <c r="E159" s="149"/>
      <c r="F159" s="149"/>
    </row>
    <row r="160" spans="1:6" ht="15.75" x14ac:dyDescent="0.25">
      <c r="A160" s="148"/>
      <c r="B160" s="148"/>
      <c r="C160" s="148"/>
      <c r="D160" s="149"/>
      <c r="E160" s="149"/>
      <c r="F160" s="151" t="s">
        <v>2</v>
      </c>
    </row>
    <row r="161" spans="1:6" ht="15.75" x14ac:dyDescent="0.25">
      <c r="A161" s="148"/>
      <c r="B161" s="148"/>
      <c r="C161" s="148"/>
      <c r="D161" s="149"/>
      <c r="E161" s="149"/>
      <c r="F161" s="151" t="s">
        <v>3</v>
      </c>
    </row>
    <row r="162" spans="1:6" ht="15.75" x14ac:dyDescent="0.25">
      <c r="A162" s="148"/>
      <c r="B162" s="148"/>
      <c r="C162" s="148"/>
      <c r="D162" s="149"/>
      <c r="E162" s="149"/>
      <c r="F162" s="151" t="s">
        <v>7</v>
      </c>
    </row>
    <row r="163" spans="1:6" x14ac:dyDescent="0.25">
      <c r="A163" s="148"/>
      <c r="B163" s="148"/>
      <c r="C163" s="148"/>
      <c r="D163" s="149"/>
      <c r="E163" s="149"/>
      <c r="F163" s="152" t="s">
        <v>646</v>
      </c>
    </row>
    <row r="164" spans="1:6" ht="15" customHeight="1" x14ac:dyDescent="0.25">
      <c r="A164" s="234" t="s">
        <v>1018</v>
      </c>
      <c r="B164" s="234"/>
      <c r="C164" s="234"/>
      <c r="D164" s="234"/>
      <c r="E164" s="234"/>
      <c r="F164" s="234"/>
    </row>
    <row r="165" spans="1:6" ht="15" customHeight="1" x14ac:dyDescent="0.25">
      <c r="A165" s="234"/>
      <c r="B165" s="234"/>
      <c r="C165" s="234"/>
      <c r="D165" s="234"/>
      <c r="E165" s="234"/>
      <c r="F165" s="234"/>
    </row>
    <row r="166" spans="1:6" ht="15" customHeight="1" x14ac:dyDescent="0.25">
      <c r="A166" s="234"/>
      <c r="B166" s="234"/>
      <c r="C166" s="234"/>
      <c r="D166" s="234"/>
      <c r="E166" s="234"/>
      <c r="F166" s="234"/>
    </row>
    <row r="167" spans="1:6" ht="15" customHeight="1" x14ac:dyDescent="0.25">
      <c r="A167" s="234"/>
      <c r="B167" s="234"/>
      <c r="C167" s="234"/>
      <c r="D167" s="234"/>
      <c r="E167" s="234"/>
      <c r="F167" s="234"/>
    </row>
    <row r="168" spans="1:6" ht="15" customHeight="1" x14ac:dyDescent="0.25">
      <c r="A168" s="234"/>
      <c r="B168" s="234"/>
      <c r="C168" s="234"/>
      <c r="D168" s="234"/>
      <c r="E168" s="234"/>
      <c r="F168" s="234"/>
    </row>
    <row r="169" spans="1:6" ht="15" customHeight="1" x14ac:dyDescent="0.25">
      <c r="A169" s="234"/>
      <c r="B169" s="234"/>
      <c r="C169" s="234"/>
      <c r="D169" s="234"/>
      <c r="E169" s="234"/>
      <c r="F169" s="234"/>
    </row>
    <row r="170" spans="1:6" ht="15" customHeight="1" x14ac:dyDescent="0.25">
      <c r="A170" s="234"/>
      <c r="B170" s="234"/>
      <c r="C170" s="234"/>
      <c r="D170" s="234"/>
      <c r="E170" s="234"/>
      <c r="F170" s="234"/>
    </row>
    <row r="171" spans="1:6" ht="15" customHeight="1" x14ac:dyDescent="0.25">
      <c r="A171" s="234"/>
      <c r="B171" s="234"/>
      <c r="C171" s="234"/>
      <c r="D171" s="234"/>
      <c r="E171" s="234"/>
      <c r="F171" s="234"/>
    </row>
    <row r="172" spans="1:6" ht="15" customHeight="1" x14ac:dyDescent="0.25">
      <c r="A172" s="234"/>
      <c r="B172" s="234"/>
      <c r="C172" s="234"/>
      <c r="D172" s="234"/>
      <c r="E172" s="234"/>
      <c r="F172" s="234"/>
    </row>
    <row r="173" spans="1:6" ht="15" customHeight="1" x14ac:dyDescent="0.25">
      <c r="A173" s="234"/>
      <c r="B173" s="234"/>
      <c r="C173" s="234"/>
      <c r="D173" s="234"/>
      <c r="E173" s="234"/>
      <c r="F173" s="234"/>
    </row>
    <row r="174" spans="1:6" ht="15" customHeight="1" x14ac:dyDescent="0.25">
      <c r="A174" s="234"/>
      <c r="B174" s="234"/>
      <c r="C174" s="234"/>
      <c r="D174" s="234"/>
      <c r="E174" s="234"/>
      <c r="F174" s="234"/>
    </row>
    <row r="175" spans="1:6" ht="15" customHeight="1" x14ac:dyDescent="0.25">
      <c r="A175" s="234"/>
      <c r="B175" s="234"/>
      <c r="C175" s="234"/>
      <c r="D175" s="234"/>
      <c r="E175" s="234"/>
      <c r="F175" s="234"/>
    </row>
    <row r="176" spans="1:6" ht="15" customHeight="1" x14ac:dyDescent="0.25">
      <c r="A176" s="234"/>
      <c r="B176" s="234"/>
      <c r="C176" s="234"/>
      <c r="D176" s="234"/>
      <c r="E176" s="234"/>
      <c r="F176" s="234"/>
    </row>
    <row r="177" spans="1:6" ht="15" customHeight="1" x14ac:dyDescent="0.25">
      <c r="A177" s="234"/>
      <c r="B177" s="234"/>
      <c r="C177" s="234"/>
      <c r="D177" s="234"/>
      <c r="E177" s="234"/>
      <c r="F177" s="234"/>
    </row>
    <row r="178" spans="1:6" x14ac:dyDescent="0.25">
      <c r="A178" s="153"/>
      <c r="B178" s="153"/>
      <c r="C178" s="153"/>
      <c r="D178" s="235" t="s">
        <v>640</v>
      </c>
      <c r="E178" s="235"/>
      <c r="F178" s="153"/>
    </row>
    <row r="179" spans="1:6" ht="15.75" thickBot="1" x14ac:dyDescent="0.3">
      <c r="A179" s="154" t="s">
        <v>111</v>
      </c>
      <c r="B179" s="154" t="s">
        <v>104</v>
      </c>
      <c r="C179" s="155" t="s">
        <v>105</v>
      </c>
      <c r="D179" s="154" t="s">
        <v>106</v>
      </c>
      <c r="E179" s="154" t="s">
        <v>107</v>
      </c>
      <c r="F179" s="156" t="s">
        <v>1017</v>
      </c>
    </row>
    <row r="180" spans="1:6" ht="15.75" thickTop="1" x14ac:dyDescent="0.25">
      <c r="A180" s="87">
        <v>32</v>
      </c>
      <c r="B180" s="88">
        <v>6025</v>
      </c>
      <c r="C180" s="89" t="s">
        <v>177</v>
      </c>
      <c r="D180" s="90" t="s">
        <v>113</v>
      </c>
      <c r="E180" s="91" t="s">
        <v>139</v>
      </c>
      <c r="F180" s="88">
        <v>70</v>
      </c>
    </row>
    <row r="181" spans="1:6" x14ac:dyDescent="0.25">
      <c r="A181" s="40">
        <v>33</v>
      </c>
      <c r="B181" s="41">
        <v>6024</v>
      </c>
      <c r="C181" s="42" t="s">
        <v>177</v>
      </c>
      <c r="D181" s="67" t="s">
        <v>153</v>
      </c>
      <c r="E181" s="67" t="s">
        <v>116</v>
      </c>
      <c r="F181" s="41">
        <v>70</v>
      </c>
    </row>
    <row r="182" spans="1:6" ht="28.5" x14ac:dyDescent="0.25">
      <c r="A182" s="227">
        <v>34</v>
      </c>
      <c r="B182" s="143">
        <v>6038</v>
      </c>
      <c r="C182" s="51" t="s">
        <v>180</v>
      </c>
      <c r="D182" s="52" t="s">
        <v>154</v>
      </c>
      <c r="E182" s="53" t="s">
        <v>124</v>
      </c>
      <c r="F182" s="207">
        <v>70</v>
      </c>
    </row>
    <row r="183" spans="1:6" ht="29.25" thickBot="1" x14ac:dyDescent="0.3">
      <c r="A183" s="228"/>
      <c r="B183" s="146">
        <v>6011</v>
      </c>
      <c r="C183" s="111" t="s">
        <v>181</v>
      </c>
      <c r="D183" s="112" t="s">
        <v>155</v>
      </c>
      <c r="E183" s="113" t="s">
        <v>131</v>
      </c>
      <c r="F183" s="222"/>
    </row>
    <row r="184" spans="1:6" ht="15.75" thickTop="1" x14ac:dyDescent="0.25"/>
  </sheetData>
  <mergeCells count="34">
    <mergeCell ref="F22:F23"/>
    <mergeCell ref="F26:F27"/>
    <mergeCell ref="A6:F19"/>
    <mergeCell ref="D20:E20"/>
    <mergeCell ref="A37:F50"/>
    <mergeCell ref="D51:E51"/>
    <mergeCell ref="F57:F58"/>
    <mergeCell ref="A69:F82"/>
    <mergeCell ref="D83:E83"/>
    <mergeCell ref="A152:A153"/>
    <mergeCell ref="F152:F153"/>
    <mergeCell ref="A156:A157"/>
    <mergeCell ref="F156:F157"/>
    <mergeCell ref="F89:F90"/>
    <mergeCell ref="A101:F114"/>
    <mergeCell ref="D115:E115"/>
    <mergeCell ref="F117:F118"/>
    <mergeCell ref="F121:F122"/>
    <mergeCell ref="A182:A183"/>
    <mergeCell ref="F182:F183"/>
    <mergeCell ref="A22:A23"/>
    <mergeCell ref="A26:A27"/>
    <mergeCell ref="A57:A58"/>
    <mergeCell ref="A89:A90"/>
    <mergeCell ref="A91:A92"/>
    <mergeCell ref="F91:F92"/>
    <mergeCell ref="A117:A118"/>
    <mergeCell ref="A121:A122"/>
    <mergeCell ref="A123:A124"/>
    <mergeCell ref="F123:F124"/>
    <mergeCell ref="A133:F146"/>
    <mergeCell ref="D147:E147"/>
    <mergeCell ref="A164:F177"/>
    <mergeCell ref="D178:E178"/>
  </mergeCells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00"/>
  <sheetViews>
    <sheetView workbookViewId="0"/>
  </sheetViews>
  <sheetFormatPr baseColWidth="10" defaultColWidth="14.42578125" defaultRowHeight="15" customHeight="1" x14ac:dyDescent="0.25"/>
  <cols>
    <col min="1" max="1" width="12.5703125" customWidth="1"/>
    <col min="2" max="2" width="33.7109375" customWidth="1"/>
    <col min="3" max="3" width="19.42578125" customWidth="1"/>
    <col min="4" max="4" width="16.140625" customWidth="1"/>
    <col min="5" max="26" width="10.7109375" customWidth="1"/>
  </cols>
  <sheetData>
    <row r="3" spans="1:5" x14ac:dyDescent="0.25">
      <c r="A3" s="13"/>
      <c r="B3" s="14"/>
      <c r="C3" s="15" t="s">
        <v>636</v>
      </c>
      <c r="D3" s="16"/>
      <c r="E3" s="1" t="s">
        <v>69</v>
      </c>
    </row>
    <row r="4" spans="1:5" x14ac:dyDescent="0.25">
      <c r="A4" s="15" t="s">
        <v>21</v>
      </c>
      <c r="B4" s="15" t="s">
        <v>22</v>
      </c>
      <c r="C4" s="13" t="s">
        <v>66</v>
      </c>
      <c r="D4" s="17" t="s">
        <v>68</v>
      </c>
      <c r="E4" s="1" t="e">
        <f>D4-C4</f>
        <v>#VALUE!</v>
      </c>
    </row>
    <row r="5" spans="1:5" x14ac:dyDescent="0.25">
      <c r="A5" s="13">
        <v>6001</v>
      </c>
      <c r="B5" s="13" t="s">
        <v>27</v>
      </c>
      <c r="C5" s="18">
        <v>13</v>
      </c>
      <c r="D5" s="19">
        <v>13</v>
      </c>
      <c r="E5" s="1">
        <f>GETPIVOTDATA("Cuenta de TOTAL",$A$3,"CLAVE",6002,"DISTRITO","Toluca de Lerdo")-GETPIVOTDATA("Cuenta de ARTICULO",$A$3,"CLAVE",6002,"DISTRITO","Toluca de Lerdo")</f>
        <v>0</v>
      </c>
    </row>
    <row r="6" spans="1:5" x14ac:dyDescent="0.25">
      <c r="A6" s="13">
        <v>6002</v>
      </c>
      <c r="B6" s="13" t="s">
        <v>76</v>
      </c>
      <c r="C6" s="18">
        <v>12</v>
      </c>
      <c r="D6" s="19">
        <v>12</v>
      </c>
      <c r="E6" s="1">
        <f>GETPIVOTDATA("Cuenta de TOTAL",$A$3,"CLAVE",6003,"DISTRITO","Chimaihuacan")-GETPIVOTDATA("Cuenta de ARTICULO",$A$3,"CLAVE",6003,"DISTRITO","Chimaihuacan")</f>
        <v>0</v>
      </c>
    </row>
    <row r="7" spans="1:5" x14ac:dyDescent="0.25">
      <c r="A7" s="13">
        <v>6003</v>
      </c>
      <c r="B7" s="13" t="s">
        <v>38</v>
      </c>
      <c r="C7" s="18">
        <v>17</v>
      </c>
      <c r="D7" s="19">
        <v>17</v>
      </c>
    </row>
    <row r="8" spans="1:5" x14ac:dyDescent="0.25">
      <c r="A8" s="13">
        <v>6004</v>
      </c>
      <c r="B8" s="13" t="s">
        <v>42</v>
      </c>
      <c r="C8" s="18">
        <v>12</v>
      </c>
      <c r="D8" s="19">
        <v>12</v>
      </c>
    </row>
    <row r="9" spans="1:5" x14ac:dyDescent="0.25">
      <c r="A9" s="13">
        <v>6005</v>
      </c>
      <c r="B9" s="13" t="s">
        <v>43</v>
      </c>
      <c r="C9" s="18">
        <v>13</v>
      </c>
      <c r="D9" s="19">
        <v>13</v>
      </c>
    </row>
    <row r="10" spans="1:5" x14ac:dyDescent="0.25">
      <c r="A10" s="13">
        <v>6006</v>
      </c>
      <c r="B10" s="13" t="s">
        <v>44</v>
      </c>
      <c r="C10" s="18">
        <v>13</v>
      </c>
      <c r="D10" s="19">
        <v>13</v>
      </c>
    </row>
    <row r="11" spans="1:5" x14ac:dyDescent="0.25">
      <c r="A11" s="13">
        <v>6007</v>
      </c>
      <c r="B11" s="13" t="s">
        <v>45</v>
      </c>
      <c r="C11" s="18">
        <v>15</v>
      </c>
      <c r="D11" s="19">
        <v>15</v>
      </c>
    </row>
    <row r="12" spans="1:5" x14ac:dyDescent="0.25">
      <c r="A12" s="13">
        <v>6008</v>
      </c>
      <c r="B12" s="13" t="s">
        <v>44</v>
      </c>
      <c r="C12" s="18">
        <v>16</v>
      </c>
      <c r="D12" s="19">
        <v>16</v>
      </c>
    </row>
    <row r="13" spans="1:5" x14ac:dyDescent="0.25">
      <c r="A13" s="13">
        <v>6009</v>
      </c>
      <c r="B13" s="13" t="s">
        <v>46</v>
      </c>
      <c r="C13" s="18">
        <v>14</v>
      </c>
      <c r="D13" s="19">
        <v>14</v>
      </c>
    </row>
    <row r="14" spans="1:5" x14ac:dyDescent="0.25">
      <c r="A14" s="13">
        <v>6010</v>
      </c>
      <c r="B14" s="13" t="s">
        <v>47</v>
      </c>
      <c r="C14" s="18">
        <v>13</v>
      </c>
      <c r="D14" s="19">
        <v>13</v>
      </c>
    </row>
    <row r="15" spans="1:5" x14ac:dyDescent="0.25">
      <c r="A15" s="13">
        <v>6011</v>
      </c>
      <c r="B15" s="13" t="s">
        <v>48</v>
      </c>
      <c r="C15" s="18">
        <v>13</v>
      </c>
      <c r="D15" s="19">
        <v>13</v>
      </c>
    </row>
    <row r="16" spans="1:5" x14ac:dyDescent="0.25">
      <c r="A16" s="13">
        <v>6012</v>
      </c>
      <c r="B16" s="13" t="s">
        <v>49</v>
      </c>
      <c r="C16" s="18">
        <v>13</v>
      </c>
      <c r="D16" s="19">
        <v>13</v>
      </c>
    </row>
    <row r="17" spans="1:4" x14ac:dyDescent="0.25">
      <c r="A17" s="13">
        <v>6013</v>
      </c>
      <c r="B17" s="13" t="s">
        <v>50</v>
      </c>
      <c r="C17" s="18">
        <v>13</v>
      </c>
      <c r="D17" s="19">
        <v>13</v>
      </c>
    </row>
    <row r="18" spans="1:4" x14ac:dyDescent="0.25">
      <c r="A18" s="13">
        <v>6014</v>
      </c>
      <c r="B18" s="13" t="s">
        <v>55</v>
      </c>
      <c r="C18" s="18">
        <v>11</v>
      </c>
      <c r="D18" s="19">
        <v>11</v>
      </c>
    </row>
    <row r="19" spans="1:4" x14ac:dyDescent="0.25">
      <c r="A19" s="13">
        <v>6015</v>
      </c>
      <c r="B19" s="13" t="s">
        <v>56</v>
      </c>
      <c r="C19" s="18">
        <v>13</v>
      </c>
      <c r="D19" s="19">
        <v>13</v>
      </c>
    </row>
    <row r="20" spans="1:4" x14ac:dyDescent="0.25">
      <c r="A20" s="13">
        <v>6016</v>
      </c>
      <c r="B20" s="13" t="s">
        <v>57</v>
      </c>
      <c r="C20" s="18">
        <v>14</v>
      </c>
      <c r="D20" s="19">
        <v>14</v>
      </c>
    </row>
    <row r="21" spans="1:4" ht="15.75" customHeight="1" x14ac:dyDescent="0.25">
      <c r="A21" s="13">
        <v>6017</v>
      </c>
      <c r="B21" s="13" t="s">
        <v>58</v>
      </c>
      <c r="C21" s="18">
        <v>14</v>
      </c>
      <c r="D21" s="19">
        <v>14</v>
      </c>
    </row>
    <row r="22" spans="1:4" ht="15.75" customHeight="1" x14ac:dyDescent="0.25">
      <c r="A22" s="13">
        <v>6018</v>
      </c>
      <c r="B22" s="13" t="s">
        <v>59</v>
      </c>
      <c r="C22" s="18">
        <v>12</v>
      </c>
      <c r="D22" s="19">
        <v>12</v>
      </c>
    </row>
    <row r="23" spans="1:4" ht="15.75" customHeight="1" x14ac:dyDescent="0.25">
      <c r="A23" s="13">
        <v>6019</v>
      </c>
      <c r="B23" s="13" t="s">
        <v>60</v>
      </c>
      <c r="C23" s="18">
        <v>14</v>
      </c>
      <c r="D23" s="19">
        <v>14</v>
      </c>
    </row>
    <row r="24" spans="1:4" ht="15.75" customHeight="1" x14ac:dyDescent="0.25">
      <c r="A24" s="13">
        <v>6020</v>
      </c>
      <c r="B24" s="13" t="s">
        <v>65</v>
      </c>
      <c r="C24" s="18">
        <v>13</v>
      </c>
      <c r="D24" s="19">
        <v>13</v>
      </c>
    </row>
    <row r="25" spans="1:4" ht="15.75" customHeight="1" x14ac:dyDescent="0.25">
      <c r="A25" s="13">
        <v>6021</v>
      </c>
      <c r="B25" s="13" t="s">
        <v>44</v>
      </c>
      <c r="C25" s="18">
        <v>13</v>
      </c>
      <c r="D25" s="19">
        <v>13</v>
      </c>
    </row>
    <row r="26" spans="1:4" ht="15.75" customHeight="1" x14ac:dyDescent="0.25">
      <c r="A26" s="13">
        <v>6022</v>
      </c>
      <c r="B26" s="13" t="s">
        <v>67</v>
      </c>
      <c r="C26" s="18">
        <v>13</v>
      </c>
      <c r="D26" s="19">
        <v>13</v>
      </c>
    </row>
    <row r="27" spans="1:4" ht="15.75" customHeight="1" x14ac:dyDescent="0.25">
      <c r="A27" s="13">
        <v>6023</v>
      </c>
      <c r="B27" s="13" t="s">
        <v>70</v>
      </c>
      <c r="C27" s="18">
        <v>14</v>
      </c>
      <c r="D27" s="19">
        <v>14</v>
      </c>
    </row>
    <row r="28" spans="1:4" ht="15.75" customHeight="1" x14ac:dyDescent="0.25">
      <c r="A28" s="13">
        <v>6024</v>
      </c>
      <c r="B28" s="13" t="s">
        <v>71</v>
      </c>
      <c r="C28" s="18">
        <v>13</v>
      </c>
      <c r="D28" s="19">
        <v>13</v>
      </c>
    </row>
    <row r="29" spans="1:4" ht="15.75" customHeight="1" x14ac:dyDescent="0.25">
      <c r="A29" s="13">
        <v>6025</v>
      </c>
      <c r="B29" s="13" t="s">
        <v>71</v>
      </c>
      <c r="C29" s="18">
        <v>13</v>
      </c>
      <c r="D29" s="19">
        <v>13</v>
      </c>
    </row>
    <row r="30" spans="1:4" ht="15.75" customHeight="1" x14ac:dyDescent="0.25">
      <c r="A30" s="20" t="s">
        <v>637</v>
      </c>
      <c r="B30" s="21"/>
      <c r="C30" s="22">
        <v>334</v>
      </c>
      <c r="D30" s="23">
        <v>334</v>
      </c>
    </row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4:E1000">
    <cfRule type="cellIs" dxfId="2" priority="1" operator="lessThan">
      <formula>0</formula>
    </cfRule>
  </conditionalFormatting>
  <conditionalFormatting sqref="E4:E1000">
    <cfRule type="cellIs" dxfId="1" priority="2" operator="greaterThan">
      <formula>0</formula>
    </cfRule>
  </conditionalFormatting>
  <conditionalFormatting sqref="E4:E1000">
    <cfRule type="cellIs" dxfId="0" priority="3" operator="equal">
      <formula>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5" x14ac:dyDescent="0.25">
      <c r="A1" s="1" t="s">
        <v>0</v>
      </c>
      <c r="B1" s="1">
        <v>1011</v>
      </c>
      <c r="C1" s="1">
        <v>45</v>
      </c>
      <c r="D1" s="1" t="str">
        <f>CONCATENATE(A1,"",B1,"",C1)</f>
        <v>ILAM00101145</v>
      </c>
      <c r="E1" s="1" t="str">
        <f>D1</f>
        <v>ILAM00101145</v>
      </c>
    </row>
    <row r="2" spans="1:5" x14ac:dyDescent="0.25">
      <c r="A2" s="1" t="s">
        <v>0</v>
      </c>
      <c r="B2" s="1">
        <v>1011</v>
      </c>
      <c r="C2" s="1">
        <v>51</v>
      </c>
      <c r="D2" s="1" t="str">
        <f>CONCATENATE(A2,"",B2,"",C2)</f>
        <v>ILAM00101151</v>
      </c>
      <c r="E2" s="1" t="str">
        <f>D2</f>
        <v>ILAM00101151</v>
      </c>
    </row>
    <row r="3" spans="1:5" x14ac:dyDescent="0.25">
      <c r="A3" s="1" t="s">
        <v>0</v>
      </c>
      <c r="B3" s="1">
        <v>1011</v>
      </c>
      <c r="C3" s="1">
        <v>57</v>
      </c>
      <c r="D3" s="1" t="str">
        <f>CONCATENATE(A3,"",B3,"",C3)</f>
        <v>ILAM00101157</v>
      </c>
      <c r="E3" s="1" t="str">
        <f>D3</f>
        <v>ILAM00101157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/>
  </sheetViews>
  <sheetFormatPr baseColWidth="10" defaultColWidth="14.42578125" defaultRowHeight="15" customHeight="1" x14ac:dyDescent="0.25"/>
  <cols>
    <col min="1" max="6" width="10.7109375" customWidth="1"/>
    <col min="7" max="7" width="19.28515625" customWidth="1"/>
    <col min="8" max="8" width="16.42578125" customWidth="1"/>
    <col min="9" max="9" width="28.28515625" customWidth="1"/>
    <col min="10" max="10" width="30.42578125" customWidth="1"/>
    <col min="11" max="26" width="10.7109375" customWidth="1"/>
  </cols>
  <sheetData>
    <row r="1" spans="1:14" x14ac:dyDescent="0.25">
      <c r="A1" s="4" t="s">
        <v>1</v>
      </c>
      <c r="B1" s="4" t="s">
        <v>4</v>
      </c>
      <c r="C1" s="4" t="s">
        <v>5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18</v>
      </c>
      <c r="N1" s="4" t="s">
        <v>19</v>
      </c>
    </row>
    <row r="2" spans="1:14" x14ac:dyDescent="0.25">
      <c r="A2" s="8">
        <v>6001</v>
      </c>
      <c r="B2" s="8" t="s">
        <v>27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3</v>
      </c>
      <c r="J2" s="8">
        <v>1</v>
      </c>
      <c r="K2" s="8">
        <v>1</v>
      </c>
      <c r="L2" s="8">
        <v>1</v>
      </c>
      <c r="M2" s="8">
        <v>1</v>
      </c>
      <c r="N2" s="8">
        <f t="shared" ref="N2:N46" si="0">SUM(C2:M2)</f>
        <v>13</v>
      </c>
    </row>
    <row r="3" spans="1:14" x14ac:dyDescent="0.25">
      <c r="A3" s="8">
        <v>6002</v>
      </c>
      <c r="B3" s="8" t="s">
        <v>35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2</v>
      </c>
      <c r="J3" s="8">
        <v>1</v>
      </c>
      <c r="K3" s="8">
        <v>1</v>
      </c>
      <c r="L3" s="8">
        <v>1</v>
      </c>
      <c r="M3" s="8">
        <v>1</v>
      </c>
      <c r="N3" s="8">
        <f t="shared" si="0"/>
        <v>12</v>
      </c>
    </row>
    <row r="4" spans="1:14" x14ac:dyDescent="0.25">
      <c r="A4" s="8">
        <v>6003</v>
      </c>
      <c r="B4" s="8" t="s">
        <v>38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7</v>
      </c>
      <c r="J4" s="8">
        <v>1</v>
      </c>
      <c r="K4" s="8">
        <v>1</v>
      </c>
      <c r="L4" s="8">
        <v>1</v>
      </c>
      <c r="M4" s="8">
        <v>1</v>
      </c>
      <c r="N4" s="8">
        <f t="shared" si="0"/>
        <v>17</v>
      </c>
    </row>
    <row r="5" spans="1:14" x14ac:dyDescent="0.25">
      <c r="A5" s="8">
        <v>6004</v>
      </c>
      <c r="B5" s="8" t="s">
        <v>42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2</v>
      </c>
      <c r="J5" s="8">
        <v>1</v>
      </c>
      <c r="K5" s="8">
        <v>1</v>
      </c>
      <c r="L5" s="8">
        <v>1</v>
      </c>
      <c r="M5" s="8">
        <v>1</v>
      </c>
      <c r="N5" s="8">
        <f t="shared" si="0"/>
        <v>12</v>
      </c>
    </row>
    <row r="6" spans="1:14" x14ac:dyDescent="0.25">
      <c r="A6" s="8">
        <v>6005</v>
      </c>
      <c r="B6" s="8" t="s">
        <v>43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3</v>
      </c>
      <c r="J6" s="8">
        <v>1</v>
      </c>
      <c r="K6" s="8">
        <v>1</v>
      </c>
      <c r="L6" s="8">
        <v>1</v>
      </c>
      <c r="M6" s="8">
        <v>1</v>
      </c>
      <c r="N6" s="8">
        <f t="shared" si="0"/>
        <v>13</v>
      </c>
    </row>
    <row r="7" spans="1:14" x14ac:dyDescent="0.25">
      <c r="A7" s="8">
        <v>6006</v>
      </c>
      <c r="B7" s="8" t="s">
        <v>44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3</v>
      </c>
      <c r="J7" s="8">
        <v>1</v>
      </c>
      <c r="K7" s="8">
        <v>1</v>
      </c>
      <c r="L7" s="8">
        <v>1</v>
      </c>
      <c r="M7" s="8">
        <v>1</v>
      </c>
      <c r="N7" s="8">
        <f t="shared" si="0"/>
        <v>13</v>
      </c>
    </row>
    <row r="8" spans="1:14" x14ac:dyDescent="0.25">
      <c r="A8" s="8">
        <v>6007</v>
      </c>
      <c r="B8" s="8" t="s">
        <v>45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5</v>
      </c>
      <c r="J8" s="8">
        <v>1</v>
      </c>
      <c r="K8" s="8">
        <v>1</v>
      </c>
      <c r="L8" s="8">
        <v>1</v>
      </c>
      <c r="M8" s="8">
        <v>1</v>
      </c>
      <c r="N8" s="8">
        <f t="shared" si="0"/>
        <v>15</v>
      </c>
    </row>
    <row r="9" spans="1:14" x14ac:dyDescent="0.25">
      <c r="A9" s="8">
        <v>6008</v>
      </c>
      <c r="B9" s="8" t="s">
        <v>44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6</v>
      </c>
      <c r="J9" s="8">
        <v>1</v>
      </c>
      <c r="K9" s="8">
        <v>1</v>
      </c>
      <c r="L9" s="8">
        <v>1</v>
      </c>
      <c r="M9" s="8">
        <v>1</v>
      </c>
      <c r="N9" s="8">
        <f t="shared" si="0"/>
        <v>16</v>
      </c>
    </row>
    <row r="10" spans="1:14" x14ac:dyDescent="0.25">
      <c r="A10" s="8">
        <v>6009</v>
      </c>
      <c r="B10" s="8" t="s">
        <v>46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4</v>
      </c>
      <c r="J10" s="8">
        <v>1</v>
      </c>
      <c r="K10" s="8">
        <v>1</v>
      </c>
      <c r="L10" s="8">
        <v>1</v>
      </c>
      <c r="M10" s="8">
        <v>1</v>
      </c>
      <c r="N10" s="8">
        <f t="shared" si="0"/>
        <v>14</v>
      </c>
    </row>
    <row r="11" spans="1:14" x14ac:dyDescent="0.25">
      <c r="A11" s="8">
        <v>6010</v>
      </c>
      <c r="B11" s="8" t="s">
        <v>47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3</v>
      </c>
      <c r="J11" s="8">
        <v>1</v>
      </c>
      <c r="K11" s="8">
        <v>1</v>
      </c>
      <c r="L11" s="8">
        <v>1</v>
      </c>
      <c r="M11" s="8">
        <v>1</v>
      </c>
      <c r="N11" s="8">
        <f t="shared" si="0"/>
        <v>13</v>
      </c>
    </row>
    <row r="12" spans="1:14" x14ac:dyDescent="0.25">
      <c r="A12" s="8">
        <v>6011</v>
      </c>
      <c r="B12" s="8" t="s">
        <v>48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3</v>
      </c>
      <c r="J12" s="8">
        <v>1</v>
      </c>
      <c r="K12" s="8">
        <v>1</v>
      </c>
      <c r="L12" s="8">
        <v>1</v>
      </c>
      <c r="M12" s="8">
        <v>1</v>
      </c>
      <c r="N12" s="8">
        <f t="shared" si="0"/>
        <v>13</v>
      </c>
    </row>
    <row r="13" spans="1:14" x14ac:dyDescent="0.25">
      <c r="A13" s="8">
        <v>6012</v>
      </c>
      <c r="B13" s="8" t="s">
        <v>49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3</v>
      </c>
      <c r="J13" s="8">
        <v>1</v>
      </c>
      <c r="K13" s="8">
        <v>1</v>
      </c>
      <c r="L13" s="8">
        <v>1</v>
      </c>
      <c r="M13" s="8">
        <v>1</v>
      </c>
      <c r="N13" s="8">
        <f t="shared" si="0"/>
        <v>13</v>
      </c>
    </row>
    <row r="14" spans="1:14" x14ac:dyDescent="0.25">
      <c r="A14" s="8">
        <v>6013</v>
      </c>
      <c r="B14" s="8" t="s">
        <v>50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3</v>
      </c>
      <c r="J14" s="8">
        <v>1</v>
      </c>
      <c r="K14" s="8">
        <v>1</v>
      </c>
      <c r="L14" s="8">
        <v>1</v>
      </c>
      <c r="M14" s="8">
        <v>1</v>
      </c>
      <c r="N14" s="8">
        <f t="shared" si="0"/>
        <v>13</v>
      </c>
    </row>
    <row r="15" spans="1:14" x14ac:dyDescent="0.25">
      <c r="A15" s="8">
        <v>6014</v>
      </c>
      <c r="B15" s="8" t="s">
        <v>55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f t="shared" si="0"/>
        <v>11</v>
      </c>
    </row>
    <row r="16" spans="1:14" x14ac:dyDescent="0.25">
      <c r="A16" s="8">
        <v>6015</v>
      </c>
      <c r="B16" s="8" t="s">
        <v>56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3</v>
      </c>
      <c r="J16" s="8">
        <v>1</v>
      </c>
      <c r="K16" s="8">
        <v>1</v>
      </c>
      <c r="L16" s="8">
        <v>1</v>
      </c>
      <c r="M16" s="8">
        <v>1</v>
      </c>
      <c r="N16" s="8">
        <f t="shared" si="0"/>
        <v>13</v>
      </c>
    </row>
    <row r="17" spans="1:14" x14ac:dyDescent="0.25">
      <c r="A17" s="8">
        <v>6016</v>
      </c>
      <c r="B17" s="8" t="s">
        <v>57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4</v>
      </c>
      <c r="J17" s="8">
        <v>1</v>
      </c>
      <c r="K17" s="8">
        <v>1</v>
      </c>
      <c r="L17" s="8">
        <v>1</v>
      </c>
      <c r="M17" s="8">
        <v>1</v>
      </c>
      <c r="N17" s="8">
        <f t="shared" si="0"/>
        <v>14</v>
      </c>
    </row>
    <row r="18" spans="1:14" x14ac:dyDescent="0.25">
      <c r="A18" s="8">
        <v>6017</v>
      </c>
      <c r="B18" s="8" t="s">
        <v>58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4</v>
      </c>
      <c r="J18" s="8">
        <v>1</v>
      </c>
      <c r="K18" s="8">
        <v>1</v>
      </c>
      <c r="L18" s="8">
        <v>1</v>
      </c>
      <c r="M18" s="8">
        <v>1</v>
      </c>
      <c r="N18" s="8">
        <f t="shared" si="0"/>
        <v>14</v>
      </c>
    </row>
    <row r="19" spans="1:14" x14ac:dyDescent="0.25">
      <c r="A19" s="8">
        <v>6018</v>
      </c>
      <c r="B19" s="8" t="s">
        <v>59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2</v>
      </c>
      <c r="J19" s="8">
        <v>1</v>
      </c>
      <c r="K19" s="8">
        <v>1</v>
      </c>
      <c r="L19" s="8">
        <v>1</v>
      </c>
      <c r="M19" s="8">
        <v>1</v>
      </c>
      <c r="N19" s="8">
        <f t="shared" si="0"/>
        <v>12</v>
      </c>
    </row>
    <row r="20" spans="1:14" x14ac:dyDescent="0.25">
      <c r="A20" s="8">
        <v>6019</v>
      </c>
      <c r="B20" s="8" t="s">
        <v>60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4</v>
      </c>
      <c r="J20" s="8">
        <v>1</v>
      </c>
      <c r="K20" s="8">
        <v>1</v>
      </c>
      <c r="L20" s="8">
        <v>1</v>
      </c>
      <c r="M20" s="8">
        <v>1</v>
      </c>
      <c r="N20" s="8">
        <f t="shared" si="0"/>
        <v>14</v>
      </c>
    </row>
    <row r="21" spans="1:14" ht="15.75" customHeight="1" x14ac:dyDescent="0.25">
      <c r="A21" s="8">
        <v>6020</v>
      </c>
      <c r="B21" s="8" t="s">
        <v>65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3</v>
      </c>
      <c r="J21" s="8">
        <v>1</v>
      </c>
      <c r="K21" s="8">
        <v>1</v>
      </c>
      <c r="L21" s="8">
        <v>1</v>
      </c>
      <c r="M21" s="8">
        <v>1</v>
      </c>
      <c r="N21" s="8">
        <f t="shared" si="0"/>
        <v>13</v>
      </c>
    </row>
    <row r="22" spans="1:14" ht="15.75" customHeight="1" x14ac:dyDescent="0.25">
      <c r="A22" s="8">
        <v>6021</v>
      </c>
      <c r="B22" s="8" t="s">
        <v>44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3</v>
      </c>
      <c r="J22" s="8">
        <v>1</v>
      </c>
      <c r="K22" s="8">
        <v>1</v>
      </c>
      <c r="L22" s="8">
        <v>1</v>
      </c>
      <c r="M22" s="8">
        <v>1</v>
      </c>
      <c r="N22" s="8">
        <f t="shared" si="0"/>
        <v>13</v>
      </c>
    </row>
    <row r="23" spans="1:14" ht="15.75" customHeight="1" x14ac:dyDescent="0.25">
      <c r="A23" s="8">
        <v>6022</v>
      </c>
      <c r="B23" s="8" t="s">
        <v>67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3</v>
      </c>
      <c r="J23" s="8">
        <v>1</v>
      </c>
      <c r="K23" s="8">
        <v>1</v>
      </c>
      <c r="L23" s="8">
        <v>1</v>
      </c>
      <c r="M23" s="8">
        <v>1</v>
      </c>
      <c r="N23" s="8">
        <f t="shared" si="0"/>
        <v>13</v>
      </c>
    </row>
    <row r="24" spans="1:14" ht="15.75" customHeight="1" x14ac:dyDescent="0.25">
      <c r="A24" s="8">
        <v>6023</v>
      </c>
      <c r="B24" s="8" t="s">
        <v>70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4</v>
      </c>
      <c r="J24" s="8">
        <v>1</v>
      </c>
      <c r="K24" s="8">
        <v>1</v>
      </c>
      <c r="L24" s="8">
        <v>1</v>
      </c>
      <c r="M24" s="8">
        <v>1</v>
      </c>
      <c r="N24" s="8">
        <f t="shared" si="0"/>
        <v>14</v>
      </c>
    </row>
    <row r="25" spans="1:14" ht="15.75" customHeight="1" x14ac:dyDescent="0.25">
      <c r="A25" s="8">
        <v>6024</v>
      </c>
      <c r="B25" s="8" t="s">
        <v>71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3</v>
      </c>
      <c r="J25" s="8">
        <v>1</v>
      </c>
      <c r="K25" s="8">
        <v>1</v>
      </c>
      <c r="L25" s="8">
        <v>1</v>
      </c>
      <c r="M25" s="8">
        <v>1</v>
      </c>
      <c r="N25" s="8">
        <f t="shared" si="0"/>
        <v>13</v>
      </c>
    </row>
    <row r="26" spans="1:14" ht="15.75" customHeight="1" x14ac:dyDescent="0.25">
      <c r="A26" s="8">
        <v>6025</v>
      </c>
      <c r="B26" s="8" t="s">
        <v>71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3</v>
      </c>
      <c r="J26" s="8">
        <v>1</v>
      </c>
      <c r="K26" s="8">
        <v>1</v>
      </c>
      <c r="L26" s="8">
        <v>1</v>
      </c>
      <c r="M26" s="8">
        <v>1</v>
      </c>
      <c r="N26" s="8">
        <f t="shared" si="0"/>
        <v>13</v>
      </c>
    </row>
    <row r="27" spans="1:14" ht="15.75" customHeight="1" x14ac:dyDescent="0.25">
      <c r="A27" s="1">
        <v>6026</v>
      </c>
      <c r="B27" s="1" t="s">
        <v>75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3</v>
      </c>
      <c r="J27" s="1">
        <v>1</v>
      </c>
      <c r="K27" s="1">
        <v>1</v>
      </c>
      <c r="L27" s="1">
        <v>1</v>
      </c>
      <c r="M27" s="1">
        <v>1</v>
      </c>
      <c r="N27" s="1">
        <f t="shared" si="0"/>
        <v>13</v>
      </c>
    </row>
    <row r="28" spans="1:14" ht="15.75" customHeight="1" x14ac:dyDescent="0.25">
      <c r="A28" s="1">
        <v>6027</v>
      </c>
      <c r="B28" s="1" t="s">
        <v>77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3</v>
      </c>
      <c r="J28" s="1">
        <v>1</v>
      </c>
      <c r="K28" s="1">
        <v>1</v>
      </c>
      <c r="L28" s="1">
        <v>1</v>
      </c>
      <c r="M28" s="1">
        <v>1</v>
      </c>
      <c r="N28" s="1">
        <f t="shared" si="0"/>
        <v>13</v>
      </c>
    </row>
    <row r="29" spans="1:14" ht="15.75" customHeight="1" x14ac:dyDescent="0.25">
      <c r="A29" s="1">
        <v>6028</v>
      </c>
      <c r="B29" s="1" t="s">
        <v>78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2</v>
      </c>
      <c r="J29" s="1">
        <v>1</v>
      </c>
      <c r="K29" s="1">
        <v>1</v>
      </c>
      <c r="L29" s="1">
        <v>1</v>
      </c>
      <c r="M29" s="1">
        <v>1</v>
      </c>
      <c r="N29" s="1">
        <f t="shared" si="0"/>
        <v>12</v>
      </c>
    </row>
    <row r="30" spans="1:14" ht="15.75" customHeight="1" x14ac:dyDescent="0.25">
      <c r="A30" s="1">
        <v>6029</v>
      </c>
      <c r="B30" s="1" t="s">
        <v>79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4</v>
      </c>
      <c r="J30" s="1">
        <v>1</v>
      </c>
      <c r="K30" s="1">
        <v>1</v>
      </c>
      <c r="L30" s="1">
        <v>1</v>
      </c>
      <c r="M30" s="1">
        <v>1</v>
      </c>
      <c r="N30" s="1">
        <f t="shared" si="0"/>
        <v>14</v>
      </c>
    </row>
    <row r="31" spans="1:14" ht="15.75" customHeight="1" x14ac:dyDescent="0.25">
      <c r="A31" s="1">
        <v>6030</v>
      </c>
      <c r="B31" s="1" t="s">
        <v>80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2</v>
      </c>
      <c r="J31" s="1">
        <v>1</v>
      </c>
      <c r="K31" s="1">
        <v>1</v>
      </c>
      <c r="L31" s="1">
        <v>1</v>
      </c>
      <c r="M31" s="1">
        <v>1</v>
      </c>
      <c r="N31" s="1">
        <f t="shared" si="0"/>
        <v>12</v>
      </c>
    </row>
    <row r="32" spans="1:14" ht="15.75" customHeight="1" x14ac:dyDescent="0.25">
      <c r="A32" s="1">
        <v>6031</v>
      </c>
      <c r="B32" s="1" t="s">
        <v>81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7</v>
      </c>
      <c r="J32" s="1">
        <v>1</v>
      </c>
      <c r="K32" s="1">
        <v>1</v>
      </c>
      <c r="L32" s="1">
        <v>1</v>
      </c>
      <c r="M32" s="1">
        <v>1</v>
      </c>
      <c r="N32" s="1">
        <f t="shared" si="0"/>
        <v>17</v>
      </c>
    </row>
    <row r="33" spans="1:14" ht="15.75" customHeight="1" x14ac:dyDescent="0.25">
      <c r="A33" s="1">
        <v>6032</v>
      </c>
      <c r="B33" s="1" t="s">
        <v>80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2</v>
      </c>
      <c r="J33" s="1">
        <v>1</v>
      </c>
      <c r="K33" s="1">
        <v>1</v>
      </c>
      <c r="L33" s="1">
        <v>1</v>
      </c>
      <c r="M33" s="1">
        <v>1</v>
      </c>
      <c r="N33" s="1">
        <f t="shared" si="0"/>
        <v>12</v>
      </c>
    </row>
    <row r="34" spans="1:14" ht="15.75" customHeight="1" x14ac:dyDescent="0.25">
      <c r="A34" s="1">
        <v>6033</v>
      </c>
      <c r="B34" s="1" t="s">
        <v>82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3</v>
      </c>
      <c r="J34" s="1">
        <v>1</v>
      </c>
      <c r="K34" s="1">
        <v>1</v>
      </c>
      <c r="L34" s="1">
        <v>1</v>
      </c>
      <c r="M34" s="1">
        <v>1</v>
      </c>
      <c r="N34" s="1">
        <f t="shared" si="0"/>
        <v>13</v>
      </c>
    </row>
    <row r="35" spans="1:14" ht="15.75" customHeight="1" x14ac:dyDescent="0.25">
      <c r="A35" s="1">
        <v>6034</v>
      </c>
      <c r="B35" s="1" t="s">
        <v>83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3</v>
      </c>
      <c r="J35" s="1">
        <v>1</v>
      </c>
      <c r="K35" s="1">
        <v>1</v>
      </c>
      <c r="L35" s="1">
        <v>1</v>
      </c>
      <c r="M35" s="1">
        <v>1</v>
      </c>
      <c r="N35" s="1">
        <f t="shared" si="0"/>
        <v>13</v>
      </c>
    </row>
    <row r="36" spans="1:14" ht="15.75" customHeight="1" x14ac:dyDescent="0.25">
      <c r="A36" s="1">
        <v>6035</v>
      </c>
      <c r="B36" s="1" t="s">
        <v>84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3</v>
      </c>
      <c r="J36" s="1">
        <v>1</v>
      </c>
      <c r="K36" s="1">
        <v>1</v>
      </c>
      <c r="L36" s="1">
        <v>1</v>
      </c>
      <c r="M36" s="1">
        <v>1</v>
      </c>
      <c r="N36" s="1">
        <f t="shared" si="0"/>
        <v>13</v>
      </c>
    </row>
    <row r="37" spans="1:14" ht="15.75" customHeight="1" x14ac:dyDescent="0.25">
      <c r="A37" s="1">
        <v>6036</v>
      </c>
      <c r="B37" s="1" t="s">
        <v>85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3</v>
      </c>
      <c r="J37" s="1">
        <v>1</v>
      </c>
      <c r="K37" s="1">
        <v>1</v>
      </c>
      <c r="L37" s="1">
        <v>1</v>
      </c>
      <c r="M37" s="1">
        <v>1</v>
      </c>
      <c r="N37" s="1">
        <f t="shared" si="0"/>
        <v>13</v>
      </c>
    </row>
    <row r="38" spans="1:14" ht="15.75" customHeight="1" x14ac:dyDescent="0.25">
      <c r="A38" s="1">
        <v>6037</v>
      </c>
      <c r="B38" s="1" t="s">
        <v>59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3</v>
      </c>
      <c r="J38" s="1">
        <v>1</v>
      </c>
      <c r="K38" s="1">
        <v>1</v>
      </c>
      <c r="L38" s="1">
        <v>1</v>
      </c>
      <c r="M38" s="1">
        <v>1</v>
      </c>
      <c r="N38" s="1">
        <f t="shared" si="0"/>
        <v>13</v>
      </c>
    </row>
    <row r="39" spans="1:14" ht="15.75" customHeight="1" x14ac:dyDescent="0.25">
      <c r="A39" s="1">
        <v>6038</v>
      </c>
      <c r="B39" s="1" t="s">
        <v>86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3</v>
      </c>
      <c r="J39" s="1">
        <v>1</v>
      </c>
      <c r="K39" s="1">
        <v>1</v>
      </c>
      <c r="L39" s="1">
        <v>1</v>
      </c>
      <c r="M39" s="1">
        <v>1</v>
      </c>
      <c r="N39" s="1">
        <f t="shared" si="0"/>
        <v>13</v>
      </c>
    </row>
    <row r="40" spans="1:14" ht="15.75" customHeight="1" x14ac:dyDescent="0.25">
      <c r="A40" s="1">
        <v>6039</v>
      </c>
      <c r="B40" s="1" t="s">
        <v>87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3</v>
      </c>
      <c r="J40" s="1">
        <v>1</v>
      </c>
      <c r="K40" s="1">
        <v>1</v>
      </c>
      <c r="L40" s="1">
        <v>1</v>
      </c>
      <c r="M40" s="1">
        <v>1</v>
      </c>
      <c r="N40" s="1">
        <f t="shared" si="0"/>
        <v>13</v>
      </c>
    </row>
    <row r="41" spans="1:14" ht="15.75" customHeight="1" x14ac:dyDescent="0.25">
      <c r="A41" s="1">
        <v>6040</v>
      </c>
      <c r="B41" s="1" t="s">
        <v>89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3</v>
      </c>
      <c r="J41" s="1">
        <v>1</v>
      </c>
      <c r="K41" s="1">
        <v>1</v>
      </c>
      <c r="L41" s="1">
        <v>1</v>
      </c>
      <c r="M41" s="1">
        <v>1</v>
      </c>
      <c r="N41" s="1">
        <f t="shared" si="0"/>
        <v>13</v>
      </c>
    </row>
    <row r="42" spans="1:14" ht="15.75" customHeight="1" x14ac:dyDescent="0.25">
      <c r="A42" s="1">
        <v>6041</v>
      </c>
      <c r="B42" s="1" t="s">
        <v>91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3</v>
      </c>
      <c r="J42" s="1">
        <v>1</v>
      </c>
      <c r="K42" s="1">
        <v>1</v>
      </c>
      <c r="L42" s="1">
        <v>1</v>
      </c>
      <c r="M42" s="1">
        <v>1</v>
      </c>
      <c r="N42" s="1">
        <f t="shared" si="0"/>
        <v>13</v>
      </c>
    </row>
    <row r="43" spans="1:14" ht="15.75" customHeight="1" x14ac:dyDescent="0.25">
      <c r="A43" s="1">
        <v>6042</v>
      </c>
      <c r="B43" s="1" t="s">
        <v>44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3</v>
      </c>
      <c r="J43" s="1">
        <v>1</v>
      </c>
      <c r="K43" s="1">
        <v>1</v>
      </c>
      <c r="L43" s="1">
        <v>1</v>
      </c>
      <c r="M43" s="1">
        <v>1</v>
      </c>
      <c r="N43" s="1">
        <f t="shared" si="0"/>
        <v>13</v>
      </c>
    </row>
    <row r="44" spans="1:14" ht="15.75" customHeight="1" x14ac:dyDescent="0.25">
      <c r="A44" s="1">
        <v>6043</v>
      </c>
      <c r="B44" s="1" t="s">
        <v>75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3</v>
      </c>
      <c r="J44" s="1">
        <v>1</v>
      </c>
      <c r="K44" s="1">
        <v>1</v>
      </c>
      <c r="L44" s="1">
        <v>1</v>
      </c>
      <c r="M44" s="1">
        <v>1</v>
      </c>
      <c r="N44" s="1">
        <f t="shared" si="0"/>
        <v>13</v>
      </c>
    </row>
    <row r="45" spans="1:14" ht="15.75" customHeight="1" x14ac:dyDescent="0.25">
      <c r="A45" s="1">
        <v>6044</v>
      </c>
      <c r="B45" s="1" t="s">
        <v>94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3</v>
      </c>
      <c r="J45" s="1">
        <v>1</v>
      </c>
      <c r="K45" s="1">
        <v>1</v>
      </c>
      <c r="L45" s="1">
        <v>1</v>
      </c>
      <c r="M45" s="1">
        <v>1</v>
      </c>
      <c r="N45" s="1">
        <f t="shared" si="0"/>
        <v>13</v>
      </c>
    </row>
    <row r="46" spans="1:14" ht="15.75" customHeight="1" x14ac:dyDescent="0.25">
      <c r="A46" s="1">
        <v>6045</v>
      </c>
      <c r="B46" s="1" t="s">
        <v>95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3</v>
      </c>
      <c r="J46" s="1">
        <v>1</v>
      </c>
      <c r="K46" s="1">
        <v>1</v>
      </c>
      <c r="L46" s="1">
        <v>1</v>
      </c>
      <c r="M46" s="1">
        <v>1</v>
      </c>
      <c r="N46" s="1">
        <f t="shared" si="0"/>
        <v>13</v>
      </c>
    </row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s="1" t="s">
        <v>1</v>
      </c>
      <c r="B1" s="1" t="s">
        <v>4</v>
      </c>
    </row>
    <row r="2" spans="1:2" x14ac:dyDescent="0.25">
      <c r="A2" s="1">
        <v>6001</v>
      </c>
      <c r="B2" s="1" t="s">
        <v>27</v>
      </c>
    </row>
    <row r="3" spans="1:2" x14ac:dyDescent="0.25">
      <c r="A3" s="1">
        <v>6002</v>
      </c>
      <c r="B3" s="1" t="s">
        <v>35</v>
      </c>
    </row>
    <row r="4" spans="1:2" x14ac:dyDescent="0.25">
      <c r="A4" s="1">
        <v>6003</v>
      </c>
      <c r="B4" s="1" t="s">
        <v>38</v>
      </c>
    </row>
    <row r="5" spans="1:2" x14ac:dyDescent="0.25">
      <c r="A5" s="1">
        <v>6004</v>
      </c>
      <c r="B5" s="1" t="s">
        <v>42</v>
      </c>
    </row>
    <row r="6" spans="1:2" x14ac:dyDescent="0.25">
      <c r="A6" s="1">
        <v>6005</v>
      </c>
      <c r="B6" s="1" t="s">
        <v>43</v>
      </c>
    </row>
    <row r="7" spans="1:2" x14ac:dyDescent="0.25">
      <c r="A7" s="1">
        <v>6006</v>
      </c>
      <c r="B7" s="1" t="s">
        <v>44</v>
      </c>
    </row>
    <row r="8" spans="1:2" x14ac:dyDescent="0.25">
      <c r="A8" s="1">
        <v>6007</v>
      </c>
      <c r="B8" s="1" t="s">
        <v>45</v>
      </c>
    </row>
    <row r="9" spans="1:2" x14ac:dyDescent="0.25">
      <c r="A9" s="1">
        <v>6008</v>
      </c>
      <c r="B9" s="1" t="s">
        <v>44</v>
      </c>
    </row>
    <row r="10" spans="1:2" x14ac:dyDescent="0.25">
      <c r="A10" s="1">
        <v>6009</v>
      </c>
      <c r="B10" s="1" t="s">
        <v>46</v>
      </c>
    </row>
    <row r="11" spans="1:2" x14ac:dyDescent="0.25">
      <c r="A11" s="1">
        <v>6010</v>
      </c>
      <c r="B11" s="1" t="s">
        <v>47</v>
      </c>
    </row>
    <row r="12" spans="1:2" x14ac:dyDescent="0.25">
      <c r="A12" s="1">
        <v>6011</v>
      </c>
      <c r="B12" s="1" t="s">
        <v>48</v>
      </c>
    </row>
    <row r="13" spans="1:2" x14ac:dyDescent="0.25">
      <c r="A13" s="1">
        <v>6012</v>
      </c>
      <c r="B13" s="1" t="s">
        <v>49</v>
      </c>
    </row>
    <row r="14" spans="1:2" x14ac:dyDescent="0.25">
      <c r="A14" s="1">
        <v>6013</v>
      </c>
      <c r="B14" s="1" t="s">
        <v>50</v>
      </c>
    </row>
    <row r="15" spans="1:2" x14ac:dyDescent="0.25">
      <c r="A15" s="1">
        <v>6014</v>
      </c>
      <c r="B15" s="1" t="s">
        <v>55</v>
      </c>
    </row>
    <row r="16" spans="1:2" x14ac:dyDescent="0.25">
      <c r="A16" s="1">
        <v>6015</v>
      </c>
      <c r="B16" s="1" t="s">
        <v>56</v>
      </c>
    </row>
    <row r="17" spans="1:2" x14ac:dyDescent="0.25">
      <c r="A17" s="1">
        <v>6016</v>
      </c>
      <c r="B17" s="1" t="s">
        <v>57</v>
      </c>
    </row>
    <row r="18" spans="1:2" x14ac:dyDescent="0.25">
      <c r="A18" s="1">
        <v>6017</v>
      </c>
      <c r="B18" s="1" t="s">
        <v>58</v>
      </c>
    </row>
    <row r="19" spans="1:2" x14ac:dyDescent="0.25">
      <c r="A19" s="1">
        <v>6018</v>
      </c>
      <c r="B19" s="1" t="s">
        <v>59</v>
      </c>
    </row>
    <row r="20" spans="1:2" x14ac:dyDescent="0.25">
      <c r="A20" s="1">
        <v>6019</v>
      </c>
      <c r="B20" s="1" t="s">
        <v>60</v>
      </c>
    </row>
    <row r="21" spans="1:2" ht="15.75" customHeight="1" x14ac:dyDescent="0.25">
      <c r="A21" s="1">
        <v>6020</v>
      </c>
      <c r="B21" s="1" t="s">
        <v>65</v>
      </c>
    </row>
    <row r="22" spans="1:2" ht="15.75" customHeight="1" x14ac:dyDescent="0.25">
      <c r="A22" s="1">
        <v>6021</v>
      </c>
      <c r="B22" s="1" t="s">
        <v>44</v>
      </c>
    </row>
    <row r="23" spans="1:2" ht="15.75" customHeight="1" x14ac:dyDescent="0.25">
      <c r="A23" s="1">
        <v>6022</v>
      </c>
      <c r="B23" s="1" t="s">
        <v>67</v>
      </c>
    </row>
    <row r="24" spans="1:2" ht="15.75" customHeight="1" x14ac:dyDescent="0.25">
      <c r="A24" s="1">
        <v>6023</v>
      </c>
      <c r="B24" s="1" t="s">
        <v>70</v>
      </c>
    </row>
    <row r="25" spans="1:2" ht="15.75" customHeight="1" x14ac:dyDescent="0.25">
      <c r="A25" s="1">
        <v>6024</v>
      </c>
      <c r="B25" s="1" t="s">
        <v>71</v>
      </c>
    </row>
    <row r="26" spans="1:2" ht="15.75" customHeight="1" x14ac:dyDescent="0.25">
      <c r="A26" s="1">
        <v>6025</v>
      </c>
      <c r="B26" s="1" t="s">
        <v>71</v>
      </c>
    </row>
    <row r="27" spans="1:2" ht="15.75" customHeight="1" x14ac:dyDescent="0.25">
      <c r="A27" s="1">
        <v>6026</v>
      </c>
      <c r="B27" s="1" t="s">
        <v>75</v>
      </c>
    </row>
    <row r="28" spans="1:2" ht="15.75" customHeight="1" x14ac:dyDescent="0.25">
      <c r="A28" s="1">
        <v>6027</v>
      </c>
      <c r="B28" s="1" t="s">
        <v>77</v>
      </c>
    </row>
    <row r="29" spans="1:2" ht="15.75" customHeight="1" x14ac:dyDescent="0.25">
      <c r="A29" s="1">
        <v>6028</v>
      </c>
      <c r="B29" s="1" t="s">
        <v>78</v>
      </c>
    </row>
    <row r="30" spans="1:2" ht="15.75" customHeight="1" x14ac:dyDescent="0.25">
      <c r="A30" s="1">
        <v>6029</v>
      </c>
      <c r="B30" s="1" t="s">
        <v>79</v>
      </c>
    </row>
    <row r="31" spans="1:2" ht="15.75" customHeight="1" x14ac:dyDescent="0.25">
      <c r="A31" s="1">
        <v>6030</v>
      </c>
      <c r="B31" s="1" t="s">
        <v>80</v>
      </c>
    </row>
    <row r="32" spans="1:2" ht="15.75" customHeight="1" x14ac:dyDescent="0.25">
      <c r="A32" s="1">
        <v>6031</v>
      </c>
      <c r="B32" s="1" t="s">
        <v>81</v>
      </c>
    </row>
    <row r="33" spans="1:2" ht="15.75" customHeight="1" x14ac:dyDescent="0.25">
      <c r="A33" s="1">
        <v>6032</v>
      </c>
      <c r="B33" s="1" t="s">
        <v>80</v>
      </c>
    </row>
    <row r="34" spans="1:2" ht="15.75" customHeight="1" x14ac:dyDescent="0.25">
      <c r="A34" s="1">
        <v>6033</v>
      </c>
      <c r="B34" s="1" t="s">
        <v>82</v>
      </c>
    </row>
    <row r="35" spans="1:2" ht="15.75" customHeight="1" x14ac:dyDescent="0.25">
      <c r="A35" s="1">
        <v>6034</v>
      </c>
      <c r="B35" s="1" t="s">
        <v>83</v>
      </c>
    </row>
    <row r="36" spans="1:2" ht="15.75" customHeight="1" x14ac:dyDescent="0.25">
      <c r="A36" s="1">
        <v>6035</v>
      </c>
      <c r="B36" s="1" t="s">
        <v>84</v>
      </c>
    </row>
    <row r="37" spans="1:2" ht="15.75" customHeight="1" x14ac:dyDescent="0.25">
      <c r="A37" s="1">
        <v>6036</v>
      </c>
      <c r="B37" s="1" t="s">
        <v>85</v>
      </c>
    </row>
    <row r="38" spans="1:2" ht="15.75" customHeight="1" x14ac:dyDescent="0.25">
      <c r="A38" s="1">
        <v>6037</v>
      </c>
      <c r="B38" s="1" t="s">
        <v>59</v>
      </c>
    </row>
    <row r="39" spans="1:2" ht="15.75" customHeight="1" x14ac:dyDescent="0.25">
      <c r="A39" s="1">
        <v>6038</v>
      </c>
      <c r="B39" s="1" t="s">
        <v>86</v>
      </c>
    </row>
    <row r="40" spans="1:2" ht="15.75" customHeight="1" x14ac:dyDescent="0.25">
      <c r="A40" s="1">
        <v>6039</v>
      </c>
      <c r="B40" s="1" t="s">
        <v>87</v>
      </c>
    </row>
    <row r="41" spans="1:2" ht="15.75" customHeight="1" x14ac:dyDescent="0.25">
      <c r="A41" s="1">
        <v>6040</v>
      </c>
      <c r="B41" s="1" t="s">
        <v>89</v>
      </c>
    </row>
    <row r="42" spans="1:2" ht="15.75" customHeight="1" x14ac:dyDescent="0.25">
      <c r="A42" s="1">
        <v>6041</v>
      </c>
      <c r="B42" s="1" t="s">
        <v>91</v>
      </c>
    </row>
    <row r="43" spans="1:2" ht="15.75" customHeight="1" x14ac:dyDescent="0.25">
      <c r="A43" s="1">
        <v>6042</v>
      </c>
      <c r="B43" s="1" t="s">
        <v>44</v>
      </c>
    </row>
    <row r="44" spans="1:2" ht="15.75" customHeight="1" x14ac:dyDescent="0.25">
      <c r="A44" s="1">
        <v>6043</v>
      </c>
      <c r="B44" s="1" t="s">
        <v>75</v>
      </c>
    </row>
    <row r="45" spans="1:2" ht="15.75" customHeight="1" x14ac:dyDescent="0.25">
      <c r="A45" s="1">
        <v>6044</v>
      </c>
      <c r="B45" s="1" t="s">
        <v>94</v>
      </c>
    </row>
    <row r="46" spans="1:2" ht="15.75" customHeight="1" x14ac:dyDescent="0.25">
      <c r="A46" s="1">
        <v>6045</v>
      </c>
      <c r="B46" s="1" t="s">
        <v>95</v>
      </c>
    </row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B1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opLeftCell="A27" workbookViewId="0">
      <selection activeCell="D47" sqref="D47"/>
    </sheetView>
  </sheetViews>
  <sheetFormatPr baseColWidth="10" defaultColWidth="14.42578125" defaultRowHeight="15" customHeight="1" x14ac:dyDescent="0.25"/>
  <cols>
    <col min="1" max="2" width="10.7109375" customWidth="1"/>
    <col min="3" max="3" width="46.7109375" customWidth="1"/>
    <col min="4" max="4" width="17.5703125" customWidth="1"/>
    <col min="5" max="5" width="14.7109375" customWidth="1"/>
    <col min="6" max="6" width="9.140625" customWidth="1"/>
    <col min="7" max="7" width="9.28515625" customWidth="1"/>
    <col min="8" max="8" width="5.28515625" customWidth="1"/>
    <col min="9" max="9" width="5" customWidth="1"/>
    <col min="10" max="26" width="10.7109375" customWidth="1"/>
  </cols>
  <sheetData>
    <row r="1" spans="1:9" x14ac:dyDescent="0.25">
      <c r="A1" s="1" t="s">
        <v>17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 x14ac:dyDescent="0.25">
      <c r="A2" s="1" t="str">
        <f t="shared" ref="A2:A46" si="0">B2&amp;I2</f>
        <v>60281</v>
      </c>
      <c r="B2" s="1">
        <v>6028</v>
      </c>
      <c r="C2" s="1" t="s">
        <v>112</v>
      </c>
      <c r="D2" s="181">
        <v>0.33333333333333331</v>
      </c>
      <c r="E2" s="11" t="s">
        <v>116</v>
      </c>
      <c r="F2" s="1">
        <v>70</v>
      </c>
      <c r="G2" s="1">
        <v>24</v>
      </c>
      <c r="H2" s="1" t="s">
        <v>117</v>
      </c>
      <c r="I2" s="1">
        <v>1</v>
      </c>
    </row>
    <row r="3" spans="1:9" x14ac:dyDescent="0.25">
      <c r="A3" s="1" t="str">
        <f t="shared" si="0"/>
        <v>60401</v>
      </c>
      <c r="B3" s="1">
        <v>6040</v>
      </c>
      <c r="C3" s="1" t="s">
        <v>89</v>
      </c>
      <c r="D3" s="182">
        <v>0.375</v>
      </c>
      <c r="E3" s="11" t="s">
        <v>119</v>
      </c>
      <c r="F3" s="1">
        <v>70</v>
      </c>
      <c r="H3" s="1" t="s">
        <v>117</v>
      </c>
      <c r="I3" s="1">
        <v>1</v>
      </c>
    </row>
    <row r="4" spans="1:9" x14ac:dyDescent="0.25">
      <c r="A4" s="1" t="str">
        <f t="shared" si="0"/>
        <v>60032</v>
      </c>
      <c r="B4" s="1">
        <v>6003</v>
      </c>
      <c r="C4" s="1" t="s">
        <v>120</v>
      </c>
      <c r="D4" s="182">
        <v>0.4375</v>
      </c>
      <c r="E4" s="11" t="s">
        <v>122</v>
      </c>
      <c r="F4" s="1">
        <v>50</v>
      </c>
      <c r="G4" s="1">
        <v>10</v>
      </c>
      <c r="H4" s="1" t="s">
        <v>117</v>
      </c>
      <c r="I4" s="1">
        <v>2</v>
      </c>
    </row>
    <row r="5" spans="1:9" x14ac:dyDescent="0.25">
      <c r="A5" s="1" t="str">
        <f t="shared" si="0"/>
        <v>60053</v>
      </c>
      <c r="B5" s="1">
        <v>6005</v>
      </c>
      <c r="C5" s="1" t="s">
        <v>120</v>
      </c>
      <c r="D5" s="182">
        <v>0.47916666666666669</v>
      </c>
      <c r="E5" s="11" t="s">
        <v>124</v>
      </c>
      <c r="F5" s="1">
        <v>70</v>
      </c>
      <c r="G5" s="1">
        <v>24</v>
      </c>
      <c r="H5" s="1" t="s">
        <v>117</v>
      </c>
      <c r="I5" s="1">
        <v>3</v>
      </c>
    </row>
    <row r="6" spans="1:9" x14ac:dyDescent="0.25">
      <c r="A6" s="1" t="str">
        <f t="shared" si="0"/>
        <v>60314</v>
      </c>
      <c r="B6" s="1">
        <v>6031</v>
      </c>
      <c r="C6" s="1" t="s">
        <v>81</v>
      </c>
      <c r="D6" s="182">
        <v>0.47916666666666669</v>
      </c>
      <c r="E6" s="11" t="s">
        <v>125</v>
      </c>
      <c r="F6" s="1">
        <v>70</v>
      </c>
      <c r="G6" s="1">
        <v>24</v>
      </c>
      <c r="H6" s="1" t="s">
        <v>117</v>
      </c>
      <c r="I6" s="1">
        <v>4</v>
      </c>
    </row>
    <row r="7" spans="1:9" x14ac:dyDescent="0.25">
      <c r="A7" s="1" t="str">
        <f t="shared" si="0"/>
        <v>60414</v>
      </c>
      <c r="B7" s="1">
        <v>6041</v>
      </c>
      <c r="C7" s="1" t="s">
        <v>126</v>
      </c>
      <c r="D7" s="182">
        <v>0.52083333333333337</v>
      </c>
      <c r="E7" s="11" t="s">
        <v>128</v>
      </c>
      <c r="F7" s="1">
        <v>70</v>
      </c>
      <c r="H7" s="1" t="s">
        <v>117</v>
      </c>
      <c r="I7" s="1">
        <v>4</v>
      </c>
    </row>
    <row r="8" spans="1:9" x14ac:dyDescent="0.25">
      <c r="A8" s="1" t="str">
        <f t="shared" si="0"/>
        <v>60325</v>
      </c>
      <c r="B8" s="1">
        <v>6032</v>
      </c>
      <c r="C8" s="1" t="s">
        <v>129</v>
      </c>
      <c r="D8" s="182">
        <v>0.5625</v>
      </c>
      <c r="E8" s="11" t="s">
        <v>131</v>
      </c>
      <c r="F8" s="1">
        <v>50</v>
      </c>
      <c r="G8" s="1">
        <v>10</v>
      </c>
      <c r="H8" s="1" t="s">
        <v>117</v>
      </c>
      <c r="I8" s="1">
        <v>5</v>
      </c>
    </row>
    <row r="9" spans="1:9" x14ac:dyDescent="0.25">
      <c r="A9" s="1" t="str">
        <f t="shared" si="0"/>
        <v>60306</v>
      </c>
      <c r="B9" s="1">
        <v>6030</v>
      </c>
      <c r="C9" s="1" t="s">
        <v>129</v>
      </c>
      <c r="D9" s="182">
        <v>0.60416666666666663</v>
      </c>
      <c r="E9" s="11" t="s">
        <v>133</v>
      </c>
      <c r="F9" s="1">
        <v>50</v>
      </c>
      <c r="G9" s="1">
        <v>10</v>
      </c>
      <c r="H9" s="1" t="s">
        <v>117</v>
      </c>
      <c r="I9" s="1">
        <v>6</v>
      </c>
    </row>
    <row r="10" spans="1:9" x14ac:dyDescent="0.25">
      <c r="A10" s="1" t="str">
        <f t="shared" si="0"/>
        <v>60067</v>
      </c>
      <c r="B10" s="1">
        <v>6006</v>
      </c>
      <c r="C10" s="1" t="s">
        <v>44</v>
      </c>
      <c r="D10" s="182">
        <v>0.33333333333333331</v>
      </c>
      <c r="E10" s="11" t="s">
        <v>139</v>
      </c>
      <c r="F10" s="1">
        <v>70</v>
      </c>
      <c r="G10" s="1">
        <v>24</v>
      </c>
      <c r="H10" s="1" t="s">
        <v>140</v>
      </c>
      <c r="I10" s="1">
        <v>7</v>
      </c>
    </row>
    <row r="11" spans="1:9" x14ac:dyDescent="0.25">
      <c r="A11" s="1" t="str">
        <f t="shared" si="0"/>
        <v>60218</v>
      </c>
      <c r="B11" s="1">
        <v>6021</v>
      </c>
      <c r="C11" s="1" t="s">
        <v>44</v>
      </c>
      <c r="D11" s="182">
        <v>0.39583333333333331</v>
      </c>
      <c r="E11" s="11" t="s">
        <v>142</v>
      </c>
      <c r="F11" s="1">
        <v>70</v>
      </c>
      <c r="G11" s="1">
        <v>24</v>
      </c>
      <c r="H11" s="1" t="s">
        <v>140</v>
      </c>
      <c r="I11" s="1">
        <v>8</v>
      </c>
    </row>
    <row r="12" spans="1:9" x14ac:dyDescent="0.25">
      <c r="A12" s="1" t="str">
        <f t="shared" si="0"/>
        <v>60209</v>
      </c>
      <c r="B12" s="1">
        <v>6020</v>
      </c>
      <c r="C12" s="1" t="s">
        <v>65</v>
      </c>
      <c r="D12" s="182">
        <v>0.4375</v>
      </c>
      <c r="E12" s="11" t="s">
        <v>132</v>
      </c>
      <c r="F12" s="1">
        <v>50</v>
      </c>
      <c r="G12" s="1">
        <v>10</v>
      </c>
      <c r="H12" s="1" t="s">
        <v>140</v>
      </c>
      <c r="I12" s="1">
        <v>9</v>
      </c>
    </row>
    <row r="13" spans="1:9" x14ac:dyDescent="0.25">
      <c r="A13" s="1" t="str">
        <f t="shared" si="0"/>
        <v>602610</v>
      </c>
      <c r="B13" s="1">
        <v>6026</v>
      </c>
      <c r="C13" s="1" t="s">
        <v>143</v>
      </c>
      <c r="D13" s="182">
        <v>0.47916666666666669</v>
      </c>
      <c r="E13" s="11" t="s">
        <v>124</v>
      </c>
      <c r="F13" s="1">
        <v>70</v>
      </c>
      <c r="G13" s="1">
        <v>24</v>
      </c>
      <c r="H13" s="1" t="s">
        <v>140</v>
      </c>
      <c r="I13" s="1">
        <v>10</v>
      </c>
    </row>
    <row r="14" spans="1:9" x14ac:dyDescent="0.25">
      <c r="A14" s="1" t="str">
        <f t="shared" si="0"/>
        <v>601211</v>
      </c>
      <c r="B14" s="1">
        <v>6012</v>
      </c>
      <c r="C14" s="1" t="s">
        <v>49</v>
      </c>
      <c r="D14" s="182">
        <v>0.52083333333333337</v>
      </c>
      <c r="E14" s="11" t="s">
        <v>131</v>
      </c>
      <c r="F14" s="1">
        <v>70</v>
      </c>
      <c r="G14" s="1">
        <v>24</v>
      </c>
      <c r="H14" s="1" t="s">
        <v>140</v>
      </c>
      <c r="I14" s="1">
        <v>11</v>
      </c>
    </row>
    <row r="15" spans="1:9" x14ac:dyDescent="0.25">
      <c r="A15" s="1" t="str">
        <f t="shared" si="0"/>
        <v>604311</v>
      </c>
      <c r="B15" s="1">
        <v>6043</v>
      </c>
      <c r="C15" s="1" t="s">
        <v>143</v>
      </c>
      <c r="D15" s="182">
        <v>0.5625</v>
      </c>
      <c r="E15" s="11" t="s">
        <v>144</v>
      </c>
      <c r="F15" s="1">
        <v>70</v>
      </c>
      <c r="H15" s="1" t="s">
        <v>140</v>
      </c>
      <c r="I15" s="1">
        <v>11</v>
      </c>
    </row>
    <row r="16" spans="1:9" x14ac:dyDescent="0.25">
      <c r="A16" s="1" t="str">
        <f t="shared" si="0"/>
        <v>600212</v>
      </c>
      <c r="B16" s="1">
        <v>6002</v>
      </c>
      <c r="C16" s="1" t="s">
        <v>76</v>
      </c>
      <c r="D16" s="182">
        <v>0.60416666666666663</v>
      </c>
      <c r="E16" s="10" t="s">
        <v>119</v>
      </c>
      <c r="F16" s="1">
        <v>70</v>
      </c>
      <c r="G16" s="1">
        <v>24</v>
      </c>
      <c r="H16" s="1" t="s">
        <v>140</v>
      </c>
      <c r="I16" s="1">
        <v>12</v>
      </c>
    </row>
    <row r="17" spans="1:9" x14ac:dyDescent="0.25">
      <c r="A17" s="1" t="str">
        <f t="shared" si="0"/>
        <v>603413</v>
      </c>
      <c r="B17" s="1">
        <v>6034</v>
      </c>
      <c r="C17" s="1" t="s">
        <v>76</v>
      </c>
      <c r="D17" s="182">
        <v>0.64583333333333337</v>
      </c>
      <c r="E17" s="11" t="s">
        <v>149</v>
      </c>
      <c r="F17" s="1">
        <v>70</v>
      </c>
      <c r="G17" s="1">
        <v>24</v>
      </c>
      <c r="H17" s="1" t="s">
        <v>140</v>
      </c>
      <c r="I17" s="1">
        <v>13</v>
      </c>
    </row>
    <row r="18" spans="1:9" x14ac:dyDescent="0.25">
      <c r="A18" s="1" t="str">
        <f t="shared" si="0"/>
        <v>602214</v>
      </c>
      <c r="B18" s="1">
        <v>6022</v>
      </c>
      <c r="C18" s="1" t="s">
        <v>150</v>
      </c>
      <c r="D18" s="182">
        <v>0.33333333333333331</v>
      </c>
      <c r="E18" s="11" t="s">
        <v>139</v>
      </c>
      <c r="F18" s="1">
        <v>70</v>
      </c>
      <c r="G18" s="1">
        <v>24</v>
      </c>
      <c r="H18" s="1" t="s">
        <v>151</v>
      </c>
      <c r="I18" s="1">
        <v>14</v>
      </c>
    </row>
    <row r="19" spans="1:9" x14ac:dyDescent="0.25">
      <c r="A19" s="1" t="str">
        <f t="shared" si="0"/>
        <v>603315</v>
      </c>
      <c r="B19" s="1">
        <v>6033</v>
      </c>
      <c r="C19" s="1" t="s">
        <v>152</v>
      </c>
      <c r="D19" s="182">
        <v>0.375</v>
      </c>
      <c r="E19" s="11" t="s">
        <v>116</v>
      </c>
      <c r="F19" s="1">
        <v>70</v>
      </c>
      <c r="G19" s="1">
        <v>24</v>
      </c>
      <c r="H19" s="1" t="s">
        <v>151</v>
      </c>
      <c r="I19" s="1">
        <v>15</v>
      </c>
    </row>
    <row r="20" spans="1:9" x14ac:dyDescent="0.25">
      <c r="A20" s="1" t="str">
        <f t="shared" si="0"/>
        <v>604216</v>
      </c>
      <c r="B20" s="1">
        <v>6042</v>
      </c>
      <c r="C20" s="1" t="s">
        <v>44</v>
      </c>
      <c r="D20" s="182">
        <v>0.41666666666666669</v>
      </c>
      <c r="E20" s="11" t="s">
        <v>142</v>
      </c>
      <c r="F20" s="1">
        <v>50</v>
      </c>
      <c r="G20" s="1">
        <v>10</v>
      </c>
      <c r="H20" s="1" t="s">
        <v>151</v>
      </c>
      <c r="I20" s="1">
        <v>16</v>
      </c>
    </row>
    <row r="21" spans="1:9" ht="15.75" customHeight="1" x14ac:dyDescent="0.25">
      <c r="A21" s="1" t="str">
        <f t="shared" si="0"/>
        <v>600817</v>
      </c>
      <c r="B21" s="1">
        <v>6008</v>
      </c>
      <c r="C21" s="1" t="s">
        <v>44</v>
      </c>
      <c r="D21" s="182">
        <v>0.45833333333333331</v>
      </c>
      <c r="E21" s="11" t="s">
        <v>124</v>
      </c>
      <c r="F21" s="1">
        <v>50</v>
      </c>
      <c r="G21" s="1">
        <v>10</v>
      </c>
      <c r="H21" s="1" t="s">
        <v>151</v>
      </c>
      <c r="I21" s="1">
        <v>17</v>
      </c>
    </row>
    <row r="22" spans="1:9" ht="15.75" customHeight="1" x14ac:dyDescent="0.25">
      <c r="A22" s="1" t="str">
        <f t="shared" si="0"/>
        <v>601518</v>
      </c>
      <c r="B22" s="1">
        <v>6015</v>
      </c>
      <c r="C22" s="1" t="s">
        <v>156</v>
      </c>
      <c r="D22" s="182">
        <v>0.5</v>
      </c>
      <c r="E22" s="11" t="s">
        <v>132</v>
      </c>
      <c r="F22" s="1">
        <v>70</v>
      </c>
      <c r="G22" s="1">
        <v>24</v>
      </c>
      <c r="H22" s="1" t="s">
        <v>151</v>
      </c>
      <c r="I22" s="1">
        <v>18</v>
      </c>
    </row>
    <row r="23" spans="1:9" ht="15.75" customHeight="1" x14ac:dyDescent="0.25">
      <c r="A23" s="1" t="str">
        <f t="shared" si="0"/>
        <v>604518</v>
      </c>
      <c r="B23" s="1">
        <v>6045</v>
      </c>
      <c r="C23" s="1" t="s">
        <v>157</v>
      </c>
      <c r="D23" s="182">
        <v>0.54166666666666663</v>
      </c>
      <c r="E23" s="11" t="s">
        <v>125</v>
      </c>
      <c r="F23" s="1">
        <v>70</v>
      </c>
      <c r="H23" s="1" t="s">
        <v>151</v>
      </c>
      <c r="I23" s="1">
        <v>18</v>
      </c>
    </row>
    <row r="24" spans="1:9" ht="15.75" customHeight="1" x14ac:dyDescent="0.25">
      <c r="A24" s="1" t="str">
        <f t="shared" si="0"/>
        <v>603619</v>
      </c>
      <c r="B24" s="1">
        <v>6036</v>
      </c>
      <c r="C24" s="1" t="s">
        <v>158</v>
      </c>
      <c r="D24" s="182">
        <v>0.58333333333333337</v>
      </c>
      <c r="E24" s="11" t="s">
        <v>161</v>
      </c>
      <c r="F24" s="1">
        <v>70</v>
      </c>
      <c r="G24" s="1">
        <v>24</v>
      </c>
      <c r="H24" s="1" t="s">
        <v>151</v>
      </c>
      <c r="I24" s="1">
        <v>19</v>
      </c>
    </row>
    <row r="25" spans="1:9" ht="15.75" customHeight="1" x14ac:dyDescent="0.25">
      <c r="A25" s="1" t="str">
        <f t="shared" si="0"/>
        <v>603519</v>
      </c>
      <c r="B25" s="1">
        <v>6035</v>
      </c>
      <c r="C25" s="1" t="s">
        <v>84</v>
      </c>
      <c r="D25" s="182">
        <v>0.625</v>
      </c>
      <c r="E25" s="11" t="s">
        <v>144</v>
      </c>
      <c r="F25" s="1">
        <v>70</v>
      </c>
      <c r="H25" s="1" t="s">
        <v>151</v>
      </c>
      <c r="I25" s="1">
        <v>19</v>
      </c>
    </row>
    <row r="26" spans="1:9" ht="15.75" customHeight="1" x14ac:dyDescent="0.25">
      <c r="A26" s="1" t="str">
        <f t="shared" si="0"/>
        <v>602322</v>
      </c>
      <c r="B26" s="1">
        <v>6023</v>
      </c>
      <c r="C26" s="1" t="s">
        <v>70</v>
      </c>
      <c r="D26" s="182">
        <v>0.33333333333333331</v>
      </c>
      <c r="E26" s="11" t="s">
        <v>127</v>
      </c>
      <c r="F26" s="1">
        <v>70</v>
      </c>
      <c r="G26" s="1">
        <v>24</v>
      </c>
      <c r="H26" s="1" t="s">
        <v>164</v>
      </c>
      <c r="I26" s="1">
        <v>22</v>
      </c>
    </row>
    <row r="27" spans="1:9" ht="15.75" customHeight="1" x14ac:dyDescent="0.25">
      <c r="A27" s="1" t="str">
        <f t="shared" si="0"/>
        <v>603922</v>
      </c>
      <c r="B27" s="1">
        <v>6039</v>
      </c>
      <c r="C27" s="1" t="s">
        <v>87</v>
      </c>
      <c r="D27" s="182">
        <v>0.375</v>
      </c>
      <c r="E27" s="11" t="s">
        <v>116</v>
      </c>
      <c r="F27" s="1">
        <v>70</v>
      </c>
      <c r="H27" s="1" t="s">
        <v>164</v>
      </c>
      <c r="I27" s="1">
        <v>22</v>
      </c>
    </row>
    <row r="28" spans="1:9" ht="15.75" customHeight="1" x14ac:dyDescent="0.25">
      <c r="A28" s="1" t="str">
        <f t="shared" si="0"/>
        <v>603720</v>
      </c>
      <c r="B28" s="1">
        <v>6037</v>
      </c>
      <c r="C28" s="1" t="s">
        <v>165</v>
      </c>
      <c r="D28" s="182">
        <v>0.41666666666666669</v>
      </c>
      <c r="E28" s="11" t="s">
        <v>142</v>
      </c>
      <c r="F28" s="1">
        <v>70</v>
      </c>
      <c r="G28" s="1">
        <v>24</v>
      </c>
      <c r="H28" s="1" t="s">
        <v>164</v>
      </c>
      <c r="I28" s="1">
        <v>20</v>
      </c>
    </row>
    <row r="29" spans="1:9" ht="15.75" customHeight="1" x14ac:dyDescent="0.25">
      <c r="A29" s="1" t="str">
        <f t="shared" si="0"/>
        <v>601821</v>
      </c>
      <c r="B29" s="1">
        <v>6018</v>
      </c>
      <c r="C29" s="1" t="s">
        <v>165</v>
      </c>
      <c r="D29" s="182">
        <v>0.45833333333333331</v>
      </c>
      <c r="E29" s="11" t="s">
        <v>132</v>
      </c>
      <c r="F29" s="1">
        <v>70</v>
      </c>
      <c r="G29" s="1">
        <v>24</v>
      </c>
      <c r="H29" s="1" t="s">
        <v>164</v>
      </c>
      <c r="I29" s="1">
        <v>21</v>
      </c>
    </row>
    <row r="30" spans="1:9" ht="15.75" customHeight="1" x14ac:dyDescent="0.25">
      <c r="A30" s="1" t="str">
        <f t="shared" si="0"/>
        <v>601423</v>
      </c>
      <c r="B30" s="1">
        <v>6014</v>
      </c>
      <c r="C30" s="1" t="s">
        <v>166</v>
      </c>
      <c r="D30" s="182">
        <v>0.5</v>
      </c>
      <c r="E30" s="11" t="s">
        <v>125</v>
      </c>
      <c r="F30" s="1">
        <v>70</v>
      </c>
      <c r="G30" s="1">
        <v>24</v>
      </c>
      <c r="H30" s="1" t="s">
        <v>164</v>
      </c>
      <c r="I30" s="1">
        <v>23</v>
      </c>
    </row>
    <row r="31" spans="1:9" ht="15.75" customHeight="1" x14ac:dyDescent="0.25">
      <c r="A31" s="1" t="str">
        <f t="shared" si="0"/>
        <v>601323</v>
      </c>
      <c r="B31" s="1">
        <v>6013</v>
      </c>
      <c r="C31" s="1" t="s">
        <v>50</v>
      </c>
      <c r="D31" s="182">
        <v>0.54166666666666663</v>
      </c>
      <c r="E31" s="1" t="s">
        <v>149</v>
      </c>
      <c r="F31" s="1">
        <v>70</v>
      </c>
      <c r="H31" s="1" t="s">
        <v>164</v>
      </c>
      <c r="I31" s="1">
        <v>23</v>
      </c>
    </row>
    <row r="32" spans="1:9" ht="15.75" customHeight="1" x14ac:dyDescent="0.25">
      <c r="A32" s="1" t="str">
        <f t="shared" si="0"/>
        <v>600424</v>
      </c>
      <c r="B32" s="1">
        <v>6004</v>
      </c>
      <c r="C32" s="1" t="s">
        <v>42</v>
      </c>
      <c r="D32" s="182">
        <v>0.58333333333333337</v>
      </c>
      <c r="E32" s="11" t="s">
        <v>131</v>
      </c>
      <c r="F32" s="1">
        <v>70</v>
      </c>
      <c r="G32" s="1">
        <v>24</v>
      </c>
      <c r="H32" s="1" t="s">
        <v>164</v>
      </c>
      <c r="I32" s="1">
        <v>24</v>
      </c>
    </row>
    <row r="33" spans="1:9" ht="15.75" customHeight="1" x14ac:dyDescent="0.25">
      <c r="A33" s="1" t="str">
        <f t="shared" si="0"/>
        <v>601724</v>
      </c>
      <c r="B33" s="1">
        <v>6017</v>
      </c>
      <c r="C33" s="1" t="s">
        <v>167</v>
      </c>
      <c r="D33" s="182">
        <v>0.625</v>
      </c>
      <c r="E33" s="11" t="s">
        <v>168</v>
      </c>
      <c r="F33" s="1">
        <v>70</v>
      </c>
      <c r="H33" s="1" t="s">
        <v>164</v>
      </c>
      <c r="I33" s="1">
        <v>24</v>
      </c>
    </row>
    <row r="34" spans="1:9" ht="15.75" customHeight="1" x14ac:dyDescent="0.25">
      <c r="A34" s="1" t="str">
        <f t="shared" si="0"/>
        <v>600125</v>
      </c>
      <c r="B34" s="1">
        <v>6001</v>
      </c>
      <c r="C34" s="1" t="s">
        <v>169</v>
      </c>
      <c r="D34" s="182">
        <v>0.33333333333333331</v>
      </c>
      <c r="E34" s="11" t="s">
        <v>139</v>
      </c>
      <c r="F34" s="1">
        <v>70</v>
      </c>
      <c r="G34" s="1">
        <v>24</v>
      </c>
      <c r="H34" s="1" t="s">
        <v>170</v>
      </c>
      <c r="I34" s="1">
        <v>25</v>
      </c>
    </row>
    <row r="35" spans="1:9" ht="15.75" customHeight="1" x14ac:dyDescent="0.25">
      <c r="A35" s="1" t="str">
        <f t="shared" si="0"/>
        <v>602726</v>
      </c>
      <c r="B35" s="1">
        <v>6027</v>
      </c>
      <c r="C35" s="1" t="s">
        <v>77</v>
      </c>
      <c r="D35" s="182">
        <v>0.375</v>
      </c>
      <c r="E35" s="11" t="s">
        <v>116</v>
      </c>
      <c r="F35" s="1">
        <v>50</v>
      </c>
      <c r="G35" s="1">
        <v>10</v>
      </c>
      <c r="H35" s="1" t="s">
        <v>170</v>
      </c>
      <c r="I35" s="1">
        <v>26</v>
      </c>
    </row>
    <row r="36" spans="1:9" ht="15.75" customHeight="1" x14ac:dyDescent="0.25">
      <c r="A36" s="1" t="str">
        <f t="shared" si="0"/>
        <v>604427</v>
      </c>
      <c r="B36" s="1">
        <v>6044</v>
      </c>
      <c r="C36" s="1" t="s">
        <v>172</v>
      </c>
      <c r="D36" s="182">
        <v>0.41666666666666669</v>
      </c>
      <c r="E36" s="11" t="s">
        <v>142</v>
      </c>
      <c r="F36" s="1">
        <v>50</v>
      </c>
      <c r="G36" s="1">
        <v>10</v>
      </c>
      <c r="H36" s="1" t="s">
        <v>170</v>
      </c>
      <c r="I36" s="1">
        <v>27</v>
      </c>
    </row>
    <row r="37" spans="1:9" ht="15.75" customHeight="1" x14ac:dyDescent="0.25">
      <c r="A37" s="1" t="str">
        <f t="shared" si="0"/>
        <v>601628</v>
      </c>
      <c r="B37" s="1">
        <v>6016</v>
      </c>
      <c r="C37" s="1" t="s">
        <v>173</v>
      </c>
      <c r="D37" s="182">
        <v>0.45833333333333331</v>
      </c>
      <c r="E37" s="11" t="s">
        <v>148</v>
      </c>
      <c r="F37" s="1">
        <v>70</v>
      </c>
      <c r="G37" s="1">
        <v>24</v>
      </c>
      <c r="H37" s="1" t="s">
        <v>170</v>
      </c>
      <c r="I37" s="1">
        <v>28</v>
      </c>
    </row>
    <row r="38" spans="1:9" ht="15.75" customHeight="1" x14ac:dyDescent="0.25">
      <c r="A38" s="1" t="str">
        <f t="shared" si="0"/>
        <v>601928</v>
      </c>
      <c r="B38" s="1">
        <v>6019</v>
      </c>
      <c r="C38" s="1" t="s">
        <v>174</v>
      </c>
      <c r="D38" s="182">
        <v>0.5</v>
      </c>
      <c r="E38" s="11" t="s">
        <v>131</v>
      </c>
      <c r="F38" s="1">
        <v>70</v>
      </c>
      <c r="H38" s="1" t="s">
        <v>170</v>
      </c>
      <c r="I38" s="1">
        <v>28</v>
      </c>
    </row>
    <row r="39" spans="1:9" ht="15.75" customHeight="1" x14ac:dyDescent="0.25">
      <c r="A39" s="1" t="str">
        <f t="shared" si="0"/>
        <v>601029</v>
      </c>
      <c r="B39" s="1">
        <v>6010</v>
      </c>
      <c r="C39" s="1" t="s">
        <v>47</v>
      </c>
      <c r="D39" s="182">
        <v>0.54166666666666663</v>
      </c>
      <c r="E39" s="11" t="s">
        <v>119</v>
      </c>
      <c r="F39" s="1">
        <v>50</v>
      </c>
      <c r="G39" s="1">
        <v>10</v>
      </c>
      <c r="H39" s="1" t="s">
        <v>170</v>
      </c>
      <c r="I39" s="1">
        <v>29</v>
      </c>
    </row>
    <row r="40" spans="1:9" ht="15.75" customHeight="1" x14ac:dyDescent="0.25">
      <c r="A40" s="1" t="str">
        <f t="shared" si="0"/>
        <v>600930</v>
      </c>
      <c r="B40" s="1">
        <v>6009</v>
      </c>
      <c r="C40" s="1" t="s">
        <v>46</v>
      </c>
      <c r="D40" s="182">
        <v>0.58333333333333337</v>
      </c>
      <c r="E40" s="11" t="s">
        <v>131</v>
      </c>
      <c r="F40" s="1">
        <v>50</v>
      </c>
      <c r="G40" s="1">
        <v>10</v>
      </c>
      <c r="H40" s="1" t="s">
        <v>170</v>
      </c>
      <c r="I40" s="1">
        <v>30</v>
      </c>
    </row>
    <row r="41" spans="1:9" ht="15.75" customHeight="1" x14ac:dyDescent="0.25">
      <c r="A41" s="1" t="str">
        <f t="shared" si="0"/>
        <v>600731</v>
      </c>
      <c r="B41" s="1">
        <v>6007</v>
      </c>
      <c r="C41" s="1" t="s">
        <v>45</v>
      </c>
      <c r="D41" s="182">
        <v>0.625</v>
      </c>
      <c r="E41" s="11" t="s">
        <v>168</v>
      </c>
      <c r="F41" s="1">
        <v>70</v>
      </c>
      <c r="G41" s="1">
        <v>24</v>
      </c>
      <c r="H41" s="1" t="s">
        <v>170</v>
      </c>
      <c r="I41" s="1">
        <v>31</v>
      </c>
    </row>
    <row r="42" spans="1:9" ht="15.75" customHeight="1" x14ac:dyDescent="0.25">
      <c r="A42" s="1" t="str">
        <f t="shared" si="0"/>
        <v>602931</v>
      </c>
      <c r="B42" s="1">
        <v>6029</v>
      </c>
      <c r="C42" s="1" t="s">
        <v>175</v>
      </c>
      <c r="D42" s="182">
        <v>0.66666666666666663</v>
      </c>
      <c r="E42" s="11" t="s">
        <v>176</v>
      </c>
      <c r="F42" s="1">
        <v>70</v>
      </c>
      <c r="H42" s="1" t="s">
        <v>170</v>
      </c>
      <c r="I42" s="1">
        <v>31</v>
      </c>
    </row>
    <row r="43" spans="1:9" ht="15.75" customHeight="1" x14ac:dyDescent="0.25">
      <c r="A43" s="1" t="str">
        <f t="shared" si="0"/>
        <v>602532</v>
      </c>
      <c r="B43" s="1">
        <v>6025</v>
      </c>
      <c r="C43" s="1" t="s">
        <v>177</v>
      </c>
      <c r="D43" s="182">
        <v>0.33333333333333331</v>
      </c>
      <c r="E43" s="11" t="s">
        <v>139</v>
      </c>
      <c r="F43" s="1">
        <v>70</v>
      </c>
      <c r="G43" s="1">
        <v>24</v>
      </c>
      <c r="H43" s="1" t="s">
        <v>178</v>
      </c>
      <c r="I43" s="1">
        <v>32</v>
      </c>
    </row>
    <row r="44" spans="1:9" ht="15.75" customHeight="1" x14ac:dyDescent="0.25">
      <c r="A44" s="1" t="str">
        <f t="shared" si="0"/>
        <v>602433</v>
      </c>
      <c r="B44" s="1">
        <v>6024</v>
      </c>
      <c r="C44" s="1" t="s">
        <v>177</v>
      </c>
      <c r="D44" s="182">
        <v>0.375</v>
      </c>
      <c r="E44" s="1" t="s">
        <v>116</v>
      </c>
      <c r="F44" s="1">
        <v>70</v>
      </c>
      <c r="G44" s="1">
        <v>24</v>
      </c>
      <c r="H44" s="1" t="s">
        <v>178</v>
      </c>
      <c r="I44" s="1">
        <v>33</v>
      </c>
    </row>
    <row r="45" spans="1:9" ht="15.75" customHeight="1" x14ac:dyDescent="0.25">
      <c r="A45" s="1" t="str">
        <f t="shared" si="0"/>
        <v>603834</v>
      </c>
      <c r="B45" s="1">
        <v>6038</v>
      </c>
      <c r="C45" s="1" t="s">
        <v>180</v>
      </c>
      <c r="D45" s="182">
        <v>0.41666666666666669</v>
      </c>
      <c r="E45" s="11" t="s">
        <v>124</v>
      </c>
      <c r="F45" s="1">
        <v>70</v>
      </c>
      <c r="G45" s="1">
        <v>24</v>
      </c>
      <c r="H45" s="1" t="s">
        <v>178</v>
      </c>
      <c r="I45" s="1">
        <v>34</v>
      </c>
    </row>
    <row r="46" spans="1:9" ht="15.75" customHeight="1" x14ac:dyDescent="0.25">
      <c r="A46" s="1" t="str">
        <f t="shared" si="0"/>
        <v>601134</v>
      </c>
      <c r="B46" s="1">
        <v>6011</v>
      </c>
      <c r="C46" s="1" t="s">
        <v>181</v>
      </c>
      <c r="D46" s="182">
        <v>0.45833333333333331</v>
      </c>
      <c r="E46" s="11" t="s">
        <v>131</v>
      </c>
      <c r="F46" s="1">
        <v>70</v>
      </c>
      <c r="H46" s="1" t="s">
        <v>178</v>
      </c>
      <c r="I46" s="1">
        <v>34</v>
      </c>
    </row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I46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TD</vt:lpstr>
      <vt:lpstr>BD</vt:lpstr>
      <vt:lpstr>CAJAS</vt:lpstr>
      <vt:lpstr>RUTAS</vt:lpstr>
      <vt:lpstr>DIAS</vt:lpstr>
      <vt:lpstr>ST</vt:lpstr>
      <vt:lpstr>CONCAT</vt:lpstr>
      <vt:lpstr>BESE TOTAL CAJA</vt:lpstr>
      <vt:lpstr>BASE</vt:lpstr>
      <vt:lpstr>HORARIOS</vt:lpstr>
      <vt:lpstr>RUTAS!Área_de_impresión</vt:lpstr>
      <vt:lpstr>RUTAS!Títulos_a_imprimir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2026-10-29T18:50:33Z</cp:lastPrinted>
  <dcterms:created xsi:type="dcterms:W3CDTF">2026-10-26T16:36:12Z</dcterms:created>
  <dcterms:modified xsi:type="dcterms:W3CDTF">2026-10-30T21:56:12Z</dcterms:modified>
</cp:coreProperties>
</file>