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00" activeTab="1"/>
  </bookViews>
  <sheets>
    <sheet name="BD" sheetId="1" r:id="rId1"/>
    <sheet name="CAJAS" sheetId="8" r:id="rId2"/>
    <sheet name="RUTAS" sheetId="7" r:id="rId3"/>
    <sheet name="ST" sheetId="2" state="hidden" r:id="rId4"/>
    <sheet name="CONCAT" sheetId="3" state="hidden" r:id="rId5"/>
    <sheet name="BESE TOTAL CAJA" sheetId="4" state="hidden" r:id="rId6"/>
    <sheet name="BASE" sheetId="5" state="hidden" r:id="rId7"/>
    <sheet name="HORARIOS" sheetId="6" state="hidden" r:id="rId8"/>
  </sheets>
  <externalReferences>
    <externalReference r:id="rId9"/>
  </externalReferences>
  <definedNames>
    <definedName name="_xlnm._FilterDatabase" localSheetId="6" hidden="1">BASE!$A$1:$B$1</definedName>
    <definedName name="_xlnm._FilterDatabase" localSheetId="0" hidden="1">BD!$A$5:$P$326</definedName>
    <definedName name="_xlnm._FilterDatabase" localSheetId="2" hidden="1">RUTAS!$A$8:$F$53</definedName>
    <definedName name="_xlnm.Print_Area" localSheetId="2">RUTAS!$A$1:$G$59</definedName>
    <definedName name="_xlnm.Print_Titles" localSheetId="2">RUTAS!$3:$8</definedName>
  </definedNames>
  <calcPr calcId="162913"/>
  <pivotCaches>
    <pivotCache cacheId="4" r:id="rId10"/>
  </pivotCaches>
  <extLst>
    <ext uri="GoogleSheetsCustomDataVersion2">
      <go:sheetsCustomData xmlns:go="http://customooxmlschemas.google.com/" r:id="rId11" roundtripDataChecksum="hkHv5Wl4NFfxdvc83R9R1R4AHwW8fn1wdHLLr2qjI/M="/>
    </ext>
  </extLst>
</workbook>
</file>

<file path=xl/calcChain.xml><?xml version="1.0" encoding="utf-8"?>
<calcChain xmlns="http://schemas.openxmlformats.org/spreadsheetml/2006/main">
  <c r="A638" i="8" l="1"/>
  <c r="A610" i="8"/>
  <c r="A584" i="8"/>
  <c r="A557" i="8"/>
  <c r="A530" i="8"/>
  <c r="A502" i="8"/>
  <c r="A476" i="8"/>
  <c r="A448" i="8"/>
  <c r="A420" i="8"/>
  <c r="A393" i="8"/>
  <c r="A368" i="8"/>
  <c r="A340" i="8"/>
  <c r="A314" i="8"/>
  <c r="A288" i="8"/>
  <c r="A262" i="8"/>
  <c r="A231" i="8"/>
  <c r="A200" i="8"/>
  <c r="A170" i="8"/>
  <c r="A142" i="8"/>
  <c r="A116" i="8"/>
  <c r="A91" i="8"/>
  <c r="A60" i="8"/>
  <c r="A35" i="8"/>
  <c r="A6" i="8"/>
  <c r="A46" i="6" l="1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D3" i="3"/>
  <c r="E3" i="3" s="1"/>
  <c r="D2" i="3"/>
  <c r="E2" i="3" s="1"/>
  <c r="D1" i="3"/>
  <c r="E1" i="3" s="1"/>
  <c r="E4" i="2"/>
  <c r="N326" i="1"/>
  <c r="A326" i="1" s="1"/>
  <c r="M326" i="1"/>
  <c r="N325" i="1"/>
  <c r="A325" i="1" s="1"/>
  <c r="M325" i="1"/>
  <c r="N324" i="1"/>
  <c r="A324" i="1" s="1"/>
  <c r="P324" i="1" s="1"/>
  <c r="M324" i="1"/>
  <c r="N323" i="1"/>
  <c r="A323" i="1" s="1"/>
  <c r="M323" i="1"/>
  <c r="N322" i="1"/>
  <c r="A322" i="1" s="1"/>
  <c r="M322" i="1"/>
  <c r="N321" i="1"/>
  <c r="A321" i="1" s="1"/>
  <c r="M321" i="1"/>
  <c r="N320" i="1"/>
  <c r="A320" i="1" s="1"/>
  <c r="P320" i="1" s="1"/>
  <c r="M320" i="1"/>
  <c r="N319" i="1"/>
  <c r="A319" i="1" s="1"/>
  <c r="O319" i="1" s="1"/>
  <c r="M319" i="1"/>
  <c r="N318" i="1"/>
  <c r="A318" i="1" s="1"/>
  <c r="P318" i="1" s="1"/>
  <c r="M318" i="1"/>
  <c r="N317" i="1"/>
  <c r="A317" i="1" s="1"/>
  <c r="M317" i="1"/>
  <c r="N316" i="1"/>
  <c r="A316" i="1" s="1"/>
  <c r="P316" i="1" s="1"/>
  <c r="M316" i="1"/>
  <c r="N315" i="1"/>
  <c r="M315" i="1"/>
  <c r="A315" i="1"/>
  <c r="O315" i="1" s="1"/>
  <c r="N314" i="1"/>
  <c r="A314" i="1" s="1"/>
  <c r="O314" i="1" s="1"/>
  <c r="M314" i="1"/>
  <c r="N313" i="1"/>
  <c r="A313" i="1" s="1"/>
  <c r="P313" i="1" s="1"/>
  <c r="M313" i="1"/>
  <c r="N312" i="1"/>
  <c r="M312" i="1"/>
  <c r="A312" i="1"/>
  <c r="O312" i="1" s="1"/>
  <c r="N311" i="1"/>
  <c r="M311" i="1"/>
  <c r="A311" i="1"/>
  <c r="N310" i="1"/>
  <c r="A310" i="1" s="1"/>
  <c r="M310" i="1"/>
  <c r="N309" i="1"/>
  <c r="A309" i="1" s="1"/>
  <c r="M309" i="1"/>
  <c r="N308" i="1"/>
  <c r="A308" i="1" s="1"/>
  <c r="P308" i="1" s="1"/>
  <c r="M308" i="1"/>
  <c r="N307" i="1"/>
  <c r="A307" i="1" s="1"/>
  <c r="M307" i="1"/>
  <c r="N306" i="1"/>
  <c r="A306" i="1" s="1"/>
  <c r="M306" i="1"/>
  <c r="N305" i="1"/>
  <c r="A305" i="1" s="1"/>
  <c r="M305" i="1"/>
  <c r="N304" i="1"/>
  <c r="A304" i="1" s="1"/>
  <c r="P304" i="1" s="1"/>
  <c r="M304" i="1"/>
  <c r="N303" i="1"/>
  <c r="A303" i="1" s="1"/>
  <c r="O303" i="1" s="1"/>
  <c r="M303" i="1"/>
  <c r="N302" i="1"/>
  <c r="A302" i="1" s="1"/>
  <c r="P302" i="1" s="1"/>
  <c r="M302" i="1"/>
  <c r="N301" i="1"/>
  <c r="A301" i="1" s="1"/>
  <c r="M301" i="1"/>
  <c r="N300" i="1"/>
  <c r="A300" i="1" s="1"/>
  <c r="P300" i="1" s="1"/>
  <c r="M300" i="1"/>
  <c r="N299" i="1"/>
  <c r="A299" i="1" s="1"/>
  <c r="O299" i="1" s="1"/>
  <c r="M299" i="1"/>
  <c r="N298" i="1"/>
  <c r="A298" i="1" s="1"/>
  <c r="P298" i="1" s="1"/>
  <c r="M298" i="1"/>
  <c r="N297" i="1"/>
  <c r="A297" i="1" s="1"/>
  <c r="O297" i="1" s="1"/>
  <c r="M297" i="1"/>
  <c r="N296" i="1"/>
  <c r="A296" i="1" s="1"/>
  <c r="M296" i="1"/>
  <c r="N295" i="1"/>
  <c r="A295" i="1" s="1"/>
  <c r="M295" i="1"/>
  <c r="N294" i="1"/>
  <c r="A294" i="1" s="1"/>
  <c r="M294" i="1"/>
  <c r="N293" i="1"/>
  <c r="A293" i="1" s="1"/>
  <c r="M293" i="1"/>
  <c r="N292" i="1"/>
  <c r="A292" i="1" s="1"/>
  <c r="M292" i="1"/>
  <c r="N291" i="1"/>
  <c r="A291" i="1" s="1"/>
  <c r="M291" i="1"/>
  <c r="N290" i="1"/>
  <c r="A290" i="1" s="1"/>
  <c r="M290" i="1"/>
  <c r="N289" i="1"/>
  <c r="A289" i="1" s="1"/>
  <c r="M289" i="1"/>
  <c r="N288" i="1"/>
  <c r="A288" i="1" s="1"/>
  <c r="M288" i="1"/>
  <c r="N287" i="1"/>
  <c r="A287" i="1" s="1"/>
  <c r="M287" i="1"/>
  <c r="N286" i="1"/>
  <c r="A286" i="1" s="1"/>
  <c r="M286" i="1"/>
  <c r="N285" i="1"/>
  <c r="A285" i="1" s="1"/>
  <c r="M285" i="1"/>
  <c r="N284" i="1"/>
  <c r="A284" i="1" s="1"/>
  <c r="M284" i="1"/>
  <c r="N283" i="1"/>
  <c r="A283" i="1" s="1"/>
  <c r="M283" i="1"/>
  <c r="N282" i="1"/>
  <c r="A282" i="1" s="1"/>
  <c r="O282" i="1" s="1"/>
  <c r="M282" i="1"/>
  <c r="N281" i="1"/>
  <c r="A281" i="1" s="1"/>
  <c r="M281" i="1"/>
  <c r="N280" i="1"/>
  <c r="A280" i="1" s="1"/>
  <c r="M280" i="1"/>
  <c r="N279" i="1"/>
  <c r="A279" i="1" s="1"/>
  <c r="M279" i="1"/>
  <c r="N278" i="1"/>
  <c r="A278" i="1" s="1"/>
  <c r="M278" i="1"/>
  <c r="N277" i="1"/>
  <c r="A277" i="1" s="1"/>
  <c r="M277" i="1"/>
  <c r="N276" i="1"/>
  <c r="A276" i="1" s="1"/>
  <c r="M276" i="1"/>
  <c r="N275" i="1"/>
  <c r="A275" i="1" s="1"/>
  <c r="M275" i="1"/>
  <c r="N274" i="1"/>
  <c r="A274" i="1" s="1"/>
  <c r="O274" i="1" s="1"/>
  <c r="M274" i="1"/>
  <c r="N273" i="1"/>
  <c r="A273" i="1" s="1"/>
  <c r="M273" i="1"/>
  <c r="N272" i="1"/>
  <c r="A272" i="1" s="1"/>
  <c r="M272" i="1"/>
  <c r="N271" i="1"/>
  <c r="A271" i="1" s="1"/>
  <c r="M271" i="1"/>
  <c r="N270" i="1"/>
  <c r="A270" i="1" s="1"/>
  <c r="M270" i="1"/>
  <c r="N269" i="1"/>
  <c r="M269" i="1"/>
  <c r="A269" i="1"/>
  <c r="N268" i="1"/>
  <c r="A268" i="1" s="1"/>
  <c r="M268" i="1"/>
  <c r="N267" i="1"/>
  <c r="A267" i="1" s="1"/>
  <c r="M267" i="1"/>
  <c r="N266" i="1"/>
  <c r="A266" i="1" s="1"/>
  <c r="O266" i="1" s="1"/>
  <c r="M266" i="1"/>
  <c r="N265" i="1"/>
  <c r="A265" i="1" s="1"/>
  <c r="M265" i="1"/>
  <c r="N264" i="1"/>
  <c r="A264" i="1" s="1"/>
  <c r="M264" i="1"/>
  <c r="N263" i="1"/>
  <c r="A263" i="1" s="1"/>
  <c r="M263" i="1"/>
  <c r="N262" i="1"/>
  <c r="A262" i="1" s="1"/>
  <c r="O262" i="1" s="1"/>
  <c r="M262" i="1"/>
  <c r="N261" i="1"/>
  <c r="A261" i="1" s="1"/>
  <c r="M261" i="1"/>
  <c r="N260" i="1"/>
  <c r="A260" i="1" s="1"/>
  <c r="M260" i="1"/>
  <c r="N259" i="1"/>
  <c r="A259" i="1" s="1"/>
  <c r="M259" i="1"/>
  <c r="N258" i="1"/>
  <c r="A258" i="1" s="1"/>
  <c r="O258" i="1" s="1"/>
  <c r="M258" i="1"/>
  <c r="N257" i="1"/>
  <c r="A257" i="1" s="1"/>
  <c r="M257" i="1"/>
  <c r="N256" i="1"/>
  <c r="A256" i="1" s="1"/>
  <c r="M256" i="1"/>
  <c r="N255" i="1"/>
  <c r="A255" i="1" s="1"/>
  <c r="M255" i="1"/>
  <c r="N254" i="1"/>
  <c r="A254" i="1" s="1"/>
  <c r="O254" i="1" s="1"/>
  <c r="M254" i="1"/>
  <c r="N253" i="1"/>
  <c r="A253" i="1" s="1"/>
  <c r="M253" i="1"/>
  <c r="N252" i="1"/>
  <c r="A252" i="1" s="1"/>
  <c r="M252" i="1"/>
  <c r="N251" i="1"/>
  <c r="A251" i="1" s="1"/>
  <c r="M251" i="1"/>
  <c r="N250" i="1"/>
  <c r="A250" i="1" s="1"/>
  <c r="O250" i="1" s="1"/>
  <c r="M250" i="1"/>
  <c r="N249" i="1"/>
  <c r="A249" i="1" s="1"/>
  <c r="M249" i="1"/>
  <c r="N248" i="1"/>
  <c r="A248" i="1" s="1"/>
  <c r="M248" i="1"/>
  <c r="N247" i="1"/>
  <c r="A247" i="1" s="1"/>
  <c r="M247" i="1"/>
  <c r="N246" i="1"/>
  <c r="A246" i="1" s="1"/>
  <c r="M246" i="1"/>
  <c r="N245" i="1"/>
  <c r="A245" i="1" s="1"/>
  <c r="M245" i="1"/>
  <c r="N244" i="1"/>
  <c r="A244" i="1" s="1"/>
  <c r="M244" i="1"/>
  <c r="N243" i="1"/>
  <c r="A243" i="1" s="1"/>
  <c r="M243" i="1"/>
  <c r="N242" i="1"/>
  <c r="A242" i="1" s="1"/>
  <c r="O242" i="1" s="1"/>
  <c r="M242" i="1"/>
  <c r="N241" i="1"/>
  <c r="A241" i="1" s="1"/>
  <c r="M241" i="1"/>
  <c r="N240" i="1"/>
  <c r="A240" i="1" s="1"/>
  <c r="M240" i="1"/>
  <c r="N239" i="1"/>
  <c r="A239" i="1" s="1"/>
  <c r="M239" i="1"/>
  <c r="N238" i="1"/>
  <c r="A238" i="1" s="1"/>
  <c r="M238" i="1"/>
  <c r="N237" i="1"/>
  <c r="A237" i="1" s="1"/>
  <c r="M237" i="1"/>
  <c r="N236" i="1"/>
  <c r="A236" i="1" s="1"/>
  <c r="M236" i="1"/>
  <c r="N235" i="1"/>
  <c r="A235" i="1" s="1"/>
  <c r="M235" i="1"/>
  <c r="N234" i="1"/>
  <c r="M234" i="1"/>
  <c r="A234" i="1"/>
  <c r="O234" i="1" s="1"/>
  <c r="N233" i="1"/>
  <c r="A233" i="1" s="1"/>
  <c r="M233" i="1"/>
  <c r="N232" i="1"/>
  <c r="A232" i="1" s="1"/>
  <c r="M232" i="1"/>
  <c r="N231" i="1"/>
  <c r="A231" i="1" s="1"/>
  <c r="M231" i="1"/>
  <c r="N230" i="1"/>
  <c r="A230" i="1" s="1"/>
  <c r="O230" i="1" s="1"/>
  <c r="M230" i="1"/>
  <c r="N229" i="1"/>
  <c r="A229" i="1" s="1"/>
  <c r="M229" i="1"/>
  <c r="N228" i="1"/>
  <c r="A228" i="1" s="1"/>
  <c r="M228" i="1"/>
  <c r="N227" i="1"/>
  <c r="A227" i="1" s="1"/>
  <c r="M227" i="1"/>
  <c r="N226" i="1"/>
  <c r="A226" i="1" s="1"/>
  <c r="O226" i="1" s="1"/>
  <c r="M226" i="1"/>
  <c r="N225" i="1"/>
  <c r="A225" i="1" s="1"/>
  <c r="M225" i="1"/>
  <c r="N224" i="1"/>
  <c r="A224" i="1" s="1"/>
  <c r="M224" i="1"/>
  <c r="N223" i="1"/>
  <c r="A223" i="1" s="1"/>
  <c r="M223" i="1"/>
  <c r="N222" i="1"/>
  <c r="A222" i="1" s="1"/>
  <c r="M222" i="1"/>
  <c r="N221" i="1"/>
  <c r="A221" i="1" s="1"/>
  <c r="M221" i="1"/>
  <c r="N220" i="1"/>
  <c r="A220" i="1" s="1"/>
  <c r="M220" i="1"/>
  <c r="N219" i="1"/>
  <c r="A219" i="1" s="1"/>
  <c r="M219" i="1"/>
  <c r="N218" i="1"/>
  <c r="A218" i="1" s="1"/>
  <c r="O218" i="1" s="1"/>
  <c r="M218" i="1"/>
  <c r="N217" i="1"/>
  <c r="M217" i="1"/>
  <c r="A217" i="1"/>
  <c r="N216" i="1"/>
  <c r="A216" i="1" s="1"/>
  <c r="M216" i="1"/>
  <c r="N215" i="1"/>
  <c r="A215" i="1" s="1"/>
  <c r="M215" i="1"/>
  <c r="N214" i="1"/>
  <c r="A214" i="1" s="1"/>
  <c r="M214" i="1"/>
  <c r="N213" i="1"/>
  <c r="A213" i="1" s="1"/>
  <c r="M213" i="1"/>
  <c r="N212" i="1"/>
  <c r="A212" i="1" s="1"/>
  <c r="M212" i="1"/>
  <c r="N211" i="1"/>
  <c r="A211" i="1" s="1"/>
  <c r="M211" i="1"/>
  <c r="N210" i="1"/>
  <c r="A210" i="1" s="1"/>
  <c r="O210" i="1" s="1"/>
  <c r="M210" i="1"/>
  <c r="N209" i="1"/>
  <c r="A209" i="1" s="1"/>
  <c r="M209" i="1"/>
  <c r="N208" i="1"/>
  <c r="A208" i="1" s="1"/>
  <c r="M208" i="1"/>
  <c r="N207" i="1"/>
  <c r="A207" i="1" s="1"/>
  <c r="M207" i="1"/>
  <c r="N206" i="1"/>
  <c r="A206" i="1" s="1"/>
  <c r="M206" i="1"/>
  <c r="N205" i="1"/>
  <c r="A205" i="1" s="1"/>
  <c r="M205" i="1"/>
  <c r="N204" i="1"/>
  <c r="A204" i="1" s="1"/>
  <c r="M204" i="1"/>
  <c r="N203" i="1"/>
  <c r="A203" i="1" s="1"/>
  <c r="M203" i="1"/>
  <c r="N202" i="1"/>
  <c r="A202" i="1" s="1"/>
  <c r="O202" i="1" s="1"/>
  <c r="M202" i="1"/>
  <c r="N201" i="1"/>
  <c r="A201" i="1" s="1"/>
  <c r="M201" i="1"/>
  <c r="N200" i="1"/>
  <c r="A200" i="1" s="1"/>
  <c r="M200" i="1"/>
  <c r="N199" i="1"/>
  <c r="A199" i="1" s="1"/>
  <c r="M199" i="1"/>
  <c r="N198" i="1"/>
  <c r="A198" i="1" s="1"/>
  <c r="O198" i="1" s="1"/>
  <c r="M198" i="1"/>
  <c r="N197" i="1"/>
  <c r="A197" i="1" s="1"/>
  <c r="M197" i="1"/>
  <c r="N196" i="1"/>
  <c r="A196" i="1" s="1"/>
  <c r="M196" i="1"/>
  <c r="N195" i="1"/>
  <c r="A195" i="1" s="1"/>
  <c r="M195" i="1"/>
  <c r="N194" i="1"/>
  <c r="M194" i="1"/>
  <c r="A194" i="1"/>
  <c r="O194" i="1" s="1"/>
  <c r="N193" i="1"/>
  <c r="M193" i="1"/>
  <c r="A193" i="1"/>
  <c r="N192" i="1"/>
  <c r="A192" i="1" s="1"/>
  <c r="M192" i="1"/>
  <c r="N191" i="1"/>
  <c r="A191" i="1" s="1"/>
  <c r="M191" i="1"/>
  <c r="N190" i="1"/>
  <c r="A190" i="1" s="1"/>
  <c r="O190" i="1" s="1"/>
  <c r="M190" i="1"/>
  <c r="N189" i="1"/>
  <c r="A189" i="1" s="1"/>
  <c r="M189" i="1"/>
  <c r="N188" i="1"/>
  <c r="A188" i="1" s="1"/>
  <c r="M188" i="1"/>
  <c r="N187" i="1"/>
  <c r="A187" i="1" s="1"/>
  <c r="M187" i="1"/>
  <c r="N186" i="1"/>
  <c r="A186" i="1" s="1"/>
  <c r="O186" i="1" s="1"/>
  <c r="M186" i="1"/>
  <c r="N185" i="1"/>
  <c r="A185" i="1" s="1"/>
  <c r="M185" i="1"/>
  <c r="N184" i="1"/>
  <c r="A184" i="1" s="1"/>
  <c r="M184" i="1"/>
  <c r="N183" i="1"/>
  <c r="A183" i="1" s="1"/>
  <c r="M183" i="1"/>
  <c r="N182" i="1"/>
  <c r="A182" i="1" s="1"/>
  <c r="O182" i="1" s="1"/>
  <c r="M182" i="1"/>
  <c r="N181" i="1"/>
  <c r="A181" i="1" s="1"/>
  <c r="M181" i="1"/>
  <c r="N180" i="1"/>
  <c r="A180" i="1" s="1"/>
  <c r="M180" i="1"/>
  <c r="N179" i="1"/>
  <c r="A179" i="1" s="1"/>
  <c r="M179" i="1"/>
  <c r="N178" i="1"/>
  <c r="A178" i="1" s="1"/>
  <c r="O178" i="1" s="1"/>
  <c r="M178" i="1"/>
  <c r="N177" i="1"/>
  <c r="A177" i="1" s="1"/>
  <c r="M177" i="1"/>
  <c r="N176" i="1"/>
  <c r="A176" i="1" s="1"/>
  <c r="M176" i="1"/>
  <c r="N175" i="1"/>
  <c r="A175" i="1" s="1"/>
  <c r="M175" i="1"/>
  <c r="N174" i="1"/>
  <c r="A174" i="1" s="1"/>
  <c r="O174" i="1" s="1"/>
  <c r="M174" i="1"/>
  <c r="N173" i="1"/>
  <c r="A173" i="1" s="1"/>
  <c r="M173" i="1"/>
  <c r="N172" i="1"/>
  <c r="A172" i="1" s="1"/>
  <c r="M172" i="1"/>
  <c r="N171" i="1"/>
  <c r="A171" i="1" s="1"/>
  <c r="M171" i="1"/>
  <c r="N170" i="1"/>
  <c r="A170" i="1" s="1"/>
  <c r="O170" i="1" s="1"/>
  <c r="M170" i="1"/>
  <c r="N169" i="1"/>
  <c r="A169" i="1" s="1"/>
  <c r="M169" i="1"/>
  <c r="N168" i="1"/>
  <c r="A168" i="1" s="1"/>
  <c r="M168" i="1"/>
  <c r="N167" i="1"/>
  <c r="A167" i="1" s="1"/>
  <c r="M167" i="1"/>
  <c r="N166" i="1"/>
  <c r="A166" i="1" s="1"/>
  <c r="M166" i="1"/>
  <c r="N165" i="1"/>
  <c r="M165" i="1"/>
  <c r="A165" i="1"/>
  <c r="N164" i="1"/>
  <c r="A164" i="1" s="1"/>
  <c r="M164" i="1"/>
  <c r="N163" i="1"/>
  <c r="A163" i="1" s="1"/>
  <c r="M163" i="1"/>
  <c r="N162" i="1"/>
  <c r="A162" i="1" s="1"/>
  <c r="O162" i="1" s="1"/>
  <c r="M162" i="1"/>
  <c r="N161" i="1"/>
  <c r="A161" i="1" s="1"/>
  <c r="M161" i="1"/>
  <c r="N160" i="1"/>
  <c r="A160" i="1" s="1"/>
  <c r="M160" i="1"/>
  <c r="N159" i="1"/>
  <c r="A159" i="1" s="1"/>
  <c r="M159" i="1"/>
  <c r="N158" i="1"/>
  <c r="A158" i="1" s="1"/>
  <c r="M158" i="1"/>
  <c r="N157" i="1"/>
  <c r="A157" i="1" s="1"/>
  <c r="M157" i="1"/>
  <c r="N156" i="1"/>
  <c r="A156" i="1" s="1"/>
  <c r="M156" i="1"/>
  <c r="N155" i="1"/>
  <c r="A155" i="1" s="1"/>
  <c r="M155" i="1"/>
  <c r="N154" i="1"/>
  <c r="A154" i="1" s="1"/>
  <c r="O154" i="1" s="1"/>
  <c r="M154" i="1"/>
  <c r="N153" i="1"/>
  <c r="A153" i="1" s="1"/>
  <c r="M153" i="1"/>
  <c r="N152" i="1"/>
  <c r="A152" i="1" s="1"/>
  <c r="M152" i="1"/>
  <c r="N151" i="1"/>
  <c r="A151" i="1" s="1"/>
  <c r="M151" i="1"/>
  <c r="P150" i="1"/>
  <c r="N150" i="1"/>
  <c r="A150" i="1" s="1"/>
  <c r="O150" i="1" s="1"/>
  <c r="M150" i="1"/>
  <c r="N149" i="1"/>
  <c r="A149" i="1" s="1"/>
  <c r="M149" i="1"/>
  <c r="N148" i="1"/>
  <c r="A148" i="1" s="1"/>
  <c r="M148" i="1"/>
  <c r="N147" i="1"/>
  <c r="A147" i="1" s="1"/>
  <c r="P147" i="1" s="1"/>
  <c r="M147" i="1"/>
  <c r="N146" i="1"/>
  <c r="A146" i="1" s="1"/>
  <c r="M146" i="1"/>
  <c r="N145" i="1"/>
  <c r="A145" i="1" s="1"/>
  <c r="M145" i="1"/>
  <c r="N144" i="1"/>
  <c r="A144" i="1" s="1"/>
  <c r="M144" i="1"/>
  <c r="N143" i="1"/>
  <c r="A143" i="1" s="1"/>
  <c r="M143" i="1"/>
  <c r="N142" i="1"/>
  <c r="A142" i="1" s="1"/>
  <c r="M142" i="1"/>
  <c r="N141" i="1"/>
  <c r="A141" i="1" s="1"/>
  <c r="M141" i="1"/>
  <c r="N140" i="1"/>
  <c r="A140" i="1" s="1"/>
  <c r="M140" i="1"/>
  <c r="N139" i="1"/>
  <c r="A139" i="1" s="1"/>
  <c r="M139" i="1"/>
  <c r="N138" i="1"/>
  <c r="A138" i="1" s="1"/>
  <c r="M138" i="1"/>
  <c r="N137" i="1"/>
  <c r="A137" i="1" s="1"/>
  <c r="M137" i="1"/>
  <c r="N136" i="1"/>
  <c r="A136" i="1" s="1"/>
  <c r="M136" i="1"/>
  <c r="N135" i="1"/>
  <c r="M135" i="1"/>
  <c r="A135" i="1"/>
  <c r="N134" i="1"/>
  <c r="A134" i="1" s="1"/>
  <c r="M134" i="1"/>
  <c r="N133" i="1"/>
  <c r="A133" i="1" s="1"/>
  <c r="M133" i="1"/>
  <c r="N132" i="1"/>
  <c r="M132" i="1"/>
  <c r="A132" i="1"/>
  <c r="N131" i="1"/>
  <c r="A131" i="1" s="1"/>
  <c r="M131" i="1"/>
  <c r="N130" i="1"/>
  <c r="A130" i="1" s="1"/>
  <c r="M130" i="1"/>
  <c r="N129" i="1"/>
  <c r="A129" i="1" s="1"/>
  <c r="M129" i="1"/>
  <c r="N128" i="1"/>
  <c r="A128" i="1" s="1"/>
  <c r="M128" i="1"/>
  <c r="N127" i="1"/>
  <c r="A127" i="1" s="1"/>
  <c r="M127" i="1"/>
  <c r="N126" i="1"/>
  <c r="A126" i="1" s="1"/>
  <c r="M126" i="1"/>
  <c r="N125" i="1"/>
  <c r="A125" i="1" s="1"/>
  <c r="M125" i="1"/>
  <c r="N124" i="1"/>
  <c r="A124" i="1" s="1"/>
  <c r="M124" i="1"/>
  <c r="N123" i="1"/>
  <c r="A123" i="1" s="1"/>
  <c r="M123" i="1"/>
  <c r="N122" i="1"/>
  <c r="A122" i="1" s="1"/>
  <c r="M122" i="1"/>
  <c r="N121" i="1"/>
  <c r="A121" i="1" s="1"/>
  <c r="M121" i="1"/>
  <c r="N120" i="1"/>
  <c r="A120" i="1" s="1"/>
  <c r="M120" i="1"/>
  <c r="N119" i="1"/>
  <c r="M119" i="1"/>
  <c r="A119" i="1"/>
  <c r="N118" i="1"/>
  <c r="A118" i="1" s="1"/>
  <c r="M118" i="1"/>
  <c r="N117" i="1"/>
  <c r="A117" i="1" s="1"/>
  <c r="M117" i="1"/>
  <c r="N116" i="1"/>
  <c r="M116" i="1"/>
  <c r="A116" i="1"/>
  <c r="N115" i="1"/>
  <c r="A115" i="1" s="1"/>
  <c r="M115" i="1"/>
  <c r="N114" i="1"/>
  <c r="A114" i="1" s="1"/>
  <c r="M114" i="1"/>
  <c r="N113" i="1"/>
  <c r="A113" i="1" s="1"/>
  <c r="M113" i="1"/>
  <c r="N112" i="1"/>
  <c r="A112" i="1" s="1"/>
  <c r="M112" i="1"/>
  <c r="N111" i="1"/>
  <c r="A111" i="1" s="1"/>
  <c r="M111" i="1"/>
  <c r="N110" i="1"/>
  <c r="A110" i="1" s="1"/>
  <c r="M110" i="1"/>
  <c r="N109" i="1"/>
  <c r="A109" i="1" s="1"/>
  <c r="M109" i="1"/>
  <c r="N108" i="1"/>
  <c r="A108" i="1" s="1"/>
  <c r="M108" i="1"/>
  <c r="N107" i="1"/>
  <c r="A107" i="1" s="1"/>
  <c r="M107" i="1"/>
  <c r="N106" i="1"/>
  <c r="A106" i="1" s="1"/>
  <c r="M106" i="1"/>
  <c r="N105" i="1"/>
  <c r="A105" i="1" s="1"/>
  <c r="M105" i="1"/>
  <c r="N104" i="1"/>
  <c r="A104" i="1" s="1"/>
  <c r="M104" i="1"/>
  <c r="N103" i="1"/>
  <c r="M103" i="1"/>
  <c r="A103" i="1"/>
  <c r="N102" i="1"/>
  <c r="A102" i="1" s="1"/>
  <c r="M102" i="1"/>
  <c r="N101" i="1"/>
  <c r="A101" i="1" s="1"/>
  <c r="M101" i="1"/>
  <c r="N100" i="1"/>
  <c r="M100" i="1"/>
  <c r="A100" i="1"/>
  <c r="N99" i="1"/>
  <c r="A99" i="1" s="1"/>
  <c r="M99" i="1"/>
  <c r="N98" i="1"/>
  <c r="A98" i="1" s="1"/>
  <c r="M98" i="1"/>
  <c r="N97" i="1"/>
  <c r="A97" i="1" s="1"/>
  <c r="M97" i="1"/>
  <c r="N96" i="1"/>
  <c r="A96" i="1" s="1"/>
  <c r="M96" i="1"/>
  <c r="N95" i="1"/>
  <c r="A95" i="1" s="1"/>
  <c r="M95" i="1"/>
  <c r="N94" i="1"/>
  <c r="A94" i="1" s="1"/>
  <c r="M94" i="1"/>
  <c r="N93" i="1"/>
  <c r="A93" i="1" s="1"/>
  <c r="M93" i="1"/>
  <c r="N92" i="1"/>
  <c r="A92" i="1" s="1"/>
  <c r="M92" i="1"/>
  <c r="N91" i="1"/>
  <c r="A91" i="1" s="1"/>
  <c r="M91" i="1"/>
  <c r="N90" i="1"/>
  <c r="A90" i="1" s="1"/>
  <c r="M90" i="1"/>
  <c r="N89" i="1"/>
  <c r="A89" i="1" s="1"/>
  <c r="M89" i="1"/>
  <c r="N88" i="1"/>
  <c r="A88" i="1" s="1"/>
  <c r="M88" i="1"/>
  <c r="N87" i="1"/>
  <c r="M87" i="1"/>
  <c r="A87" i="1"/>
  <c r="N86" i="1"/>
  <c r="A86" i="1" s="1"/>
  <c r="M86" i="1"/>
  <c r="N85" i="1"/>
  <c r="A85" i="1" s="1"/>
  <c r="M85" i="1"/>
  <c r="N84" i="1"/>
  <c r="M84" i="1"/>
  <c r="A84" i="1"/>
  <c r="N83" i="1"/>
  <c r="A83" i="1" s="1"/>
  <c r="M83" i="1"/>
  <c r="N82" i="1"/>
  <c r="A82" i="1" s="1"/>
  <c r="M82" i="1"/>
  <c r="N81" i="1"/>
  <c r="A81" i="1" s="1"/>
  <c r="M81" i="1"/>
  <c r="N80" i="1"/>
  <c r="A80" i="1" s="1"/>
  <c r="M80" i="1"/>
  <c r="N79" i="1"/>
  <c r="A79" i="1" s="1"/>
  <c r="M79" i="1"/>
  <c r="N78" i="1"/>
  <c r="A78" i="1" s="1"/>
  <c r="M78" i="1"/>
  <c r="N77" i="1"/>
  <c r="A77" i="1" s="1"/>
  <c r="M77" i="1"/>
  <c r="N76" i="1"/>
  <c r="A76" i="1" s="1"/>
  <c r="M76" i="1"/>
  <c r="N75" i="1"/>
  <c r="A75" i="1" s="1"/>
  <c r="M75" i="1"/>
  <c r="N74" i="1"/>
  <c r="A74" i="1" s="1"/>
  <c r="M74" i="1"/>
  <c r="N73" i="1"/>
  <c r="A73" i="1" s="1"/>
  <c r="M73" i="1"/>
  <c r="N72" i="1"/>
  <c r="A72" i="1" s="1"/>
  <c r="M72" i="1"/>
  <c r="N71" i="1"/>
  <c r="M71" i="1"/>
  <c r="A71" i="1"/>
  <c r="N70" i="1"/>
  <c r="A70" i="1" s="1"/>
  <c r="M70" i="1"/>
  <c r="N69" i="1"/>
  <c r="A69" i="1" s="1"/>
  <c r="M69" i="1"/>
  <c r="N68" i="1"/>
  <c r="M68" i="1"/>
  <c r="A68" i="1"/>
  <c r="N67" i="1"/>
  <c r="A67" i="1" s="1"/>
  <c r="M67" i="1"/>
  <c r="N66" i="1"/>
  <c r="A66" i="1" s="1"/>
  <c r="M66" i="1"/>
  <c r="N65" i="1"/>
  <c r="A65" i="1" s="1"/>
  <c r="M65" i="1"/>
  <c r="N64" i="1"/>
  <c r="A64" i="1" s="1"/>
  <c r="M64" i="1"/>
  <c r="N63" i="1"/>
  <c r="A63" i="1" s="1"/>
  <c r="M63" i="1"/>
  <c r="N62" i="1"/>
  <c r="A62" i="1" s="1"/>
  <c r="M62" i="1"/>
  <c r="N61" i="1"/>
  <c r="A61" i="1" s="1"/>
  <c r="M61" i="1"/>
  <c r="N60" i="1"/>
  <c r="A60" i="1" s="1"/>
  <c r="M60" i="1"/>
  <c r="N59" i="1"/>
  <c r="A59" i="1" s="1"/>
  <c r="M59" i="1"/>
  <c r="N58" i="1"/>
  <c r="A58" i="1" s="1"/>
  <c r="M58" i="1"/>
  <c r="N57" i="1"/>
  <c r="A57" i="1" s="1"/>
  <c r="P57" i="1" s="1"/>
  <c r="M57" i="1"/>
  <c r="N56" i="1"/>
  <c r="A56" i="1" s="1"/>
  <c r="M56" i="1"/>
  <c r="N55" i="1"/>
  <c r="A55" i="1" s="1"/>
  <c r="M55" i="1"/>
  <c r="N54" i="1"/>
  <c r="A54" i="1" s="1"/>
  <c r="M54" i="1"/>
  <c r="N53" i="1"/>
  <c r="A53" i="1" s="1"/>
  <c r="P53" i="1" s="1"/>
  <c r="M53" i="1"/>
  <c r="N52" i="1"/>
  <c r="A52" i="1" s="1"/>
  <c r="P52" i="1" s="1"/>
  <c r="M52" i="1"/>
  <c r="N51" i="1"/>
  <c r="A51" i="1" s="1"/>
  <c r="O51" i="1" s="1"/>
  <c r="M51" i="1"/>
  <c r="N50" i="1"/>
  <c r="A50" i="1" s="1"/>
  <c r="M50" i="1"/>
  <c r="N49" i="1"/>
  <c r="A49" i="1" s="1"/>
  <c r="P49" i="1" s="1"/>
  <c r="M49" i="1"/>
  <c r="N48" i="1"/>
  <c r="M48" i="1"/>
  <c r="A48" i="1"/>
  <c r="P48" i="1" s="1"/>
  <c r="N47" i="1"/>
  <c r="M47" i="1"/>
  <c r="A47" i="1"/>
  <c r="O47" i="1" s="1"/>
  <c r="N46" i="1"/>
  <c r="A46" i="1" s="1"/>
  <c r="M46" i="1"/>
  <c r="N45" i="1"/>
  <c r="A45" i="1" s="1"/>
  <c r="P45" i="1" s="1"/>
  <c r="M45" i="1"/>
  <c r="N44" i="1"/>
  <c r="A44" i="1" s="1"/>
  <c r="M44" i="1"/>
  <c r="N43" i="1"/>
  <c r="A43" i="1" s="1"/>
  <c r="M43" i="1"/>
  <c r="N42" i="1"/>
  <c r="A42" i="1" s="1"/>
  <c r="M42" i="1"/>
  <c r="N41" i="1"/>
  <c r="A41" i="1" s="1"/>
  <c r="M41" i="1"/>
  <c r="N40" i="1"/>
  <c r="A40" i="1" s="1"/>
  <c r="M40" i="1"/>
  <c r="N39" i="1"/>
  <c r="A39" i="1" s="1"/>
  <c r="M39" i="1"/>
  <c r="N38" i="1"/>
  <c r="A38" i="1" s="1"/>
  <c r="P38" i="1" s="1"/>
  <c r="M38" i="1"/>
  <c r="N37" i="1"/>
  <c r="M37" i="1"/>
  <c r="A37" i="1"/>
  <c r="P37" i="1" s="1"/>
  <c r="N36" i="1"/>
  <c r="M36" i="1"/>
  <c r="A36" i="1"/>
  <c r="O36" i="1" s="1"/>
  <c r="N35" i="1"/>
  <c r="A35" i="1" s="1"/>
  <c r="O35" i="1" s="1"/>
  <c r="M35" i="1"/>
  <c r="N34" i="1"/>
  <c r="A34" i="1" s="1"/>
  <c r="P34" i="1" s="1"/>
  <c r="M34" i="1"/>
  <c r="N33" i="1"/>
  <c r="A33" i="1" s="1"/>
  <c r="O33" i="1" s="1"/>
  <c r="M33" i="1"/>
  <c r="N32" i="1"/>
  <c r="A32" i="1" s="1"/>
  <c r="M32" i="1"/>
  <c r="N31" i="1"/>
  <c r="A31" i="1" s="1"/>
  <c r="M31" i="1"/>
  <c r="N30" i="1"/>
  <c r="A30" i="1" s="1"/>
  <c r="P30" i="1" s="1"/>
  <c r="M30" i="1"/>
  <c r="N29" i="1"/>
  <c r="A29" i="1" s="1"/>
  <c r="M29" i="1"/>
  <c r="N28" i="1"/>
  <c r="A28" i="1" s="1"/>
  <c r="M28" i="1"/>
  <c r="N27" i="1"/>
  <c r="A27" i="1" s="1"/>
  <c r="M27" i="1"/>
  <c r="N26" i="1"/>
  <c r="A26" i="1" s="1"/>
  <c r="P26" i="1" s="1"/>
  <c r="M26" i="1"/>
  <c r="N25" i="1"/>
  <c r="A25" i="1" s="1"/>
  <c r="M25" i="1"/>
  <c r="N24" i="1"/>
  <c r="M24" i="1"/>
  <c r="A24" i="1"/>
  <c r="P24" i="1" s="1"/>
  <c r="N23" i="1"/>
  <c r="M23" i="1"/>
  <c r="A23" i="1"/>
  <c r="O23" i="1" s="1"/>
  <c r="O22" i="1"/>
  <c r="N22" i="1"/>
  <c r="A22" i="1" s="1"/>
  <c r="P22" i="1" s="1"/>
  <c r="M22" i="1"/>
  <c r="N21" i="1"/>
  <c r="A21" i="1" s="1"/>
  <c r="M21" i="1"/>
  <c r="N20" i="1"/>
  <c r="A20" i="1" s="1"/>
  <c r="O20" i="1" s="1"/>
  <c r="M20" i="1"/>
  <c r="N19" i="1"/>
  <c r="A19" i="1" s="1"/>
  <c r="O19" i="1" s="1"/>
  <c r="M19" i="1"/>
  <c r="N18" i="1"/>
  <c r="A18" i="1" s="1"/>
  <c r="P18" i="1" s="1"/>
  <c r="M18" i="1"/>
  <c r="N17" i="1"/>
  <c r="A17" i="1" s="1"/>
  <c r="O17" i="1" s="1"/>
  <c r="M17" i="1"/>
  <c r="N16" i="1"/>
  <c r="A16" i="1" s="1"/>
  <c r="M16" i="1"/>
  <c r="N15" i="1"/>
  <c r="A15" i="1" s="1"/>
  <c r="M15" i="1"/>
  <c r="N14" i="1"/>
  <c r="A14" i="1" s="1"/>
  <c r="P14" i="1" s="1"/>
  <c r="M14" i="1"/>
  <c r="N13" i="1"/>
  <c r="A13" i="1" s="1"/>
  <c r="M13" i="1"/>
  <c r="N12" i="1"/>
  <c r="A12" i="1" s="1"/>
  <c r="M12" i="1"/>
  <c r="N11" i="1"/>
  <c r="A11" i="1" s="1"/>
  <c r="M11" i="1"/>
  <c r="N10" i="1"/>
  <c r="A10" i="1" s="1"/>
  <c r="P10" i="1" s="1"/>
  <c r="M10" i="1"/>
  <c r="N9" i="1"/>
  <c r="A9" i="1" s="1"/>
  <c r="M9" i="1"/>
  <c r="N8" i="1"/>
  <c r="A8" i="1" s="1"/>
  <c r="M8" i="1"/>
  <c r="N7" i="1"/>
  <c r="A7" i="1" s="1"/>
  <c r="M7" i="1"/>
  <c r="N6" i="1"/>
  <c r="A6" i="1" s="1"/>
  <c r="P6" i="1" s="1"/>
  <c r="M6" i="1"/>
  <c r="E5" i="2"/>
  <c r="E6" i="2"/>
  <c r="P56" i="1" l="1"/>
  <c r="O56" i="1"/>
  <c r="O55" i="1"/>
  <c r="P55" i="1"/>
  <c r="O59" i="1"/>
  <c r="P59" i="1"/>
  <c r="P32" i="1"/>
  <c r="O32" i="1"/>
  <c r="P64" i="1"/>
  <c r="O64" i="1"/>
  <c r="O75" i="1"/>
  <c r="P75" i="1"/>
  <c r="P80" i="1"/>
  <c r="O80" i="1"/>
  <c r="O91" i="1"/>
  <c r="P91" i="1"/>
  <c r="P96" i="1"/>
  <c r="O96" i="1"/>
  <c r="O107" i="1"/>
  <c r="P107" i="1"/>
  <c r="P112" i="1"/>
  <c r="O112" i="1"/>
  <c r="O123" i="1"/>
  <c r="P123" i="1"/>
  <c r="P128" i="1"/>
  <c r="O128" i="1"/>
  <c r="O139" i="1"/>
  <c r="P139" i="1"/>
  <c r="P144" i="1"/>
  <c r="O144" i="1"/>
  <c r="P12" i="1"/>
  <c r="O12" i="1"/>
  <c r="O67" i="1"/>
  <c r="P67" i="1"/>
  <c r="P72" i="1"/>
  <c r="O72" i="1"/>
  <c r="O83" i="1"/>
  <c r="P83" i="1"/>
  <c r="P88" i="1"/>
  <c r="O88" i="1"/>
  <c r="O99" i="1"/>
  <c r="P99" i="1"/>
  <c r="P104" i="1"/>
  <c r="O104" i="1"/>
  <c r="O115" i="1"/>
  <c r="P115" i="1"/>
  <c r="P120" i="1"/>
  <c r="O120" i="1"/>
  <c r="O131" i="1"/>
  <c r="P131" i="1"/>
  <c r="P136" i="1"/>
  <c r="O136" i="1"/>
  <c r="P124" i="1"/>
  <c r="O124" i="1"/>
  <c r="P140" i="1"/>
  <c r="O140" i="1"/>
  <c r="P254" i="1"/>
  <c r="O286" i="1"/>
  <c r="P286" i="1"/>
  <c r="O63" i="1"/>
  <c r="P63" i="1"/>
  <c r="O71" i="1"/>
  <c r="P71" i="1"/>
  <c r="O79" i="1"/>
  <c r="P79" i="1"/>
  <c r="O87" i="1"/>
  <c r="P87" i="1"/>
  <c r="O103" i="1"/>
  <c r="P103" i="1"/>
  <c r="O111" i="1"/>
  <c r="P111" i="1"/>
  <c r="O135" i="1"/>
  <c r="P135" i="1"/>
  <c r="O246" i="1"/>
  <c r="P246" i="1"/>
  <c r="P60" i="1"/>
  <c r="O60" i="1"/>
  <c r="P76" i="1"/>
  <c r="O76" i="1"/>
  <c r="P84" i="1"/>
  <c r="O84" i="1"/>
  <c r="P92" i="1"/>
  <c r="O92" i="1"/>
  <c r="P100" i="1"/>
  <c r="O100" i="1"/>
  <c r="P116" i="1"/>
  <c r="O116" i="1"/>
  <c r="P132" i="1"/>
  <c r="O132" i="1"/>
  <c r="O95" i="1"/>
  <c r="P95" i="1"/>
  <c r="O119" i="1"/>
  <c r="P119" i="1"/>
  <c r="O127" i="1"/>
  <c r="P127" i="1"/>
  <c r="O143" i="1"/>
  <c r="P143" i="1"/>
  <c r="P68" i="1"/>
  <c r="O68" i="1"/>
  <c r="P108" i="1"/>
  <c r="O108" i="1"/>
  <c r="P23" i="1"/>
  <c r="O24" i="1"/>
  <c r="O214" i="1"/>
  <c r="P214" i="1"/>
  <c r="O43" i="1"/>
  <c r="P43" i="1"/>
  <c r="O39" i="1"/>
  <c r="P39" i="1"/>
  <c r="P8" i="1"/>
  <c r="O8" i="1"/>
  <c r="P28" i="1"/>
  <c r="O28" i="1"/>
  <c r="P40" i="1"/>
  <c r="O40" i="1"/>
  <c r="P44" i="1"/>
  <c r="O44" i="1"/>
  <c r="O222" i="1"/>
  <c r="P222" i="1"/>
  <c r="O238" i="1"/>
  <c r="P238" i="1"/>
  <c r="O166" i="1"/>
  <c r="P166" i="1"/>
  <c r="P21" i="1"/>
  <c r="O21" i="1"/>
  <c r="O7" i="1"/>
  <c r="P7" i="1"/>
  <c r="P16" i="1"/>
  <c r="O16" i="1"/>
  <c r="O158" i="1"/>
  <c r="P158" i="1"/>
  <c r="O45" i="1"/>
  <c r="O290" i="1"/>
  <c r="P290" i="1"/>
  <c r="O270" i="1"/>
  <c r="P270" i="1"/>
  <c r="O6" i="1"/>
  <c r="O38" i="1"/>
  <c r="O53" i="1"/>
  <c r="P230" i="1"/>
  <c r="O309" i="1"/>
  <c r="P309" i="1"/>
  <c r="O320" i="1"/>
  <c r="O206" i="1"/>
  <c r="P206" i="1"/>
  <c r="O278" i="1"/>
  <c r="P278" i="1"/>
  <c r="O294" i="1"/>
  <c r="P294" i="1"/>
  <c r="O325" i="1"/>
  <c r="P325" i="1"/>
  <c r="O37" i="1"/>
  <c r="P47" i="1"/>
  <c r="O48" i="1"/>
  <c r="P51" i="1"/>
  <c r="O52" i="1"/>
  <c r="P174" i="1"/>
  <c r="P182" i="1"/>
  <c r="P190" i="1"/>
  <c r="P198" i="1"/>
  <c r="O304" i="1"/>
  <c r="O302" i="1"/>
  <c r="O318" i="1"/>
  <c r="O9" i="1"/>
  <c r="P9" i="1"/>
  <c r="P29" i="1"/>
  <c r="O29" i="1"/>
  <c r="O11" i="1"/>
  <c r="P11" i="1"/>
  <c r="O31" i="1"/>
  <c r="P31" i="1"/>
  <c r="P41" i="1"/>
  <c r="O41" i="1"/>
  <c r="P13" i="1"/>
  <c r="O13" i="1"/>
  <c r="O15" i="1"/>
  <c r="P15" i="1"/>
  <c r="P25" i="1"/>
  <c r="O25" i="1"/>
  <c r="O27" i="1"/>
  <c r="P27" i="1"/>
  <c r="P20" i="1"/>
  <c r="P42" i="1"/>
  <c r="O42" i="1"/>
  <c r="P50" i="1"/>
  <c r="O50" i="1"/>
  <c r="P62" i="1"/>
  <c r="O62" i="1"/>
  <c r="P94" i="1"/>
  <c r="O94" i="1"/>
  <c r="P102" i="1"/>
  <c r="O102" i="1"/>
  <c r="P106" i="1"/>
  <c r="O106" i="1"/>
  <c r="P110" i="1"/>
  <c r="O110" i="1"/>
  <c r="P114" i="1"/>
  <c r="O114" i="1"/>
  <c r="P118" i="1"/>
  <c r="O118" i="1"/>
  <c r="P122" i="1"/>
  <c r="O122" i="1"/>
  <c r="P126" i="1"/>
  <c r="O126" i="1"/>
  <c r="P130" i="1"/>
  <c r="O130" i="1"/>
  <c r="P134" i="1"/>
  <c r="O134" i="1"/>
  <c r="P138" i="1"/>
  <c r="O138" i="1"/>
  <c r="P142" i="1"/>
  <c r="O142" i="1"/>
  <c r="P146" i="1"/>
  <c r="O146" i="1"/>
  <c r="P33" i="1"/>
  <c r="P70" i="1"/>
  <c r="O70" i="1"/>
  <c r="P78" i="1"/>
  <c r="O78" i="1"/>
  <c r="P90" i="1"/>
  <c r="O90" i="1"/>
  <c r="P98" i="1"/>
  <c r="O98" i="1"/>
  <c r="O26" i="1"/>
  <c r="P17" i="1"/>
  <c r="P36" i="1"/>
  <c r="P58" i="1"/>
  <c r="O58" i="1"/>
  <c r="P74" i="1"/>
  <c r="O74" i="1"/>
  <c r="O14" i="1"/>
  <c r="O30" i="1"/>
  <c r="P46" i="1"/>
  <c r="O46" i="1"/>
  <c r="O49" i="1"/>
  <c r="P54" i="1"/>
  <c r="O54" i="1"/>
  <c r="O57" i="1"/>
  <c r="O61" i="1"/>
  <c r="P61" i="1"/>
  <c r="O65" i="1"/>
  <c r="P65" i="1"/>
  <c r="O69" i="1"/>
  <c r="P69" i="1"/>
  <c r="O73" i="1"/>
  <c r="P73" i="1"/>
  <c r="O77" i="1"/>
  <c r="P77" i="1"/>
  <c r="O81" i="1"/>
  <c r="P81" i="1"/>
  <c r="O85" i="1"/>
  <c r="P85" i="1"/>
  <c r="O89" i="1"/>
  <c r="P89" i="1"/>
  <c r="O93" i="1"/>
  <c r="P93" i="1"/>
  <c r="O97" i="1"/>
  <c r="P97" i="1"/>
  <c r="O101" i="1"/>
  <c r="P101" i="1"/>
  <c r="O105" i="1"/>
  <c r="P105" i="1"/>
  <c r="O109" i="1"/>
  <c r="P109" i="1"/>
  <c r="O113" i="1"/>
  <c r="P113" i="1"/>
  <c r="O117" i="1"/>
  <c r="P117" i="1"/>
  <c r="O121" i="1"/>
  <c r="P121" i="1"/>
  <c r="O125" i="1"/>
  <c r="P125" i="1"/>
  <c r="O129" i="1"/>
  <c r="P129" i="1"/>
  <c r="O133" i="1"/>
  <c r="P133" i="1"/>
  <c r="O137" i="1"/>
  <c r="P137" i="1"/>
  <c r="O141" i="1"/>
  <c r="P141" i="1"/>
  <c r="O145" i="1"/>
  <c r="P145" i="1"/>
  <c r="P66" i="1"/>
  <c r="O66" i="1"/>
  <c r="P82" i="1"/>
  <c r="O82" i="1"/>
  <c r="P86" i="1"/>
  <c r="O86" i="1"/>
  <c r="O10" i="1"/>
  <c r="O18" i="1"/>
  <c r="P19" i="1"/>
  <c r="O34" i="1"/>
  <c r="P35" i="1"/>
  <c r="O149" i="1"/>
  <c r="P149" i="1"/>
  <c r="O181" i="1"/>
  <c r="P181" i="1"/>
  <c r="O213" i="1"/>
  <c r="P213" i="1"/>
  <c r="P215" i="1"/>
  <c r="O215" i="1"/>
  <c r="O229" i="1"/>
  <c r="P229" i="1"/>
  <c r="P231" i="1"/>
  <c r="O231" i="1"/>
  <c r="O245" i="1"/>
  <c r="P245" i="1"/>
  <c r="P247" i="1"/>
  <c r="O247" i="1"/>
  <c r="O261" i="1"/>
  <c r="P261" i="1"/>
  <c r="P263" i="1"/>
  <c r="O263" i="1"/>
  <c r="O277" i="1"/>
  <c r="P277" i="1"/>
  <c r="P279" i="1"/>
  <c r="O279" i="1"/>
  <c r="O293" i="1"/>
  <c r="P293" i="1"/>
  <c r="P295" i="1"/>
  <c r="O295" i="1"/>
  <c r="P301" i="1"/>
  <c r="O301" i="1"/>
  <c r="P317" i="1"/>
  <c r="O317" i="1"/>
  <c r="P151" i="1"/>
  <c r="O151" i="1"/>
  <c r="O165" i="1"/>
  <c r="P165" i="1"/>
  <c r="P167" i="1"/>
  <c r="O167" i="1"/>
  <c r="P183" i="1"/>
  <c r="O183" i="1"/>
  <c r="O197" i="1"/>
  <c r="P197" i="1"/>
  <c r="P199" i="1"/>
  <c r="O199" i="1"/>
  <c r="O147" i="1"/>
  <c r="P154" i="1"/>
  <c r="O161" i="1"/>
  <c r="P161" i="1"/>
  <c r="P163" i="1"/>
  <c r="O163" i="1"/>
  <c r="P170" i="1"/>
  <c r="O177" i="1"/>
  <c r="P177" i="1"/>
  <c r="P179" i="1"/>
  <c r="O179" i="1"/>
  <c r="P186" i="1"/>
  <c r="O193" i="1"/>
  <c r="P193" i="1"/>
  <c r="P195" i="1"/>
  <c r="O195" i="1"/>
  <c r="P202" i="1"/>
  <c r="O209" i="1"/>
  <c r="P209" i="1"/>
  <c r="P211" i="1"/>
  <c r="O211" i="1"/>
  <c r="P218" i="1"/>
  <c r="O225" i="1"/>
  <c r="P225" i="1"/>
  <c r="P227" i="1"/>
  <c r="O227" i="1"/>
  <c r="P234" i="1"/>
  <c r="O241" i="1"/>
  <c r="P241" i="1"/>
  <c r="P243" i="1"/>
  <c r="O243" i="1"/>
  <c r="P250" i="1"/>
  <c r="O257" i="1"/>
  <c r="P257" i="1"/>
  <c r="P259" i="1"/>
  <c r="O259" i="1"/>
  <c r="P266" i="1"/>
  <c r="O273" i="1"/>
  <c r="P273" i="1"/>
  <c r="P275" i="1"/>
  <c r="O275" i="1"/>
  <c r="P282" i="1"/>
  <c r="O289" i="1"/>
  <c r="P289" i="1"/>
  <c r="P291" i="1"/>
  <c r="O291" i="1"/>
  <c r="O157" i="1"/>
  <c r="P157" i="1"/>
  <c r="P159" i="1"/>
  <c r="O159" i="1"/>
  <c r="O173" i="1"/>
  <c r="P173" i="1"/>
  <c r="P175" i="1"/>
  <c r="O175" i="1"/>
  <c r="O189" i="1"/>
  <c r="P189" i="1"/>
  <c r="P191" i="1"/>
  <c r="O191" i="1"/>
  <c r="O205" i="1"/>
  <c r="P205" i="1"/>
  <c r="P207" i="1"/>
  <c r="O207" i="1"/>
  <c r="O221" i="1"/>
  <c r="P221" i="1"/>
  <c r="P223" i="1"/>
  <c r="O223" i="1"/>
  <c r="O237" i="1"/>
  <c r="P237" i="1"/>
  <c r="P239" i="1"/>
  <c r="O239" i="1"/>
  <c r="O253" i="1"/>
  <c r="P253" i="1"/>
  <c r="P255" i="1"/>
  <c r="O255" i="1"/>
  <c r="P262" i="1"/>
  <c r="O269" i="1"/>
  <c r="P269" i="1"/>
  <c r="P271" i="1"/>
  <c r="O271" i="1"/>
  <c r="O285" i="1"/>
  <c r="P285" i="1"/>
  <c r="P287" i="1"/>
  <c r="O287" i="1"/>
  <c r="P148" i="1"/>
  <c r="O148" i="1"/>
  <c r="O153" i="1"/>
  <c r="P153" i="1"/>
  <c r="P155" i="1"/>
  <c r="O155" i="1"/>
  <c r="P162" i="1"/>
  <c r="O169" i="1"/>
  <c r="P169" i="1"/>
  <c r="P171" i="1"/>
  <c r="O171" i="1"/>
  <c r="P178" i="1"/>
  <c r="O185" i="1"/>
  <c r="P185" i="1"/>
  <c r="P187" i="1"/>
  <c r="O187" i="1"/>
  <c r="P194" i="1"/>
  <c r="O201" i="1"/>
  <c r="P201" i="1"/>
  <c r="P203" i="1"/>
  <c r="O203" i="1"/>
  <c r="P210" i="1"/>
  <c r="O217" i="1"/>
  <c r="P217" i="1"/>
  <c r="P219" i="1"/>
  <c r="O219" i="1"/>
  <c r="P226" i="1"/>
  <c r="O233" i="1"/>
  <c r="P233" i="1"/>
  <c r="P235" i="1"/>
  <c r="O235" i="1"/>
  <c r="P242" i="1"/>
  <c r="O249" i="1"/>
  <c r="P249" i="1"/>
  <c r="P251" i="1"/>
  <c r="O251" i="1"/>
  <c r="P258" i="1"/>
  <c r="O265" i="1"/>
  <c r="P265" i="1"/>
  <c r="P267" i="1"/>
  <c r="O267" i="1"/>
  <c r="P274" i="1"/>
  <c r="O281" i="1"/>
  <c r="P281" i="1"/>
  <c r="P283" i="1"/>
  <c r="O283" i="1"/>
  <c r="P152" i="1"/>
  <c r="O152" i="1"/>
  <c r="P160" i="1"/>
  <c r="O160" i="1"/>
  <c r="P168" i="1"/>
  <c r="O168" i="1"/>
  <c r="P176" i="1"/>
  <c r="O176" i="1"/>
  <c r="P184" i="1"/>
  <c r="O184" i="1"/>
  <c r="P192" i="1"/>
  <c r="O192" i="1"/>
  <c r="P200" i="1"/>
  <c r="O200" i="1"/>
  <c r="P208" i="1"/>
  <c r="O208" i="1"/>
  <c r="P216" i="1"/>
  <c r="O216" i="1"/>
  <c r="P224" i="1"/>
  <c r="O224" i="1"/>
  <c r="P232" i="1"/>
  <c r="O232" i="1"/>
  <c r="P240" i="1"/>
  <c r="O240" i="1"/>
  <c r="P248" i="1"/>
  <c r="O248" i="1"/>
  <c r="P256" i="1"/>
  <c r="O256" i="1"/>
  <c r="P264" i="1"/>
  <c r="O264" i="1"/>
  <c r="P272" i="1"/>
  <c r="O272" i="1"/>
  <c r="P280" i="1"/>
  <c r="O280" i="1"/>
  <c r="P288" i="1"/>
  <c r="O288" i="1"/>
  <c r="P296" i="1"/>
  <c r="O296" i="1"/>
  <c r="P297" i="1"/>
  <c r="O298" i="1"/>
  <c r="P299" i="1"/>
  <c r="O300" i="1"/>
  <c r="P305" i="1"/>
  <c r="O305" i="1"/>
  <c r="O307" i="1"/>
  <c r="P307" i="1"/>
  <c r="P312" i="1"/>
  <c r="O313" i="1"/>
  <c r="P315" i="1"/>
  <c r="O316" i="1"/>
  <c r="P321" i="1"/>
  <c r="O321" i="1"/>
  <c r="O323" i="1"/>
  <c r="P323" i="1"/>
  <c r="P156" i="1"/>
  <c r="O156" i="1"/>
  <c r="P164" i="1"/>
  <c r="O164" i="1"/>
  <c r="P172" i="1"/>
  <c r="O172" i="1"/>
  <c r="P180" i="1"/>
  <c r="O180" i="1"/>
  <c r="P188" i="1"/>
  <c r="O188" i="1"/>
  <c r="P196" i="1"/>
  <c r="O196" i="1"/>
  <c r="P204" i="1"/>
  <c r="O204" i="1"/>
  <c r="P212" i="1"/>
  <c r="O212" i="1"/>
  <c r="P220" i="1"/>
  <c r="O220" i="1"/>
  <c r="P228" i="1"/>
  <c r="O228" i="1"/>
  <c r="P236" i="1"/>
  <c r="O236" i="1"/>
  <c r="P244" i="1"/>
  <c r="O244" i="1"/>
  <c r="P252" i="1"/>
  <c r="O252" i="1"/>
  <c r="P260" i="1"/>
  <c r="O260" i="1"/>
  <c r="P268" i="1"/>
  <c r="O268" i="1"/>
  <c r="P276" i="1"/>
  <c r="O276" i="1"/>
  <c r="P284" i="1"/>
  <c r="O284" i="1"/>
  <c r="P292" i="1"/>
  <c r="O292" i="1"/>
  <c r="P303" i="1"/>
  <c r="P306" i="1"/>
  <c r="O306" i="1"/>
  <c r="O311" i="1"/>
  <c r="P311" i="1"/>
  <c r="P319" i="1"/>
  <c r="P322" i="1"/>
  <c r="O322" i="1"/>
  <c r="O308" i="1"/>
  <c r="P310" i="1"/>
  <c r="O324" i="1"/>
  <c r="P326" i="1"/>
  <c r="O310" i="1"/>
  <c r="P314" i="1"/>
  <c r="O326" i="1"/>
</calcChain>
</file>

<file path=xl/sharedStrings.xml><?xml version="1.0" encoding="utf-8"?>
<sst xmlns="http://schemas.openxmlformats.org/spreadsheetml/2006/main" count="4012" uniqueCount="631">
  <si>
    <t>ILAM00</t>
  </si>
  <si>
    <t>Clave</t>
  </si>
  <si>
    <t>Dirección de Administración</t>
  </si>
  <si>
    <t>Subdirección de Recursos Materiales</t>
  </si>
  <si>
    <t>Localidad</t>
  </si>
  <si>
    <t>Bafle</t>
  </si>
  <si>
    <t>Botiquín</t>
  </si>
  <si>
    <t>Departamento de Control Patrimonial</t>
  </si>
  <si>
    <t>Cámara Fotográfica</t>
  </si>
  <si>
    <t>Engargoladora</t>
  </si>
  <si>
    <t>Equipo de Perifoneo</t>
  </si>
  <si>
    <t>ENVIO: FECHA</t>
  </si>
  <si>
    <t>Grabadora digital</t>
  </si>
  <si>
    <t>Lámpara de emergencia CHICA</t>
  </si>
  <si>
    <t>Lámpara de emergencia GRANDE</t>
  </si>
  <si>
    <t>Receptor</t>
  </si>
  <si>
    <t>Tajalápiz</t>
  </si>
  <si>
    <t>CONCAT</t>
  </si>
  <si>
    <t>Teléfono</t>
  </si>
  <si>
    <t>TOTAL</t>
  </si>
  <si>
    <t>NP</t>
  </si>
  <si>
    <t>CLAVE</t>
  </si>
  <si>
    <t>DISTRITO</t>
  </si>
  <si>
    <t>LOCALIDAD</t>
  </si>
  <si>
    <t>ARTICULO</t>
  </si>
  <si>
    <t xml:space="preserve">MARCA </t>
  </si>
  <si>
    <t>INVENTARIO 1</t>
  </si>
  <si>
    <t>Chalco de Diaz Covarrubias</t>
  </si>
  <si>
    <t>INVENTARIO M</t>
  </si>
  <si>
    <t>VALIDADOR</t>
  </si>
  <si>
    <t>OBSERVACIONES</t>
  </si>
  <si>
    <t>DIA</t>
  </si>
  <si>
    <t>RUTA</t>
  </si>
  <si>
    <t>H. EMBARQUE</t>
  </si>
  <si>
    <t>H. LLEGADA</t>
  </si>
  <si>
    <t>Toluca de   Lerdo</t>
  </si>
  <si>
    <t>NA</t>
  </si>
  <si>
    <t>BAFLE</t>
  </si>
  <si>
    <t>Chimaihuacan</t>
  </si>
  <si>
    <t>STEREN</t>
  </si>
  <si>
    <t>IBAF00100183</t>
  </si>
  <si>
    <t>Incluye: Cable de Alimentación,</t>
  </si>
  <si>
    <t>Lerma de Villada</t>
  </si>
  <si>
    <t>Chimalhuacan</t>
  </si>
  <si>
    <t>Ecatepec de Morelos</t>
  </si>
  <si>
    <t>Tenancingo de Degollado</t>
  </si>
  <si>
    <t>Tejupilco de Hidalgo</t>
  </si>
  <si>
    <t>Valle de Bravo</t>
  </si>
  <si>
    <t>Tultitlan de Mariano Escobedo</t>
  </si>
  <si>
    <t>Teoloyucan</t>
  </si>
  <si>
    <t>Atlacomulco de Fabela</t>
  </si>
  <si>
    <t>BOTIQUIN</t>
  </si>
  <si>
    <t>SN</t>
  </si>
  <si>
    <t>ibot00100106</t>
  </si>
  <si>
    <t>IBOT00100106</t>
  </si>
  <si>
    <t>Jilotepec de Andres Molina Enriquez</t>
  </si>
  <si>
    <t>Ixtlahuaca de Rayon</t>
  </si>
  <si>
    <t>Ciudad Adolfo Lopez Mateos</t>
  </si>
  <si>
    <t>Huixquilucan de degollado</t>
  </si>
  <si>
    <t>Tlanepantla de Baz</t>
  </si>
  <si>
    <t>Santamaria Tultepec</t>
  </si>
  <si>
    <t>CAMARA DIGITAL</t>
  </si>
  <si>
    <t>SONY</t>
  </si>
  <si>
    <t>ICAM00101794</t>
  </si>
  <si>
    <t>Incluye: Memoria de 4GB, Cargador y Pila.</t>
  </si>
  <si>
    <t>Zumpango de Ocampo</t>
  </si>
  <si>
    <t>Cuenta de ARTICULO</t>
  </si>
  <si>
    <t>Ojo de agua Tecamac</t>
  </si>
  <si>
    <t>Cuenta de TOTAL</t>
  </si>
  <si>
    <t>VALIDACION</t>
  </si>
  <si>
    <t>Texcoco de Mora</t>
  </si>
  <si>
    <t>CD Nezahualcoyotl</t>
  </si>
  <si>
    <t>ENGARGOLADORA</t>
  </si>
  <si>
    <t>COMBO</t>
  </si>
  <si>
    <t>IENC00100144</t>
  </si>
  <si>
    <t>Cuautitlan Izcalli</t>
  </si>
  <si>
    <t>Toluca de Lerdo</t>
  </si>
  <si>
    <t>Valle de Chalco Solidaridad</t>
  </si>
  <si>
    <t>Amecameca de juarez</t>
  </si>
  <si>
    <t>Teaguistenco de Galeana</t>
  </si>
  <si>
    <t>Naucalpan de Juarez</t>
  </si>
  <si>
    <t xml:space="preserve">Los Reyes Acaquilpan </t>
  </si>
  <si>
    <t>Ojo de Agua (Tecamac)</t>
  </si>
  <si>
    <t>Touca de Lerdo</t>
  </si>
  <si>
    <t>Metepec</t>
  </si>
  <si>
    <t>San Miguel  Zinacantepec</t>
  </si>
  <si>
    <t>Coacalco de Berriozabal</t>
  </si>
  <si>
    <t>Tepexpan (Acolman)</t>
  </si>
  <si>
    <t>EQUIPO DE PERIFONEO</t>
  </si>
  <si>
    <t>Ixtapaluca</t>
  </si>
  <si>
    <t>RADSON</t>
  </si>
  <si>
    <t>CD. Nezahualcoyotl</t>
  </si>
  <si>
    <t>iamp00100132</t>
  </si>
  <si>
    <t>IAMP00100132</t>
  </si>
  <si>
    <t>Nicolas Romero</t>
  </si>
  <si>
    <t>Barrio la Cabecera 3a Seccion (Almoloya de Juarez)</t>
  </si>
  <si>
    <t>GRABADORA</t>
  </si>
  <si>
    <t>IGRA00100332</t>
  </si>
  <si>
    <t>LAMPARA DE EMERGENCIA CHICA</t>
  </si>
  <si>
    <t>SURTEK</t>
  </si>
  <si>
    <t>ILAM00101145</t>
  </si>
  <si>
    <t>Incluye: Cable de Alimentacion (Lampara chica)</t>
  </si>
  <si>
    <t>ILAM00101151</t>
  </si>
  <si>
    <t>ILAM00101157</t>
  </si>
  <si>
    <t>Centro de Costo</t>
  </si>
  <si>
    <t>Distrito Electoral</t>
  </si>
  <si>
    <t>Hora de embarque</t>
  </si>
  <si>
    <t>Hora de llegada</t>
  </si>
  <si>
    <t>Volumen</t>
  </si>
  <si>
    <t>Unidades</t>
  </si>
  <si>
    <t>Día</t>
  </si>
  <si>
    <t>Ruta</t>
  </si>
  <si>
    <t>Amecameca de Juárez</t>
  </si>
  <si>
    <t>08:00 hrs</t>
  </si>
  <si>
    <t>LAMPARA DE EMERGENCIA GRANDE</t>
  </si>
  <si>
    <t>Incluye: Cable de Alimentacion (Lampara grande)</t>
  </si>
  <si>
    <t>13:00 hrs</t>
  </si>
  <si>
    <t>Día 1</t>
  </si>
  <si>
    <t>09.00 hrs</t>
  </si>
  <si>
    <t>16:30 hrs</t>
  </si>
  <si>
    <t>Chimalhuacán</t>
  </si>
  <si>
    <t>10:30 hrs</t>
  </si>
  <si>
    <t>14:00 hrs</t>
  </si>
  <si>
    <t>11:30 hrs</t>
  </si>
  <si>
    <t>15:00 hrs</t>
  </si>
  <si>
    <t>16:00 hrs</t>
  </si>
  <si>
    <t>Cd. Nezahualcóyotl</t>
  </si>
  <si>
    <t>12:30 hrs</t>
  </si>
  <si>
    <t>18:00 hrs</t>
  </si>
  <si>
    <t>Naucalpan de Juárez</t>
  </si>
  <si>
    <t>13.30 hrs</t>
  </si>
  <si>
    <t>17:00 hrs</t>
  </si>
  <si>
    <t>14:30 hrs</t>
  </si>
  <si>
    <t>18:0 hrs</t>
  </si>
  <si>
    <t>RECEPTOR</t>
  </si>
  <si>
    <t>SOUNDTRACK</t>
  </si>
  <si>
    <t>isis01200111</t>
  </si>
  <si>
    <t>ISIS01200111</t>
  </si>
  <si>
    <t>Incluye: 2 Microfonos, Cable extencion Plug. Macho de 6.6mm, 2 Antenas y Eliminador y 2 soportes de microfonos</t>
  </si>
  <si>
    <t>12:00 hrs</t>
  </si>
  <si>
    <t>Día 2</t>
  </si>
  <si>
    <t>09:30 hrs</t>
  </si>
  <si>
    <t>13:30 hrs</t>
  </si>
  <si>
    <t>Cuautitlán Izcalli</t>
  </si>
  <si>
    <t>19:00 hrs</t>
  </si>
  <si>
    <t>TAJALAPIZ</t>
  </si>
  <si>
    <t>itaj00100201</t>
  </si>
  <si>
    <t>ITAJ00100201</t>
  </si>
  <si>
    <t>15:30 hrs</t>
  </si>
  <si>
    <t>18:30 hrs</t>
  </si>
  <si>
    <t>Ojo de Agua (Tecámac)</t>
  </si>
  <si>
    <t>Día 3</t>
  </si>
  <si>
    <t xml:space="preserve">Ojo de agua (Tecámac) </t>
  </si>
  <si>
    <t>09:00 hrs</t>
  </si>
  <si>
    <t>10:00 hrs</t>
  </si>
  <si>
    <t>11:00 hrs</t>
  </si>
  <si>
    <t>Ixtlahuaca de Rayón</t>
  </si>
  <si>
    <t xml:space="preserve">Barrio la Cabecera 3a Sección (Almoloya de Juárez) </t>
  </si>
  <si>
    <t>San Miguel Zinacantepec</t>
  </si>
  <si>
    <t>TELEFONOS</t>
  </si>
  <si>
    <t>TELMEX</t>
  </si>
  <si>
    <t>17:30 hrs</t>
  </si>
  <si>
    <t>itel00100425</t>
  </si>
  <si>
    <t>ITEL00100425</t>
  </si>
  <si>
    <t>Día 4</t>
  </si>
  <si>
    <t>Tlalnepantla de Baz</t>
  </si>
  <si>
    <t>Jilotepec de Andrés Molina Enríquez</t>
  </si>
  <si>
    <t>Huixquilucan de Degollado</t>
  </si>
  <si>
    <t>19:30 hrs</t>
  </si>
  <si>
    <t xml:space="preserve">Chalco de Díaz Covarrubias </t>
  </si>
  <si>
    <t>Dia 5</t>
  </si>
  <si>
    <t>Incluye: Cable de Alimentación, CON CABLE PLUS 3 VIAS</t>
  </si>
  <si>
    <t>Nicolás Romero</t>
  </si>
  <si>
    <t>Ciudad Adolfo López Mateos</t>
  </si>
  <si>
    <t>Santa María Tultepec</t>
  </si>
  <si>
    <t>Tianguistenco de Galeana</t>
  </si>
  <si>
    <t>21:30 hrs</t>
  </si>
  <si>
    <t>CD. Nezahualcóyotl</t>
  </si>
  <si>
    <t>Día 6</t>
  </si>
  <si>
    <t>IBOT00100182</t>
  </si>
  <si>
    <t>Coacalco de Berriozábal</t>
  </si>
  <si>
    <t>Tultitlán de Mariano Escobedo</t>
  </si>
  <si>
    <t>icam00101757</t>
  </si>
  <si>
    <t>ICAM00101757</t>
  </si>
  <si>
    <t>ieng00100126</t>
  </si>
  <si>
    <t>IENG00100126</t>
  </si>
  <si>
    <t>IAMP00100061</t>
  </si>
  <si>
    <t>igra00100377</t>
  </si>
  <si>
    <t>IGRA00100377</t>
  </si>
  <si>
    <t>ILAM00101251</t>
  </si>
  <si>
    <t>ILAM00101321</t>
  </si>
  <si>
    <t>isis01200114</t>
  </si>
  <si>
    <t>ISIS01200114</t>
  </si>
  <si>
    <t>ITAJ00100169</t>
  </si>
  <si>
    <t>ITEL00101131</t>
  </si>
  <si>
    <t>IBAF00100196</t>
  </si>
  <si>
    <t>IBOT00100067</t>
  </si>
  <si>
    <t>ICAM00101745</t>
  </si>
  <si>
    <t>IENG00100216</t>
  </si>
  <si>
    <t>IAMP00100045</t>
  </si>
  <si>
    <t>IGRA00100313</t>
  </si>
  <si>
    <t>ILAM00101323</t>
  </si>
  <si>
    <t>ILAM00101167</t>
  </si>
  <si>
    <t>ILAM00100811</t>
  </si>
  <si>
    <t>ILAM00101224</t>
  </si>
  <si>
    <t>ILAM00101234</t>
  </si>
  <si>
    <t>ILAM00100864</t>
  </si>
  <si>
    <t>ILAM00100842</t>
  </si>
  <si>
    <t>isis01200105</t>
  </si>
  <si>
    <t>ISIS01200105</t>
  </si>
  <si>
    <t>ITAJ00100283</t>
  </si>
  <si>
    <t>ITEL00100969</t>
  </si>
  <si>
    <t>IBAF00100086</t>
  </si>
  <si>
    <t>IBOT00100095</t>
  </si>
  <si>
    <t>icam00101779</t>
  </si>
  <si>
    <t>ICAM00101779</t>
  </si>
  <si>
    <t>IENG00100177</t>
  </si>
  <si>
    <t>IAMP00100123</t>
  </si>
  <si>
    <t>igra00100347</t>
  </si>
  <si>
    <t>IGRA00100347</t>
  </si>
  <si>
    <t>ILAM00100838</t>
  </si>
  <si>
    <t>ILAM00100909</t>
  </si>
  <si>
    <t>ISIS01200120</t>
  </si>
  <si>
    <t>Incluye: 2 Microfonos, Cable extencion Plug. Macho de 6.6mm, 2 Antenas y Eliminador</t>
  </si>
  <si>
    <t>ITAJ00100280</t>
  </si>
  <si>
    <t>ITEL00100724</t>
  </si>
  <si>
    <t>IBAF00100087</t>
  </si>
  <si>
    <t>IBOT00100181</t>
  </si>
  <si>
    <t>icam00101791</t>
  </si>
  <si>
    <t>ICAM00101791</t>
  </si>
  <si>
    <t>IENG00100083</t>
  </si>
  <si>
    <t>IAMP00100095</t>
  </si>
  <si>
    <t>igra00100281</t>
  </si>
  <si>
    <t>IGRA00100281</t>
  </si>
  <si>
    <t>ILAM00101164</t>
  </si>
  <si>
    <t>ILAM00101220</t>
  </si>
  <si>
    <t>ILAM00100815</t>
  </si>
  <si>
    <t>ISIS01200136</t>
  </si>
  <si>
    <t>ITAJ00100249</t>
  </si>
  <si>
    <t>ITEL00100793</t>
  </si>
  <si>
    <t>IBAF00100062</t>
  </si>
  <si>
    <t>IBOT00100076</t>
  </si>
  <si>
    <t>icam00101732</t>
  </si>
  <si>
    <t>ICAM00101732</t>
  </si>
  <si>
    <t>ieng00100021</t>
  </si>
  <si>
    <t>IENG00100021</t>
  </si>
  <si>
    <t>iamp00100019</t>
  </si>
  <si>
    <t>IAMP00100019</t>
  </si>
  <si>
    <t>igra00100297</t>
  </si>
  <si>
    <t>IGRA00100297</t>
  </si>
  <si>
    <t>ILAM00101222</t>
  </si>
  <si>
    <t>ILAM00101140</t>
  </si>
  <si>
    <t>ILAM00101221</t>
  </si>
  <si>
    <t>ISIS01200152</t>
  </si>
  <si>
    <t>ITAJ00100087</t>
  </si>
  <si>
    <t>ITEL00100808</t>
  </si>
  <si>
    <t>IBAF00100155</t>
  </si>
  <si>
    <t>IBOT00100010</t>
  </si>
  <si>
    <t>icam00101776</t>
  </si>
  <si>
    <t>ICAM00101776</t>
  </si>
  <si>
    <t>IENG00100134</t>
  </si>
  <si>
    <t>IAMP00100054</t>
  </si>
  <si>
    <t>igra00100294</t>
  </si>
  <si>
    <t>IGRA00100294</t>
  </si>
  <si>
    <t>ILAM00101355</t>
  </si>
  <si>
    <t>ILAM00101346</t>
  </si>
  <si>
    <t>ILAM00101314</t>
  </si>
  <si>
    <t>ILAM00101336</t>
  </si>
  <si>
    <t>ILAM00101335</t>
  </si>
  <si>
    <t>ISIS01200085</t>
  </si>
  <si>
    <t>ITAJ00100267</t>
  </si>
  <si>
    <t>ITEL00100840</t>
  </si>
  <si>
    <t>IBAF00100187</t>
  </si>
  <si>
    <t>IBOT00100057</t>
  </si>
  <si>
    <t>icam00101765</t>
  </si>
  <si>
    <t>ICAM00101765</t>
  </si>
  <si>
    <t>IENG00100202</t>
  </si>
  <si>
    <t>IAMP00100027</t>
  </si>
  <si>
    <t>igra00100314</t>
  </si>
  <si>
    <t>IGRA00100314</t>
  </si>
  <si>
    <t>ILAM00101301</t>
  </si>
  <si>
    <t>ILAM00101352</t>
  </si>
  <si>
    <t>ILAM00101357</t>
  </si>
  <si>
    <t>ILAM00101216</t>
  </si>
  <si>
    <t>ILAM00101305</t>
  </si>
  <si>
    <t>ILAM00101330</t>
  </si>
  <si>
    <t>ISIS01200109</t>
  </si>
  <si>
    <t>ITAJ00100094</t>
  </si>
  <si>
    <t>ITEL00100422</t>
  </si>
  <si>
    <t>IBAF00100074</t>
  </si>
  <si>
    <t>IBOT00100074</t>
  </si>
  <si>
    <t>icam00101790</t>
  </si>
  <si>
    <t>ICAM00101790</t>
  </si>
  <si>
    <t>IENG00100183</t>
  </si>
  <si>
    <t>IAMP00100085</t>
  </si>
  <si>
    <t>igra00100335</t>
  </si>
  <si>
    <t>IGRA00100335</t>
  </si>
  <si>
    <t>ILAM00101262</t>
  </si>
  <si>
    <t>ILAM00101263</t>
  </si>
  <si>
    <t>ILAM00101254</t>
  </si>
  <si>
    <t>ILAM00101276</t>
  </si>
  <si>
    <t>isis01200078</t>
  </si>
  <si>
    <t>ISIS01200078</t>
  </si>
  <si>
    <t>ITAJ00100224</t>
  </si>
  <si>
    <t>ITEL00100510</t>
  </si>
  <si>
    <t>Incluye: Cable de Alimentación, CABLE PLUS 3 VIAS</t>
  </si>
  <si>
    <t>ibot00100185</t>
  </si>
  <si>
    <t>IBOT00100185</t>
  </si>
  <si>
    <t>ICAM00101750</t>
  </si>
  <si>
    <t>IENG00100167</t>
  </si>
  <si>
    <t>IAMP00100041</t>
  </si>
  <si>
    <t>igra00100310</t>
  </si>
  <si>
    <t>IGRA00100310</t>
  </si>
  <si>
    <t>ILAM00100784</t>
  </si>
  <si>
    <t>ILAM00101230</t>
  </si>
  <si>
    <t>ILAM00100892</t>
  </si>
  <si>
    <t>isis01200067</t>
  </si>
  <si>
    <t>ISIS01200067</t>
  </si>
  <si>
    <t>ITAJ00100137</t>
  </si>
  <si>
    <t>GENERICO</t>
  </si>
  <si>
    <t>ITEL00100970</t>
  </si>
  <si>
    <t>IBAF00100042</t>
  </si>
  <si>
    <t>IBOT00100080</t>
  </si>
  <si>
    <t>icam00101760</t>
  </si>
  <si>
    <t>ICAM00101760</t>
  </si>
  <si>
    <t>IENG00100129</t>
  </si>
  <si>
    <t>IAMP00100089</t>
  </si>
  <si>
    <t>igra00100416</t>
  </si>
  <si>
    <t>IGRA00100416</t>
  </si>
  <si>
    <t>ILAM00101356</t>
  </si>
  <si>
    <t>ILAM00101135</t>
  </si>
  <si>
    <t>ILAM00101274</t>
  </si>
  <si>
    <t>isis01200169</t>
  </si>
  <si>
    <t>ISIS01200169</t>
  </si>
  <si>
    <t>itaj00100146</t>
  </si>
  <si>
    <t>ITAJ00100146</t>
  </si>
  <si>
    <t>itel00100428</t>
  </si>
  <si>
    <t>ITEL00100428</t>
  </si>
  <si>
    <t>ibaf00100120</t>
  </si>
  <si>
    <t>IBAF00100120</t>
  </si>
  <si>
    <t>ibot00100016</t>
  </si>
  <si>
    <t>IBOT00100016</t>
  </si>
  <si>
    <t>ICAM00101731</t>
  </si>
  <si>
    <t>ieng00100176</t>
  </si>
  <si>
    <t>IENG00100176</t>
  </si>
  <si>
    <t>iamp00100064</t>
  </si>
  <si>
    <t>IAMP00100064</t>
  </si>
  <si>
    <t>IGRA00100312</t>
  </si>
  <si>
    <t>ilam00101250</t>
  </si>
  <si>
    <t>ILAM00101250</t>
  </si>
  <si>
    <t>ilam00101293</t>
  </si>
  <si>
    <t>ILAM00101293</t>
  </si>
  <si>
    <t>MAVRIK</t>
  </si>
  <si>
    <t>ilam00100955</t>
  </si>
  <si>
    <t>ILAM00100955</t>
  </si>
  <si>
    <t>isis01200166</t>
  </si>
  <si>
    <t>ISIS01200166</t>
  </si>
  <si>
    <t>itaj00100073</t>
  </si>
  <si>
    <t>ITAJ00100073</t>
  </si>
  <si>
    <t>itel00100773</t>
  </si>
  <si>
    <t>ITEL00100773</t>
  </si>
  <si>
    <t>ibaf00100126</t>
  </si>
  <si>
    <t>IBAF00100126</t>
  </si>
  <si>
    <t>ibot00100166</t>
  </si>
  <si>
    <t>IBOT00100166</t>
  </si>
  <si>
    <t>ICAM00101771</t>
  </si>
  <si>
    <t>ieng00100050</t>
  </si>
  <si>
    <t>IENG00100050</t>
  </si>
  <si>
    <t>iamp00100021</t>
  </si>
  <si>
    <t>IAMP00100021</t>
  </si>
  <si>
    <t>IGRA00100401</t>
  </si>
  <si>
    <t>ilam00100948</t>
  </si>
  <si>
    <t>ILAM00100948</t>
  </si>
  <si>
    <t>ilam00100931</t>
  </si>
  <si>
    <t>ILAM00100931</t>
  </si>
  <si>
    <t>ilam00100951</t>
  </si>
  <si>
    <t>ILAM00100951</t>
  </si>
  <si>
    <t>isis01200049</t>
  </si>
  <si>
    <t>ISIS01200049</t>
  </si>
  <si>
    <t>ITAJ00100081</t>
  </si>
  <si>
    <t>itel00101164</t>
  </si>
  <si>
    <t>ITEL00101164</t>
  </si>
  <si>
    <t>ibaf00100134</t>
  </si>
  <si>
    <t>IBAF00100134</t>
  </si>
  <si>
    <t>ibot00100118</t>
  </si>
  <si>
    <t>IBOT00100118</t>
  </si>
  <si>
    <t>ICAM00101770</t>
  </si>
  <si>
    <t>ieng00100051</t>
  </si>
  <si>
    <t>IENG00100051</t>
  </si>
  <si>
    <t>iamp00100028</t>
  </si>
  <si>
    <t>IAMP00100028</t>
  </si>
  <si>
    <t>IGRA00100380</t>
  </si>
  <si>
    <t>ilam00100959</t>
  </si>
  <si>
    <t>ILAM00100959</t>
  </si>
  <si>
    <t>isis01200065</t>
  </si>
  <si>
    <t>ISIS01200065</t>
  </si>
  <si>
    <t>itaj00100064</t>
  </si>
  <si>
    <t>ITAJ00100064</t>
  </si>
  <si>
    <t>itel00100453</t>
  </si>
  <si>
    <t>ITEL00100453</t>
  </si>
  <si>
    <t>ibaf00100158</t>
  </si>
  <si>
    <t>IBAF00100158</t>
  </si>
  <si>
    <t>ibot00100122</t>
  </si>
  <si>
    <t>IBOT00100122</t>
  </si>
  <si>
    <t>ICAM00101755</t>
  </si>
  <si>
    <t>ieng00100074</t>
  </si>
  <si>
    <t>IENG00100074</t>
  </si>
  <si>
    <t>iamp00100086</t>
  </si>
  <si>
    <t>IAMP00100086</t>
  </si>
  <si>
    <t>IGRA00100430</t>
  </si>
  <si>
    <t>ILAM00100981</t>
  </si>
  <si>
    <t>ILAM00100924</t>
  </si>
  <si>
    <t>ILAM00100925</t>
  </si>
  <si>
    <t>isis01200144</t>
  </si>
  <si>
    <t>ISIS01200144</t>
  </si>
  <si>
    <t>itaj00100153</t>
  </si>
  <si>
    <t>ITAJ00100153</t>
  </si>
  <si>
    <t>itel00101094</t>
  </si>
  <si>
    <t>ITEL00101094</t>
  </si>
  <si>
    <t>ibaf00100048</t>
  </si>
  <si>
    <t>IBAF00100048</t>
  </si>
  <si>
    <t>ibot00100044</t>
  </si>
  <si>
    <t>IBOT00100044</t>
  </si>
  <si>
    <t>ICAM00101801</t>
  </si>
  <si>
    <t>ieng00100185</t>
  </si>
  <si>
    <t>IENG00100185</t>
  </si>
  <si>
    <t>iamp00100131</t>
  </si>
  <si>
    <t>IAMP00100131</t>
  </si>
  <si>
    <t>IGRA00100315</t>
  </si>
  <si>
    <t>ilam00100973</t>
  </si>
  <si>
    <t>ILAM00100973</t>
  </si>
  <si>
    <t>ilam00100988</t>
  </si>
  <si>
    <t>ILAM00100988</t>
  </si>
  <si>
    <t>ilam00100943</t>
  </si>
  <si>
    <t>ILAM00100943</t>
  </si>
  <si>
    <t>ilam00100972</t>
  </si>
  <si>
    <t>ILAM00100972</t>
  </si>
  <si>
    <t>isis01200063</t>
  </si>
  <si>
    <t>ISIS01200063</t>
  </si>
  <si>
    <t>itaj00100198</t>
  </si>
  <si>
    <t>ITAJ00100198</t>
  </si>
  <si>
    <t>itel00100463</t>
  </si>
  <si>
    <t>ITEL00100463</t>
  </si>
  <si>
    <t>ibaf00100203</t>
  </si>
  <si>
    <t>IBAF00100203</t>
  </si>
  <si>
    <t>ibot00100028</t>
  </si>
  <si>
    <t>IBOT00100028</t>
  </si>
  <si>
    <t>ICAM00101806</t>
  </si>
  <si>
    <t>ieng00100155</t>
  </si>
  <si>
    <t>IENG00100155</t>
  </si>
  <si>
    <t>iamp00100115</t>
  </si>
  <si>
    <t>IAMP00100115</t>
  </si>
  <si>
    <t>IGRA00100285</t>
  </si>
  <si>
    <t>ilam00100996</t>
  </si>
  <si>
    <t>ILAM00100996</t>
  </si>
  <si>
    <t>ilam00100993</t>
  </si>
  <si>
    <t>ILAM00100993</t>
  </si>
  <si>
    <t>ilam00100947</t>
  </si>
  <si>
    <t>ILAM00100947</t>
  </si>
  <si>
    <t>ilam00100956</t>
  </si>
  <si>
    <t>ILAM00100956</t>
  </si>
  <si>
    <t>isis01200149</t>
  </si>
  <si>
    <t>ISIS01200149</t>
  </si>
  <si>
    <t>itaj00100232</t>
  </si>
  <si>
    <t>ITAJ00100232</t>
  </si>
  <si>
    <t>itel00100610</t>
  </si>
  <si>
    <t>ITEL00100610</t>
  </si>
  <si>
    <t>ibaf00100106</t>
  </si>
  <si>
    <t>IBAF00100106</t>
  </si>
  <si>
    <t>ibot00100090</t>
  </si>
  <si>
    <t>IBOT00100090</t>
  </si>
  <si>
    <t>ICAM00101798</t>
  </si>
  <si>
    <t>ieng00100043</t>
  </si>
  <si>
    <t>IENG00100043</t>
  </si>
  <si>
    <t>iamp00100035</t>
  </si>
  <si>
    <t>IAMP00100035</t>
  </si>
  <si>
    <t>IGRA00100371</t>
  </si>
  <si>
    <t>ilam00100998</t>
  </si>
  <si>
    <t>ILAM00100998</t>
  </si>
  <si>
    <t>ilam00100933</t>
  </si>
  <si>
    <t>ILAM00100933</t>
  </si>
  <si>
    <t>isis01200059</t>
  </si>
  <si>
    <t>ISIS01200059</t>
  </si>
  <si>
    <t>itaj00100192</t>
  </si>
  <si>
    <t>ITAJ00100192</t>
  </si>
  <si>
    <t>itel00100836</t>
  </si>
  <si>
    <t>ITEL00100836</t>
  </si>
  <si>
    <t>IBAF00100112</t>
  </si>
  <si>
    <t>ibot00100070</t>
  </si>
  <si>
    <t>IBOT00100070</t>
  </si>
  <si>
    <t>ICAM00101756</t>
  </si>
  <si>
    <t>ieng00100130</t>
  </si>
  <si>
    <t>IENG00100130</t>
  </si>
  <si>
    <t>iamp00100065</t>
  </si>
  <si>
    <t>IAMP00100065</t>
  </si>
  <si>
    <t>IGRA00100321</t>
  </si>
  <si>
    <t>ilam00101038</t>
  </si>
  <si>
    <t>ILAM00101038</t>
  </si>
  <si>
    <t>ilam00100968</t>
  </si>
  <si>
    <t>ILAM00100968</t>
  </si>
  <si>
    <t>ilam00100945</t>
  </si>
  <si>
    <t>ILAM00100945</t>
  </si>
  <si>
    <t>ilam00100969</t>
  </si>
  <si>
    <t>ILAM00100969</t>
  </si>
  <si>
    <t>isis01200185</t>
  </si>
  <si>
    <t>ISIS01200185</t>
  </si>
  <si>
    <t>itaj00100049</t>
  </si>
  <si>
    <t>ITAJ00100049</t>
  </si>
  <si>
    <t>itel00101185</t>
  </si>
  <si>
    <t>ITEL00101185</t>
  </si>
  <si>
    <t>ibaf00100180</t>
  </si>
  <si>
    <t>IBAF00100180</t>
  </si>
  <si>
    <t>ibot00100109</t>
  </si>
  <si>
    <t>IBOT00100109</t>
  </si>
  <si>
    <t>ICAM00101761</t>
  </si>
  <si>
    <t>ieng00100035</t>
  </si>
  <si>
    <t>IENG00100035</t>
  </si>
  <si>
    <t>iamp00100092</t>
  </si>
  <si>
    <t>IAMP00100092</t>
  </si>
  <si>
    <t>IGRA00100392</t>
  </si>
  <si>
    <t>ilam00101012</t>
  </si>
  <si>
    <t>ILAM00101012</t>
  </si>
  <si>
    <t>ilam00101068</t>
  </si>
  <si>
    <t>ILAM00101068</t>
  </si>
  <si>
    <t>ilam00101067</t>
  </si>
  <si>
    <t>ILAM00101067</t>
  </si>
  <si>
    <t>isis01200051</t>
  </si>
  <si>
    <t>ISIS01200051</t>
  </si>
  <si>
    <t>itaj00100008</t>
  </si>
  <si>
    <t>ITAJ00100008</t>
  </si>
  <si>
    <t>itel00100880</t>
  </si>
  <si>
    <t>ITEL00100880</t>
  </si>
  <si>
    <t>ibaf00100057</t>
  </si>
  <si>
    <t>IBAF00100057</t>
  </si>
  <si>
    <t>ibot00100188</t>
  </si>
  <si>
    <t>IBOT00100188</t>
  </si>
  <si>
    <t>ICAM00101784</t>
  </si>
  <si>
    <t>ieng00100087</t>
  </si>
  <si>
    <t>IENG00100087</t>
  </si>
  <si>
    <t>IAMP00100129</t>
  </si>
  <si>
    <t>IGRA00100331</t>
  </si>
  <si>
    <t>ilam00100936</t>
  </si>
  <si>
    <t>ILAM00100936</t>
  </si>
  <si>
    <t>ilam00101037</t>
  </si>
  <si>
    <t>ILAM00101037</t>
  </si>
  <si>
    <t>ilam00101002</t>
  </si>
  <si>
    <t>ILAM00101002</t>
  </si>
  <si>
    <t>isis01200148</t>
  </si>
  <si>
    <t>ISIS01200148</t>
  </si>
  <si>
    <t>itaj00100152</t>
  </si>
  <si>
    <t>ITAJ00100152</t>
  </si>
  <si>
    <t>itel00100237</t>
  </si>
  <si>
    <t>ITEL00100237</t>
  </si>
  <si>
    <t>ibaf00100144</t>
  </si>
  <si>
    <t>IBAF00100144</t>
  </si>
  <si>
    <t>ibot00100157</t>
  </si>
  <si>
    <t>IBOT00100157</t>
  </si>
  <si>
    <t>ICAM00101789</t>
  </si>
  <si>
    <t>ieng00100033</t>
  </si>
  <si>
    <t>IENG00100033</t>
  </si>
  <si>
    <t>iamp00100071</t>
  </si>
  <si>
    <t>IAMP00100071</t>
  </si>
  <si>
    <t>IGRA00100415</t>
  </si>
  <si>
    <t>SANELEC</t>
  </si>
  <si>
    <t>ilam00100671</t>
  </si>
  <si>
    <t>ILAM00100671</t>
  </si>
  <si>
    <t>ilam00100797</t>
  </si>
  <si>
    <t>ILAM00100797</t>
  </si>
  <si>
    <t>ilam00100821</t>
  </si>
  <si>
    <t>ILAM00100821</t>
  </si>
  <si>
    <t>isis01200089</t>
  </si>
  <si>
    <t>ISIS01200089</t>
  </si>
  <si>
    <t>itaj00100242</t>
  </si>
  <si>
    <t>ITAJ00100242</t>
  </si>
  <si>
    <t>itel00100477</t>
  </si>
  <si>
    <t>ITEL00100477</t>
  </si>
  <si>
    <t>ibaf00100156</t>
  </si>
  <si>
    <t>IBAF00100156</t>
  </si>
  <si>
    <t>ibot00100168</t>
  </si>
  <si>
    <t>IBOT00100168</t>
  </si>
  <si>
    <t>ICAM00101769</t>
  </si>
  <si>
    <t>ieng00100094</t>
  </si>
  <si>
    <t>IENG00100094</t>
  </si>
  <si>
    <t>iamp00100058</t>
  </si>
  <si>
    <t>IAMP00100058</t>
  </si>
  <si>
    <t>IGRA00100408</t>
  </si>
  <si>
    <t>ILAM00100818</t>
  </si>
  <si>
    <t>ILAM00101351</t>
  </si>
  <si>
    <t>ILAM00101337</t>
  </si>
  <si>
    <t>ILAM00101154</t>
  </si>
  <si>
    <t>isis01200053</t>
  </si>
  <si>
    <t>ISIS01200053</t>
  </si>
  <si>
    <t>itaj00100180</t>
  </si>
  <si>
    <t>ITAJ00100180</t>
  </si>
  <si>
    <t>ITEL00100251</t>
  </si>
  <si>
    <t>ibaf00100052</t>
  </si>
  <si>
    <t>IBAF00100052</t>
  </si>
  <si>
    <t>ibot00100158</t>
  </si>
  <si>
    <t>IBOT00100158</t>
  </si>
  <si>
    <t>ICAM00101736</t>
  </si>
  <si>
    <t>ieng00100090</t>
  </si>
  <si>
    <t>IENG00100090</t>
  </si>
  <si>
    <t>iamp00100037</t>
  </si>
  <si>
    <t>IAMP00100037</t>
  </si>
  <si>
    <t>IGRA00100435</t>
  </si>
  <si>
    <t>ILAM00101056</t>
  </si>
  <si>
    <t>ILAM00100992</t>
  </si>
  <si>
    <t>ILAM00101039</t>
  </si>
  <si>
    <t>isis01200038</t>
  </si>
  <si>
    <t>ISIS01200038</t>
  </si>
  <si>
    <t>itaj00100106</t>
  </si>
  <si>
    <t>ITAJ00100106</t>
  </si>
  <si>
    <t>itel00101015</t>
  </si>
  <si>
    <t>ITEL00101015</t>
  </si>
  <si>
    <t/>
  </si>
  <si>
    <t>Total general</t>
  </si>
  <si>
    <t xml:space="preserve">Programa de equipamiento de los Órganos Desconcentrados Distritales </t>
  </si>
  <si>
    <t>Proceso Electoral 2026 - 2027</t>
  </si>
  <si>
    <t>Tiempos y distancias aproximadas</t>
  </si>
  <si>
    <r>
      <t>m</t>
    </r>
    <r>
      <rPr>
        <b/>
        <sz val="8"/>
        <color theme="1"/>
        <rFont val="Tahoma"/>
        <family val="2"/>
      </rPr>
      <t>3</t>
    </r>
  </si>
  <si>
    <t>Cap.</t>
  </si>
  <si>
    <t>50 m3</t>
  </si>
  <si>
    <t>70 m3</t>
  </si>
  <si>
    <t>Total</t>
  </si>
  <si>
    <t xml:space="preserve">ENVIO:   FECHA   </t>
  </si>
  <si>
    <t>N.P</t>
  </si>
  <si>
    <t>INVENTARIO</t>
  </si>
  <si>
    <t xml:space="preserve"> Cargado</t>
  </si>
  <si>
    <t>Eliminador</t>
  </si>
  <si>
    <t xml:space="preserve"> (Plug 6.6mm a Cannon Macho)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</si>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</sst>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0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4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 tint="0.34998626667073579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2"/>
      <name val="Arial"/>
      <family val="2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9" fillId="0" borderId="1"/>
    <xf numFmtId="0" fontId="2" fillId="0" borderId="1"/>
    <xf numFmtId="0" fontId="1" fillId="0" borderId="1"/>
  </cellStyleXfs>
  <cellXfs count="182">
    <xf numFmtId="0" fontId="0" fillId="0" borderId="0" xfId="0" applyFont="1" applyAlignment="1"/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horizontal="right"/>
    </xf>
    <xf numFmtId="0" fontId="6" fillId="3" borderId="1" xfId="0" applyFont="1" applyFill="1" applyBorder="1"/>
    <xf numFmtId="0" fontId="4" fillId="0" borderId="0" xfId="0" applyFont="1" applyAlignment="1">
      <alignment horizontal="left"/>
    </xf>
    <xf numFmtId="0" fontId="7" fillId="3" borderId="1" xfId="0" applyFont="1" applyFill="1" applyBorder="1" applyAlignment="1"/>
    <xf numFmtId="0" fontId="8" fillId="3" borderId="1" xfId="0" applyFont="1" applyFill="1" applyBorder="1"/>
    <xf numFmtId="0" fontId="4" fillId="4" borderId="1" xfId="0" applyFont="1" applyFill="1" applyBorder="1"/>
    <xf numFmtId="18" fontId="3" fillId="0" borderId="0" xfId="0" applyNumberFormat="1" applyFont="1"/>
    <xf numFmtId="20" fontId="4" fillId="0" borderId="0" xfId="0" applyNumberFormat="1" applyFont="1"/>
    <xf numFmtId="18" fontId="4" fillId="0" borderId="0" xfId="0" applyNumberFormat="1" applyFont="1"/>
    <xf numFmtId="20" fontId="3" fillId="0" borderId="0" xfId="0" applyNumberFormat="1" applyFo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2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2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6" xfId="0" applyNumberFormat="1" applyFont="1" applyBorder="1" applyAlignment="1"/>
    <xf numFmtId="0" fontId="0" fillId="0" borderId="8" xfId="0" applyNumberFormat="1" applyFont="1" applyBorder="1" applyAlignment="1"/>
    <xf numFmtId="0" fontId="10" fillId="0" borderId="1" xfId="1" applyFont="1" applyAlignment="1">
      <alignment horizontal="center" vertical="center" textRotation="90" wrapText="1"/>
    </xf>
    <xf numFmtId="0" fontId="9" fillId="0" borderId="1" xfId="1" applyFont="1" applyAlignment="1">
      <alignment horizontal="center" vertical="center" wrapText="1"/>
    </xf>
    <xf numFmtId="0" fontId="11" fillId="0" borderId="1" xfId="1" applyFont="1" applyAlignment="1">
      <alignment horizontal="center" vertical="center" wrapText="1"/>
    </xf>
    <xf numFmtId="0" fontId="11" fillId="0" borderId="1" xfId="1" applyFont="1" applyAlignment="1">
      <alignment horizontal="left" vertical="center" wrapText="1"/>
    </xf>
    <xf numFmtId="0" fontId="9" fillId="0" borderId="1" xfId="1" applyAlignment="1">
      <alignment horizontal="center" vertical="center" wrapText="1"/>
    </xf>
    <xf numFmtId="0" fontId="14" fillId="0" borderId="1" xfId="1" applyFont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2" fillId="0" borderId="1" xfId="2" applyAlignment="1">
      <alignment horizontal="center" vertical="center" wrapText="1"/>
    </xf>
    <xf numFmtId="0" fontId="19" fillId="6" borderId="13" xfId="2" applyFont="1" applyFill="1" applyBorder="1" applyAlignment="1">
      <alignment horizontal="center" vertical="center" wrapText="1"/>
    </xf>
    <xf numFmtId="0" fontId="19" fillId="6" borderId="13" xfId="2" applyFont="1" applyFill="1" applyBorder="1" applyAlignment="1">
      <alignment horizontal="left" vertical="center" wrapText="1"/>
    </xf>
    <xf numFmtId="20" fontId="20" fillId="6" borderId="13" xfId="2" applyNumberFormat="1" applyFont="1" applyFill="1" applyBorder="1" applyAlignment="1">
      <alignment horizontal="center" vertical="center" wrapText="1"/>
    </xf>
    <xf numFmtId="18" fontId="20" fillId="6" borderId="13" xfId="2" applyNumberFormat="1" applyFont="1" applyFill="1" applyBorder="1" applyAlignment="1">
      <alignment horizontal="center" vertical="center" wrapText="1"/>
    </xf>
    <xf numFmtId="0" fontId="19" fillId="6" borderId="15" xfId="2" applyFont="1" applyFill="1" applyBorder="1" applyAlignment="1">
      <alignment horizontal="center" vertical="center" wrapText="1"/>
    </xf>
    <xf numFmtId="0" fontId="19" fillId="6" borderId="15" xfId="2" applyFont="1" applyFill="1" applyBorder="1" applyAlignment="1">
      <alignment horizontal="left" vertical="center" wrapText="1"/>
    </xf>
    <xf numFmtId="0" fontId="20" fillId="6" borderId="15" xfId="2" applyFont="1" applyFill="1" applyBorder="1" applyAlignment="1">
      <alignment horizontal="center" vertical="center" wrapText="1"/>
    </xf>
    <xf numFmtId="18" fontId="20" fillId="6" borderId="15" xfId="2" applyNumberFormat="1" applyFont="1" applyFill="1" applyBorder="1" applyAlignment="1">
      <alignment horizontal="center" vertical="center" wrapText="1"/>
    </xf>
    <xf numFmtId="0" fontId="18" fillId="5" borderId="9" xfId="2" applyFont="1" applyFill="1" applyBorder="1" applyAlignment="1">
      <alignment horizontal="center" vertical="center" wrapText="1"/>
    </xf>
    <xf numFmtId="0" fontId="19" fillId="5" borderId="9" xfId="2" applyFont="1" applyFill="1" applyBorder="1" applyAlignment="1">
      <alignment horizontal="center" vertical="center" wrapText="1"/>
    </xf>
    <xf numFmtId="0" fontId="19" fillId="5" borderId="9" xfId="2" applyFont="1" applyFill="1" applyBorder="1" applyAlignment="1">
      <alignment horizontal="left" vertical="center" wrapText="1"/>
    </xf>
    <xf numFmtId="0" fontId="20" fillId="5" borderId="9" xfId="2" applyFont="1" applyFill="1" applyBorder="1" applyAlignment="1">
      <alignment horizontal="center" vertical="center" wrapText="1"/>
    </xf>
    <xf numFmtId="18" fontId="20" fillId="5" borderId="9" xfId="2" applyNumberFormat="1" applyFont="1" applyFill="1" applyBorder="1" applyAlignment="1">
      <alignment horizontal="center" vertical="center" wrapText="1"/>
    </xf>
    <xf numFmtId="0" fontId="18" fillId="6" borderId="9" xfId="2" applyFont="1" applyFill="1" applyBorder="1" applyAlignment="1">
      <alignment horizontal="center" vertical="center" wrapText="1"/>
    </xf>
    <xf numFmtId="0" fontId="19" fillId="6" borderId="9" xfId="2" applyFont="1" applyFill="1" applyBorder="1" applyAlignment="1">
      <alignment horizontal="center" vertical="center" wrapText="1"/>
    </xf>
    <xf numFmtId="0" fontId="19" fillId="6" borderId="9" xfId="2" applyFont="1" applyFill="1" applyBorder="1" applyAlignment="1">
      <alignment horizontal="left" vertical="center" wrapText="1"/>
    </xf>
    <xf numFmtId="0" fontId="20" fillId="6" borderId="9" xfId="2" applyFont="1" applyFill="1" applyBorder="1" applyAlignment="1">
      <alignment horizontal="center" vertical="center" wrapText="1"/>
    </xf>
    <xf numFmtId="18" fontId="20" fillId="6" borderId="9" xfId="2" applyNumberFormat="1" applyFont="1" applyFill="1" applyBorder="1" applyAlignment="1">
      <alignment horizontal="center" vertical="center" wrapText="1"/>
    </xf>
    <xf numFmtId="0" fontId="19" fillId="5" borderId="16" xfId="2" applyFont="1" applyFill="1" applyBorder="1" applyAlignment="1">
      <alignment horizontal="center" vertical="center" wrapText="1"/>
    </xf>
    <xf numFmtId="0" fontId="19" fillId="5" borderId="16" xfId="2" applyFont="1" applyFill="1" applyBorder="1" applyAlignment="1">
      <alignment horizontal="left" vertical="center" wrapText="1"/>
    </xf>
    <xf numFmtId="0" fontId="14" fillId="5" borderId="16" xfId="2" applyFont="1" applyFill="1" applyBorder="1" applyAlignment="1">
      <alignment horizontal="center" vertical="center" wrapText="1"/>
    </xf>
    <xf numFmtId="18" fontId="14" fillId="5" borderId="16" xfId="2" applyNumberFormat="1" applyFont="1" applyFill="1" applyBorder="1" applyAlignment="1">
      <alignment horizontal="center" vertical="center" wrapText="1"/>
    </xf>
    <xf numFmtId="0" fontId="19" fillId="5" borderId="15" xfId="2" applyFont="1" applyFill="1" applyBorder="1" applyAlignment="1">
      <alignment horizontal="center" vertical="center" wrapText="1"/>
    </xf>
    <xf numFmtId="0" fontId="19" fillId="5" borderId="15" xfId="2" applyFont="1" applyFill="1" applyBorder="1" applyAlignment="1">
      <alignment horizontal="left" vertical="center" wrapText="1"/>
    </xf>
    <xf numFmtId="0" fontId="14" fillId="5" borderId="15" xfId="2" applyFont="1" applyFill="1" applyBorder="1" applyAlignment="1">
      <alignment horizontal="center" vertical="center" wrapText="1"/>
    </xf>
    <xf numFmtId="18" fontId="14" fillId="5" borderId="15" xfId="2" applyNumberFormat="1" applyFont="1" applyFill="1" applyBorder="1" applyAlignment="1">
      <alignment horizontal="center" vertical="center" wrapText="1"/>
    </xf>
    <xf numFmtId="0" fontId="18" fillId="0" borderId="18" xfId="2" applyFont="1" applyFill="1" applyBorder="1" applyAlignment="1">
      <alignment horizontal="center" vertical="center" wrapText="1"/>
    </xf>
    <xf numFmtId="0" fontId="19" fillId="5" borderId="18" xfId="2" applyFont="1" applyFill="1" applyBorder="1" applyAlignment="1">
      <alignment horizontal="center" vertical="center" wrapText="1"/>
    </xf>
    <xf numFmtId="0" fontId="19" fillId="5" borderId="18" xfId="2" applyFont="1" applyFill="1" applyBorder="1" applyAlignment="1">
      <alignment horizontal="left" vertical="center" wrapText="1"/>
    </xf>
    <xf numFmtId="0" fontId="20" fillId="5" borderId="18" xfId="2" applyFont="1" applyFill="1" applyBorder="1" applyAlignment="1">
      <alignment horizontal="center" vertical="center" wrapText="1"/>
    </xf>
    <xf numFmtId="18" fontId="20" fillId="5" borderId="18" xfId="2" applyNumberFormat="1" applyFont="1" applyFill="1" applyBorder="1" applyAlignment="1">
      <alignment horizontal="center" vertical="center" wrapText="1"/>
    </xf>
    <xf numFmtId="0" fontId="14" fillId="6" borderId="9" xfId="2" applyFont="1" applyFill="1" applyBorder="1" applyAlignment="1">
      <alignment horizontal="center" vertical="center" wrapText="1"/>
    </xf>
    <xf numFmtId="18" fontId="14" fillId="6" borderId="9" xfId="2" applyNumberFormat="1" applyFont="1" applyFill="1" applyBorder="1" applyAlignment="1">
      <alignment horizontal="center" vertical="center" wrapText="1"/>
    </xf>
    <xf numFmtId="0" fontId="19" fillId="6" borderId="9" xfId="1" applyFont="1" applyFill="1" applyBorder="1" applyAlignment="1">
      <alignment horizontal="center" vertical="center" wrapText="1"/>
    </xf>
    <xf numFmtId="0" fontId="18" fillId="0" borderId="9" xfId="2" applyFont="1" applyFill="1" applyBorder="1" applyAlignment="1">
      <alignment horizontal="center" vertical="center" wrapText="1"/>
    </xf>
    <xf numFmtId="0" fontId="14" fillId="5" borderId="9" xfId="2" applyFont="1" applyFill="1" applyBorder="1" applyAlignment="1">
      <alignment horizontal="center" vertical="center" wrapText="1"/>
    </xf>
    <xf numFmtId="18" fontId="14" fillId="5" borderId="9" xfId="2" applyNumberFormat="1" applyFont="1" applyFill="1" applyBorder="1" applyAlignment="1">
      <alignment horizontal="center" vertical="center" wrapText="1"/>
    </xf>
    <xf numFmtId="0" fontId="19" fillId="5" borderId="9" xfId="1" applyFont="1" applyFill="1" applyBorder="1" applyAlignment="1">
      <alignment horizontal="center" vertical="center" wrapText="1"/>
    </xf>
    <xf numFmtId="0" fontId="9" fillId="5" borderId="1" xfId="1" applyFill="1" applyAlignment="1">
      <alignment horizontal="center" vertical="center" wrapText="1"/>
    </xf>
    <xf numFmtId="0" fontId="19" fillId="6" borderId="16" xfId="2" applyFont="1" applyFill="1" applyBorder="1" applyAlignment="1">
      <alignment horizontal="center" vertical="center" wrapText="1"/>
    </xf>
    <xf numFmtId="0" fontId="19" fillId="6" borderId="16" xfId="2" applyFont="1" applyFill="1" applyBorder="1" applyAlignment="1">
      <alignment horizontal="left" vertical="center" wrapText="1"/>
    </xf>
    <xf numFmtId="0" fontId="14" fillId="6" borderId="16" xfId="2" applyFont="1" applyFill="1" applyBorder="1" applyAlignment="1">
      <alignment horizontal="center" vertical="center" wrapText="1"/>
    </xf>
    <xf numFmtId="18" fontId="14" fillId="6" borderId="16" xfId="2" applyNumberFormat="1" applyFont="1" applyFill="1" applyBorder="1" applyAlignment="1">
      <alignment horizontal="center" vertical="center" wrapText="1"/>
    </xf>
    <xf numFmtId="0" fontId="14" fillId="6" borderId="15" xfId="2" applyFont="1" applyFill="1" applyBorder="1" applyAlignment="1">
      <alignment horizontal="center" vertical="center" wrapText="1"/>
    </xf>
    <xf numFmtId="18" fontId="14" fillId="6" borderId="15" xfId="2" applyNumberFormat="1" applyFont="1" applyFill="1" applyBorder="1" applyAlignment="1">
      <alignment horizontal="center" vertical="center" wrapText="1"/>
    </xf>
    <xf numFmtId="0" fontId="18" fillId="5" borderId="19" xfId="2" applyFont="1" applyFill="1" applyBorder="1" applyAlignment="1">
      <alignment horizontal="center" vertical="center" wrapText="1"/>
    </xf>
    <xf numFmtId="0" fontId="19" fillId="5" borderId="19" xfId="2" applyFont="1" applyFill="1" applyBorder="1" applyAlignment="1">
      <alignment horizontal="center" vertical="center" wrapText="1"/>
    </xf>
    <xf numFmtId="0" fontId="19" fillId="5" borderId="19" xfId="2" applyFont="1" applyFill="1" applyBorder="1" applyAlignment="1">
      <alignment horizontal="left" vertical="center" wrapText="1"/>
    </xf>
    <xf numFmtId="0" fontId="20" fillId="5" borderId="19" xfId="2" applyFont="1" applyFill="1" applyBorder="1" applyAlignment="1">
      <alignment horizontal="center" vertical="center" wrapText="1"/>
    </xf>
    <xf numFmtId="20" fontId="20" fillId="5" borderId="19" xfId="2" applyNumberFormat="1" applyFont="1" applyFill="1" applyBorder="1" applyAlignment="1">
      <alignment horizontal="center" vertical="center" wrapText="1"/>
    </xf>
    <xf numFmtId="0" fontId="18" fillId="6" borderId="18" xfId="2" applyFont="1" applyFill="1" applyBorder="1" applyAlignment="1">
      <alignment horizontal="center" vertical="center" wrapText="1"/>
    </xf>
    <xf numFmtId="0" fontId="19" fillId="6" borderId="18" xfId="2" applyFont="1" applyFill="1" applyBorder="1" applyAlignment="1">
      <alignment horizontal="center" vertical="center" wrapText="1"/>
    </xf>
    <xf numFmtId="0" fontId="19" fillId="6" borderId="18" xfId="2" applyFont="1" applyFill="1" applyBorder="1" applyAlignment="1">
      <alignment horizontal="left" vertical="center" wrapText="1"/>
    </xf>
    <xf numFmtId="0" fontId="20" fillId="6" borderId="18" xfId="2" applyFont="1" applyFill="1" applyBorder="1" applyAlignment="1">
      <alignment horizontal="center" vertical="center" wrapText="1"/>
    </xf>
    <xf numFmtId="18" fontId="20" fillId="6" borderId="18" xfId="2" applyNumberFormat="1" applyFont="1" applyFill="1" applyBorder="1" applyAlignment="1">
      <alignment horizontal="center" vertical="center" wrapText="1"/>
    </xf>
    <xf numFmtId="0" fontId="18" fillId="5" borderId="12" xfId="2" applyFont="1" applyFill="1" applyBorder="1" applyAlignment="1">
      <alignment horizontal="center" vertical="center" wrapText="1"/>
    </xf>
    <xf numFmtId="0" fontId="19" fillId="5" borderId="12" xfId="2" applyFont="1" applyFill="1" applyBorder="1" applyAlignment="1">
      <alignment horizontal="center" vertical="center" wrapText="1"/>
    </xf>
    <xf numFmtId="0" fontId="19" fillId="5" borderId="12" xfId="2" applyFont="1" applyFill="1" applyBorder="1" applyAlignment="1">
      <alignment horizontal="left" vertical="center" wrapText="1"/>
    </xf>
    <xf numFmtId="0" fontId="14" fillId="5" borderId="12" xfId="2" applyFont="1" applyFill="1" applyBorder="1" applyAlignment="1">
      <alignment horizontal="center" vertical="center" wrapText="1"/>
    </xf>
    <xf numFmtId="18" fontId="14" fillId="5" borderId="12" xfId="2" applyNumberFormat="1" applyFont="1" applyFill="1" applyBorder="1" applyAlignment="1">
      <alignment horizontal="center" vertical="center" wrapText="1"/>
    </xf>
    <xf numFmtId="20" fontId="14" fillId="6" borderId="9" xfId="2" applyNumberFormat="1" applyFont="1" applyFill="1" applyBorder="1" applyAlignment="1">
      <alignment horizontal="center" vertical="center" wrapText="1"/>
    </xf>
    <xf numFmtId="0" fontId="19" fillId="5" borderId="20" xfId="2" applyFont="1" applyFill="1" applyBorder="1" applyAlignment="1">
      <alignment horizontal="center" vertical="center" wrapText="1"/>
    </xf>
    <xf numFmtId="0" fontId="19" fillId="5" borderId="20" xfId="2" applyFont="1" applyFill="1" applyBorder="1" applyAlignment="1">
      <alignment horizontal="left" vertical="center" wrapText="1"/>
    </xf>
    <xf numFmtId="0" fontId="14" fillId="5" borderId="20" xfId="2" applyFont="1" applyFill="1" applyBorder="1" applyAlignment="1">
      <alignment horizontal="center" vertical="center" wrapText="1"/>
    </xf>
    <xf numFmtId="18" fontId="14" fillId="5" borderId="20" xfId="2" applyNumberFormat="1" applyFont="1" applyFill="1" applyBorder="1" applyAlignment="1">
      <alignment horizontal="center" vertical="center" wrapText="1"/>
    </xf>
    <xf numFmtId="0" fontId="19" fillId="6" borderId="21" xfId="2" applyFont="1" applyFill="1" applyBorder="1" applyAlignment="1">
      <alignment horizontal="center" vertical="center" wrapText="1"/>
    </xf>
    <xf numFmtId="0" fontId="19" fillId="6" borderId="21" xfId="2" applyFont="1" applyFill="1" applyBorder="1" applyAlignment="1">
      <alignment horizontal="left" vertical="center" wrapText="1"/>
    </xf>
    <xf numFmtId="0" fontId="14" fillId="6" borderId="21" xfId="2" applyFont="1" applyFill="1" applyBorder="1" applyAlignment="1">
      <alignment horizontal="center" vertical="center" wrapText="1"/>
    </xf>
    <xf numFmtId="18" fontId="14" fillId="6" borderId="21" xfId="2" applyNumberFormat="1" applyFont="1" applyFill="1" applyBorder="1" applyAlignment="1">
      <alignment horizontal="center" vertical="center" wrapText="1"/>
    </xf>
    <xf numFmtId="0" fontId="19" fillId="5" borderId="13" xfId="2" applyFont="1" applyFill="1" applyBorder="1" applyAlignment="1">
      <alignment horizontal="center" vertical="center" wrapText="1"/>
    </xf>
    <xf numFmtId="0" fontId="19" fillId="5" borderId="13" xfId="2" applyFont="1" applyFill="1" applyBorder="1" applyAlignment="1">
      <alignment horizontal="left" vertical="center" wrapText="1"/>
    </xf>
    <xf numFmtId="0" fontId="14" fillId="5" borderId="13" xfId="2" applyFont="1" applyFill="1" applyBorder="1" applyAlignment="1">
      <alignment horizontal="center" vertical="center" wrapText="1"/>
    </xf>
    <xf numFmtId="18" fontId="14" fillId="5" borderId="13" xfId="2" applyNumberFormat="1" applyFont="1" applyFill="1" applyBorder="1" applyAlignment="1">
      <alignment horizontal="center" vertical="center" wrapText="1"/>
    </xf>
    <xf numFmtId="0" fontId="18" fillId="6" borderId="19" xfId="2" applyFont="1" applyFill="1" applyBorder="1" applyAlignment="1">
      <alignment horizontal="center" vertical="center" wrapText="1"/>
    </xf>
    <xf numFmtId="0" fontId="19" fillId="6" borderId="19" xfId="2" applyFont="1" applyFill="1" applyBorder="1" applyAlignment="1">
      <alignment horizontal="center" vertical="center" wrapText="1"/>
    </xf>
    <xf numFmtId="0" fontId="19" fillId="6" borderId="19" xfId="2" applyFont="1" applyFill="1" applyBorder="1" applyAlignment="1">
      <alignment horizontal="left" vertical="center" wrapText="1"/>
    </xf>
    <xf numFmtId="0" fontId="14" fillId="6" borderId="19" xfId="2" applyFont="1" applyFill="1" applyBorder="1" applyAlignment="1">
      <alignment horizontal="center" vertical="center" wrapText="1"/>
    </xf>
    <xf numFmtId="18" fontId="14" fillId="6" borderId="19" xfId="2" applyNumberFormat="1" applyFont="1" applyFill="1" applyBorder="1" applyAlignment="1">
      <alignment horizontal="center" vertical="center" wrapText="1"/>
    </xf>
    <xf numFmtId="0" fontId="19" fillId="5" borderId="21" xfId="2" applyFont="1" applyFill="1" applyBorder="1" applyAlignment="1">
      <alignment horizontal="center" vertical="center" wrapText="1"/>
    </xf>
    <xf numFmtId="0" fontId="19" fillId="5" borderId="21" xfId="2" applyFont="1" applyFill="1" applyBorder="1" applyAlignment="1">
      <alignment horizontal="left" vertical="center" wrapText="1"/>
    </xf>
    <xf numFmtId="0" fontId="14" fillId="5" borderId="21" xfId="2" applyFont="1" applyFill="1" applyBorder="1" applyAlignment="1">
      <alignment horizontal="center" vertical="center" wrapText="1"/>
    </xf>
    <xf numFmtId="18" fontId="14" fillId="5" borderId="21" xfId="2" applyNumberFormat="1" applyFont="1" applyFill="1" applyBorder="1" applyAlignment="1">
      <alignment horizontal="center" vertical="center" wrapText="1"/>
    </xf>
    <xf numFmtId="0" fontId="18" fillId="5" borderId="10" xfId="2" applyFont="1" applyFill="1" applyBorder="1" applyAlignment="1">
      <alignment horizontal="center" vertical="center" wrapText="1"/>
    </xf>
    <xf numFmtId="0" fontId="19" fillId="5" borderId="10" xfId="2" applyFont="1" applyFill="1" applyBorder="1" applyAlignment="1">
      <alignment horizontal="center" vertical="center" wrapText="1"/>
    </xf>
    <xf numFmtId="0" fontId="19" fillId="5" borderId="10" xfId="2" applyFont="1" applyFill="1" applyBorder="1" applyAlignment="1">
      <alignment horizontal="left" vertical="center" wrapText="1"/>
    </xf>
    <xf numFmtId="18" fontId="14" fillId="5" borderId="10" xfId="2" applyNumberFormat="1" applyFont="1" applyFill="1" applyBorder="1" applyAlignment="1">
      <alignment horizontal="center" vertical="center" wrapText="1"/>
    </xf>
    <xf numFmtId="20" fontId="14" fillId="6" borderId="15" xfId="2" applyNumberFormat="1" applyFont="1" applyFill="1" applyBorder="1" applyAlignment="1">
      <alignment horizontal="center" vertical="center" wrapText="1"/>
    </xf>
    <xf numFmtId="0" fontId="18" fillId="0" borderId="12" xfId="2" applyFont="1" applyFill="1" applyBorder="1" applyAlignment="1">
      <alignment horizontal="center" vertical="center" wrapText="1"/>
    </xf>
    <xf numFmtId="0" fontId="18" fillId="0" borderId="1" xfId="1" applyFont="1" applyAlignment="1">
      <alignment horizontal="center" vertical="center" wrapText="1"/>
    </xf>
    <xf numFmtId="0" fontId="20" fillId="0" borderId="1" xfId="2" applyFont="1" applyAlignment="1">
      <alignment horizontal="center" vertical="center" wrapText="1"/>
    </xf>
    <xf numFmtId="0" fontId="20" fillId="6" borderId="1" xfId="2" applyFont="1" applyFill="1" applyAlignment="1">
      <alignment horizontal="center" vertical="center" wrapText="1"/>
    </xf>
    <xf numFmtId="0" fontId="20" fillId="0" borderId="1" xfId="2" applyFont="1" applyAlignment="1">
      <alignment horizontal="left" vertical="center" wrapText="1"/>
    </xf>
    <xf numFmtId="0" fontId="19" fillId="0" borderId="1" xfId="2" applyFont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9" fillId="0" borderId="1" xfId="1" applyFont="1" applyAlignment="1">
      <alignment horizontal="center" vertical="center" textRotation="90" wrapText="1"/>
    </xf>
    <xf numFmtId="0" fontId="11" fillId="0" borderId="1" xfId="1" applyFont="1" applyAlignment="1">
      <alignment horizontal="center" vertical="center" textRotation="90" wrapText="1"/>
    </xf>
    <xf numFmtId="0" fontId="1" fillId="0" borderId="1" xfId="3"/>
    <xf numFmtId="0" fontId="21" fillId="0" borderId="1" xfId="3" applyFont="1" applyAlignment="1">
      <alignment horizontal="right" vertical="center"/>
    </xf>
    <xf numFmtId="0" fontId="21" fillId="0" borderId="1" xfId="3" applyFont="1" applyAlignment="1">
      <alignment vertical="center"/>
    </xf>
    <xf numFmtId="0" fontId="21" fillId="0" borderId="1" xfId="3" applyFont="1" applyBorder="1" applyAlignment="1">
      <alignment horizontal="right" vertical="center"/>
    </xf>
    <xf numFmtId="0" fontId="21" fillId="0" borderId="1" xfId="3" applyFont="1" applyBorder="1" applyAlignment="1">
      <alignment vertical="center"/>
    </xf>
    <xf numFmtId="0" fontId="1" fillId="0" borderId="1" xfId="3" applyAlignment="1">
      <alignment horizontal="center"/>
    </xf>
    <xf numFmtId="0" fontId="1" fillId="0" borderId="9" xfId="3" applyBorder="1" applyAlignment="1">
      <alignment horizontal="center"/>
    </xf>
    <xf numFmtId="0" fontId="1" fillId="0" borderId="9" xfId="3" applyBorder="1"/>
    <xf numFmtId="0" fontId="1" fillId="7" borderId="9" xfId="3" applyFill="1" applyBorder="1" applyAlignment="1">
      <alignment horizontal="center"/>
    </xf>
    <xf numFmtId="0" fontId="1" fillId="0" borderId="9" xfId="3" applyBorder="1" applyAlignment="1">
      <alignment horizontal="left"/>
    </xf>
    <xf numFmtId="0" fontId="24" fillId="0" borderId="9" xfId="3" applyFont="1" applyBorder="1" applyAlignment="1">
      <alignment horizontal="left"/>
    </xf>
    <xf numFmtId="0" fontId="1" fillId="0" borderId="9" xfId="3" applyBorder="1" applyAlignment="1">
      <alignment wrapText="1"/>
    </xf>
    <xf numFmtId="0" fontId="24" fillId="7" borderId="9" xfId="3" applyFont="1" applyFill="1" applyBorder="1" applyAlignment="1"/>
    <xf numFmtId="0" fontId="1" fillId="7" borderId="9" xfId="3" applyFill="1" applyBorder="1"/>
    <xf numFmtId="0" fontId="22" fillId="0" borderId="9" xfId="3" applyFont="1" applyBorder="1" applyAlignment="1">
      <alignment horizontal="center"/>
    </xf>
    <xf numFmtId="0" fontId="1" fillId="0" borderId="9" xfId="3" applyBorder="1" applyAlignment="1">
      <alignment horizontal="center"/>
    </xf>
    <xf numFmtId="0" fontId="23" fillId="0" borderId="9" xfId="3" applyFont="1" applyBorder="1" applyAlignment="1">
      <alignment horizontal="center" vertical="center"/>
    </xf>
    <xf numFmtId="0" fontId="12" fillId="0" borderId="1" xfId="2" applyFont="1" applyFill="1" applyAlignment="1">
      <alignment horizontal="center" vertical="center" wrapText="1"/>
    </xf>
    <xf numFmtId="0" fontId="13" fillId="0" borderId="1" xfId="2" applyFont="1" applyFill="1" applyAlignment="1">
      <alignment horizontal="right" vertical="center" wrapText="1"/>
    </xf>
    <xf numFmtId="0" fontId="15" fillId="5" borderId="9" xfId="2" applyFont="1" applyFill="1" applyBorder="1" applyAlignment="1">
      <alignment horizontal="center" vertical="center" wrapText="1"/>
    </xf>
    <xf numFmtId="0" fontId="15" fillId="5" borderId="10" xfId="2" applyFont="1" applyFill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5" fillId="0" borderId="10" xfId="2" applyFont="1" applyBorder="1" applyAlignment="1">
      <alignment horizontal="center" vertical="center" wrapText="1"/>
    </xf>
    <xf numFmtId="0" fontId="17" fillId="5" borderId="11" xfId="1" applyFont="1" applyFill="1" applyBorder="1" applyAlignment="1">
      <alignment horizontal="center" vertical="center" textRotation="90" wrapText="1"/>
    </xf>
    <xf numFmtId="0" fontId="17" fillId="5" borderId="14" xfId="1" applyFont="1" applyFill="1" applyBorder="1" applyAlignment="1">
      <alignment horizontal="center" vertical="center" textRotation="90" wrapText="1"/>
    </xf>
    <xf numFmtId="0" fontId="17" fillId="5" borderId="17" xfId="1" applyFont="1" applyFill="1" applyBorder="1" applyAlignment="1">
      <alignment horizontal="center" vertical="center" textRotation="90" wrapText="1"/>
    </xf>
    <xf numFmtId="0" fontId="18" fillId="6" borderId="12" xfId="2" applyFont="1" applyFill="1" applyBorder="1" applyAlignment="1">
      <alignment horizontal="center" vertical="center" wrapText="1"/>
    </xf>
    <xf numFmtId="0" fontId="18" fillId="6" borderId="9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19" fillId="6" borderId="9" xfId="2" applyFont="1" applyFill="1" applyBorder="1" applyAlignment="1">
      <alignment horizontal="center" vertical="center" wrapText="1"/>
    </xf>
    <xf numFmtId="0" fontId="18" fillId="0" borderId="16" xfId="2" applyFont="1" applyFill="1" applyBorder="1" applyAlignment="1">
      <alignment horizontal="center" vertical="center" wrapText="1"/>
    </xf>
    <xf numFmtId="0" fontId="18" fillId="0" borderId="15" xfId="2" applyFont="1" applyFill="1" applyBorder="1" applyAlignment="1">
      <alignment horizontal="center" vertical="center" wrapText="1"/>
    </xf>
    <xf numFmtId="0" fontId="19" fillId="5" borderId="16" xfId="2" applyFont="1" applyFill="1" applyBorder="1" applyAlignment="1">
      <alignment horizontal="center" vertical="center" wrapText="1"/>
    </xf>
    <xf numFmtId="0" fontId="19" fillId="5" borderId="15" xfId="2" applyFont="1" applyFill="1" applyBorder="1" applyAlignment="1">
      <alignment horizontal="center" vertical="center" wrapText="1"/>
    </xf>
    <xf numFmtId="0" fontId="18" fillId="6" borderId="16" xfId="2" applyFont="1" applyFill="1" applyBorder="1" applyAlignment="1">
      <alignment horizontal="center" vertical="center" wrapText="1"/>
    </xf>
    <xf numFmtId="0" fontId="18" fillId="6" borderId="15" xfId="2" applyFont="1" applyFill="1" applyBorder="1" applyAlignment="1">
      <alignment horizontal="center" vertical="center" wrapText="1"/>
    </xf>
    <xf numFmtId="0" fontId="19" fillId="6" borderId="16" xfId="2" applyFont="1" applyFill="1" applyBorder="1" applyAlignment="1">
      <alignment horizontal="center" vertical="center" wrapText="1"/>
    </xf>
    <xf numFmtId="0" fontId="19" fillId="6" borderId="15" xfId="2" applyFont="1" applyFill="1" applyBorder="1" applyAlignment="1">
      <alignment horizontal="center" vertical="center" wrapText="1"/>
    </xf>
    <xf numFmtId="0" fontId="18" fillId="0" borderId="20" xfId="2" applyFont="1" applyFill="1" applyBorder="1" applyAlignment="1">
      <alignment horizontal="center" vertical="center" wrapText="1"/>
    </xf>
    <xf numFmtId="0" fontId="19" fillId="5" borderId="20" xfId="2" applyFont="1" applyFill="1" applyBorder="1" applyAlignment="1">
      <alignment horizontal="center" vertical="center" wrapText="1"/>
    </xf>
    <xf numFmtId="0" fontId="18" fillId="6" borderId="21" xfId="2" applyFont="1" applyFill="1" applyBorder="1" applyAlignment="1">
      <alignment horizontal="center" vertical="center" wrapText="1"/>
    </xf>
    <xf numFmtId="0" fontId="19" fillId="6" borderId="16" xfId="1" applyFont="1" applyFill="1" applyBorder="1" applyAlignment="1">
      <alignment horizontal="center" vertical="center" wrapText="1"/>
    </xf>
    <xf numFmtId="0" fontId="19" fillId="6" borderId="21" xfId="1" applyFont="1" applyFill="1" applyBorder="1" applyAlignment="1">
      <alignment horizontal="center" vertical="center" wrapText="1"/>
    </xf>
    <xf numFmtId="0" fontId="17" fillId="5" borderId="11" xfId="2" applyFont="1" applyFill="1" applyBorder="1" applyAlignment="1">
      <alignment horizontal="center" vertical="center" textRotation="90" wrapText="1"/>
    </xf>
    <xf numFmtId="0" fontId="17" fillId="5" borderId="14" xfId="2" applyFont="1" applyFill="1" applyBorder="1" applyAlignment="1">
      <alignment horizontal="center" vertical="center" textRotation="90" wrapText="1"/>
    </xf>
    <xf numFmtId="0" fontId="17" fillId="5" borderId="17" xfId="2" applyFont="1" applyFill="1" applyBorder="1" applyAlignment="1">
      <alignment horizontal="center" vertical="center" textRotation="90" wrapText="1"/>
    </xf>
    <xf numFmtId="0" fontId="18" fillId="0" borderId="21" xfId="2" applyFont="1" applyFill="1" applyBorder="1" applyAlignment="1">
      <alignment horizontal="center" vertical="center" wrapText="1"/>
    </xf>
    <xf numFmtId="0" fontId="19" fillId="5" borderId="21" xfId="2" applyFont="1" applyFill="1" applyBorder="1" applyAlignment="1">
      <alignment horizontal="center" vertical="center" wrapText="1"/>
    </xf>
    <xf numFmtId="0" fontId="18" fillId="5" borderId="13" xfId="2" applyFont="1" applyFill="1" applyBorder="1" applyAlignment="1">
      <alignment horizontal="center" vertical="center" wrapText="1"/>
    </xf>
    <xf numFmtId="0" fontId="18" fillId="5" borderId="15" xfId="2" applyFont="1" applyFill="1" applyBorder="1" applyAlignment="1">
      <alignment horizontal="center" vertical="center" wrapText="1"/>
    </xf>
    <xf numFmtId="0" fontId="19" fillId="5" borderId="13" xfId="2" applyFont="1" applyFill="1" applyBorder="1" applyAlignment="1">
      <alignment horizontal="center" vertical="center" wrapText="1"/>
    </xf>
    <xf numFmtId="0" fontId="19" fillId="6" borderId="15" xfId="1" applyFont="1" applyFill="1" applyBorder="1" applyAlignment="1">
      <alignment horizontal="center" vertical="center" wrapText="1"/>
    </xf>
    <xf numFmtId="0" fontId="18" fillId="5" borderId="16" xfId="2" applyFont="1" applyFill="1" applyBorder="1" applyAlignment="1">
      <alignment horizontal="center" vertical="center" wrapText="1"/>
    </xf>
    <xf numFmtId="0" fontId="18" fillId="5" borderId="21" xfId="2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161925</xdr:rowOff>
    </xdr:from>
    <xdr:ext cx="1104900" cy="542925"/>
    <xdr:pic>
      <xdr:nvPicPr>
        <xdr:cNvPr id="2" name="image1.png" descr="LOGO ieem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114301</xdr:rowOff>
    </xdr:from>
    <xdr:to>
      <xdr:col>1</xdr:col>
      <xdr:colOff>1428750</xdr:colOff>
      <xdr:row>4</xdr:row>
      <xdr:rowOff>136674</xdr:rowOff>
    </xdr:to>
    <xdr:pic>
      <xdr:nvPicPr>
        <xdr:cNvPr id="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85725</xdr:colOff>
      <xdr:row>29</xdr:row>
      <xdr:rowOff>114301</xdr:rowOff>
    </xdr:from>
    <xdr:ext cx="1685925" cy="812948"/>
    <xdr:pic>
      <xdr:nvPicPr>
        <xdr:cNvPr id="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3246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54</xdr:row>
      <xdr:rowOff>114301</xdr:rowOff>
    </xdr:from>
    <xdr:ext cx="1685925" cy="812948"/>
    <xdr:pic>
      <xdr:nvPicPr>
        <xdr:cNvPr id="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5062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57150</xdr:colOff>
      <xdr:row>85</xdr:row>
      <xdr:rowOff>57151</xdr:rowOff>
    </xdr:from>
    <xdr:ext cx="1685925" cy="812948"/>
    <xdr:pic>
      <xdr:nvPicPr>
        <xdr:cNvPr id="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79927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110</xdr:row>
      <xdr:rowOff>114301</xdr:rowOff>
    </xdr:from>
    <xdr:ext cx="1685925" cy="812948"/>
    <xdr:pic>
      <xdr:nvPicPr>
        <xdr:cNvPr id="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32314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136</xdr:row>
      <xdr:rowOff>114301</xdr:rowOff>
    </xdr:from>
    <xdr:ext cx="1685925" cy="812948"/>
    <xdr:pic>
      <xdr:nvPicPr>
        <xdr:cNvPr id="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7940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164</xdr:row>
      <xdr:rowOff>114301</xdr:rowOff>
    </xdr:from>
    <xdr:ext cx="1685925" cy="812948"/>
    <xdr:pic>
      <xdr:nvPicPr>
        <xdr:cNvPr id="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47376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194</xdr:row>
      <xdr:rowOff>114301</xdr:rowOff>
    </xdr:from>
    <xdr:ext cx="1685925" cy="812948"/>
    <xdr:pic>
      <xdr:nvPicPr>
        <xdr:cNvPr id="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11099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225</xdr:row>
      <xdr:rowOff>114301</xdr:rowOff>
    </xdr:from>
    <xdr:ext cx="1685925" cy="812948"/>
    <xdr:pic>
      <xdr:nvPicPr>
        <xdr:cNvPr id="1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535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256</xdr:row>
      <xdr:rowOff>114301</xdr:rowOff>
    </xdr:from>
    <xdr:ext cx="1685925" cy="812948"/>
    <xdr:pic>
      <xdr:nvPicPr>
        <xdr:cNvPr id="1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42067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282</xdr:row>
      <xdr:rowOff>114301</xdr:rowOff>
    </xdr:from>
    <xdr:ext cx="1685925" cy="812948"/>
    <xdr:pic>
      <xdr:nvPicPr>
        <xdr:cNvPr id="1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97693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308</xdr:row>
      <xdr:rowOff>114301</xdr:rowOff>
    </xdr:from>
    <xdr:ext cx="1685925" cy="812948"/>
    <xdr:pic>
      <xdr:nvPicPr>
        <xdr:cNvPr id="1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5322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334</xdr:row>
      <xdr:rowOff>114301</xdr:rowOff>
    </xdr:from>
    <xdr:ext cx="1685925" cy="812948"/>
    <xdr:pic>
      <xdr:nvPicPr>
        <xdr:cNvPr id="1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08755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362</xdr:row>
      <xdr:rowOff>114301</xdr:rowOff>
    </xdr:from>
    <xdr:ext cx="1685925" cy="812948"/>
    <xdr:pic>
      <xdr:nvPicPr>
        <xdr:cNvPr id="1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8096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387</xdr:row>
      <xdr:rowOff>114301</xdr:rowOff>
    </xdr:from>
    <xdr:ext cx="1685925" cy="812948"/>
    <xdr:pic>
      <xdr:nvPicPr>
        <xdr:cNvPr id="1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19721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414</xdr:row>
      <xdr:rowOff>114301</xdr:rowOff>
    </xdr:from>
    <xdr:ext cx="1685925" cy="812948"/>
    <xdr:pic>
      <xdr:nvPicPr>
        <xdr:cNvPr id="1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77157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442</xdr:row>
      <xdr:rowOff>114301</xdr:rowOff>
    </xdr:from>
    <xdr:ext cx="1685925" cy="812948"/>
    <xdr:pic>
      <xdr:nvPicPr>
        <xdr:cNvPr id="1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36593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470</xdr:row>
      <xdr:rowOff>114301</xdr:rowOff>
    </xdr:from>
    <xdr:ext cx="1685925" cy="812948"/>
    <xdr:pic>
      <xdr:nvPicPr>
        <xdr:cNvPr id="1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96029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496</xdr:row>
      <xdr:rowOff>114301</xdr:rowOff>
    </xdr:from>
    <xdr:ext cx="1685925" cy="812948"/>
    <xdr:pic>
      <xdr:nvPicPr>
        <xdr:cNvPr id="2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9655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524</xdr:row>
      <xdr:rowOff>114301</xdr:rowOff>
    </xdr:from>
    <xdr:ext cx="1685925" cy="812948"/>
    <xdr:pic>
      <xdr:nvPicPr>
        <xdr:cNvPr id="2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09091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551</xdr:row>
      <xdr:rowOff>114301</xdr:rowOff>
    </xdr:from>
    <xdr:ext cx="1685925" cy="812948"/>
    <xdr:pic>
      <xdr:nvPicPr>
        <xdr:cNvPr id="2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66526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578</xdr:row>
      <xdr:rowOff>114301</xdr:rowOff>
    </xdr:from>
    <xdr:ext cx="1685925" cy="812948"/>
    <xdr:pic>
      <xdr:nvPicPr>
        <xdr:cNvPr id="2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23962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604</xdr:row>
      <xdr:rowOff>114301</xdr:rowOff>
    </xdr:from>
    <xdr:ext cx="1685925" cy="812948"/>
    <xdr:pic>
      <xdr:nvPicPr>
        <xdr:cNvPr id="2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9493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632</xdr:row>
      <xdr:rowOff>114301</xdr:rowOff>
    </xdr:from>
    <xdr:ext cx="1685925" cy="812948"/>
    <xdr:pic>
      <xdr:nvPicPr>
        <xdr:cNvPr id="2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38929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</xdr:colOff>
      <xdr:row>0</xdr:row>
      <xdr:rowOff>0</xdr:rowOff>
    </xdr:from>
    <xdr:to>
      <xdr:col>7</xdr:col>
      <xdr:colOff>8283</xdr:colOff>
      <xdr:row>2</xdr:row>
      <xdr:rowOff>16882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" y="0"/>
          <a:ext cx="7230719" cy="1340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72\Archivos\JUNTAS%20DISTRITALES\Juntas%20Distrit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. Envio"/>
      <sheetName val="Hoja4"/>
      <sheetName val="Salid. Entrad. y Rep."/>
      <sheetName val="Extras 20-05-2024"/>
      <sheetName val="Hoja3"/>
      <sheetName val="Hoja2"/>
      <sheetName val="Art. Extras"/>
      <sheetName val="Cajas"/>
      <sheetName val="BD"/>
      <sheetName val="BASE"/>
      <sheetName val="Hoja1"/>
      <sheetName val="Actividades C.U"/>
      <sheetName val="J. Distri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CLAVE</v>
          </cell>
          <cell r="D1" t="str">
            <v>DISTRITO</v>
          </cell>
        </row>
        <row r="2">
          <cell r="C2">
            <v>6001</v>
          </cell>
          <cell r="D2" t="str">
            <v>Chalco de Diaz Covarrubias</v>
          </cell>
        </row>
        <row r="3">
          <cell r="C3">
            <v>6001</v>
          </cell>
          <cell r="D3" t="str">
            <v>Chalco de Diaz Covarrubias</v>
          </cell>
        </row>
        <row r="4">
          <cell r="C4">
            <v>6001</v>
          </cell>
          <cell r="D4" t="str">
            <v>Chalco de Diaz Covarrubias</v>
          </cell>
        </row>
        <row r="5">
          <cell r="C5">
            <v>6001</v>
          </cell>
          <cell r="D5" t="str">
            <v>Chalco de Diaz Covarrubias</v>
          </cell>
        </row>
        <row r="6">
          <cell r="C6">
            <v>6001</v>
          </cell>
          <cell r="D6" t="str">
            <v>Chalco de Diaz Covarrubias</v>
          </cell>
        </row>
        <row r="7">
          <cell r="C7">
            <v>6001</v>
          </cell>
          <cell r="D7" t="str">
            <v>Chalco de Diaz Covarrubias</v>
          </cell>
        </row>
        <row r="8">
          <cell r="C8">
            <v>6001</v>
          </cell>
          <cell r="D8" t="str">
            <v>Chalco de Diaz Covarrubias</v>
          </cell>
        </row>
        <row r="9">
          <cell r="C9">
            <v>6001</v>
          </cell>
          <cell r="D9" t="str">
            <v>Chalco de Diaz Covarrubias</v>
          </cell>
        </row>
        <row r="10">
          <cell r="C10">
            <v>6001</v>
          </cell>
          <cell r="D10" t="str">
            <v>Chalco de Diaz Covarrubias</v>
          </cell>
        </row>
        <row r="11">
          <cell r="C11">
            <v>6001</v>
          </cell>
          <cell r="D11" t="str">
            <v>Chalco de Diaz Covarrubias</v>
          </cell>
        </row>
        <row r="12">
          <cell r="C12">
            <v>6001</v>
          </cell>
          <cell r="D12" t="str">
            <v>Chalco de Diaz Covarrubias</v>
          </cell>
        </row>
        <row r="13">
          <cell r="C13">
            <v>6001</v>
          </cell>
          <cell r="D13" t="str">
            <v>Chalco de Diaz Covarrubias</v>
          </cell>
        </row>
        <row r="14">
          <cell r="C14">
            <v>6001</v>
          </cell>
          <cell r="D14" t="str">
            <v>Chalco de Diaz Covarrubias</v>
          </cell>
        </row>
        <row r="15">
          <cell r="C15">
            <v>6002</v>
          </cell>
          <cell r="D15" t="str">
            <v>Toluca de Lerdo</v>
          </cell>
        </row>
        <row r="16">
          <cell r="C16">
            <v>6002</v>
          </cell>
          <cell r="D16" t="str">
            <v>Toluca de Lerdo</v>
          </cell>
        </row>
        <row r="17">
          <cell r="C17">
            <v>6002</v>
          </cell>
          <cell r="D17" t="str">
            <v>Toluca de Lerdo</v>
          </cell>
        </row>
        <row r="18">
          <cell r="C18">
            <v>6002</v>
          </cell>
          <cell r="D18" t="str">
            <v>Toluca de Lerdo</v>
          </cell>
        </row>
        <row r="19">
          <cell r="C19">
            <v>6002</v>
          </cell>
          <cell r="D19" t="str">
            <v>Toluca de Lerdo</v>
          </cell>
        </row>
        <row r="20">
          <cell r="C20">
            <v>6002</v>
          </cell>
          <cell r="D20" t="str">
            <v>Toluca de Lerdo</v>
          </cell>
        </row>
        <row r="21">
          <cell r="C21">
            <v>6002</v>
          </cell>
          <cell r="D21" t="str">
            <v>Toluca de Lerdo</v>
          </cell>
        </row>
        <row r="22">
          <cell r="C22">
            <v>6002</v>
          </cell>
          <cell r="D22" t="str">
            <v>Toluca de Lerdo</v>
          </cell>
        </row>
        <row r="23">
          <cell r="C23">
            <v>6002</v>
          </cell>
          <cell r="D23" t="str">
            <v>Toluca de Lerdo</v>
          </cell>
        </row>
        <row r="24">
          <cell r="C24">
            <v>6002</v>
          </cell>
          <cell r="D24" t="str">
            <v>Toluca de Lerdo</v>
          </cell>
        </row>
        <row r="25">
          <cell r="C25">
            <v>6002</v>
          </cell>
          <cell r="D25" t="str">
            <v>Toluca de Lerdo</v>
          </cell>
        </row>
        <row r="26">
          <cell r="C26">
            <v>6002</v>
          </cell>
          <cell r="D26" t="str">
            <v>Toluca de Lerdo</v>
          </cell>
        </row>
        <row r="27">
          <cell r="C27">
            <v>6003</v>
          </cell>
          <cell r="D27" t="str">
            <v>Chimaihuacan</v>
          </cell>
        </row>
        <row r="28">
          <cell r="C28">
            <v>6003</v>
          </cell>
          <cell r="D28" t="str">
            <v>Chimaihuacan</v>
          </cell>
        </row>
        <row r="29">
          <cell r="C29">
            <v>6003</v>
          </cell>
          <cell r="D29" t="str">
            <v>Chimaihuacan</v>
          </cell>
        </row>
        <row r="30">
          <cell r="C30">
            <v>6003</v>
          </cell>
          <cell r="D30" t="str">
            <v>Chimaihuacan</v>
          </cell>
        </row>
        <row r="31">
          <cell r="C31">
            <v>6003</v>
          </cell>
          <cell r="D31" t="str">
            <v>Chimaihuacan</v>
          </cell>
        </row>
        <row r="32">
          <cell r="C32">
            <v>6003</v>
          </cell>
          <cell r="D32" t="str">
            <v>Chimaihuacan</v>
          </cell>
        </row>
        <row r="33">
          <cell r="C33">
            <v>6003</v>
          </cell>
          <cell r="D33" t="str">
            <v>Chimaihuacan</v>
          </cell>
        </row>
        <row r="34">
          <cell r="C34">
            <v>6003</v>
          </cell>
          <cell r="D34" t="str">
            <v>Chimaihuacan</v>
          </cell>
        </row>
        <row r="35">
          <cell r="C35">
            <v>6003</v>
          </cell>
          <cell r="D35" t="str">
            <v>Chimaihuacan</v>
          </cell>
        </row>
        <row r="36">
          <cell r="C36">
            <v>6003</v>
          </cell>
          <cell r="D36" t="str">
            <v>Chimaihuacan</v>
          </cell>
        </row>
        <row r="37">
          <cell r="C37">
            <v>6003</v>
          </cell>
          <cell r="D37" t="str">
            <v>Chimaihuacan</v>
          </cell>
        </row>
        <row r="38">
          <cell r="C38">
            <v>6003</v>
          </cell>
          <cell r="D38" t="str">
            <v>Chimaihuacan</v>
          </cell>
        </row>
        <row r="39">
          <cell r="C39">
            <v>6003</v>
          </cell>
          <cell r="D39" t="str">
            <v>Chimaihuacan</v>
          </cell>
        </row>
        <row r="40">
          <cell r="C40">
            <v>6003</v>
          </cell>
          <cell r="D40" t="str">
            <v>Chimaihuacan</v>
          </cell>
        </row>
        <row r="41">
          <cell r="C41">
            <v>6003</v>
          </cell>
          <cell r="D41" t="str">
            <v>Chimaihuacan</v>
          </cell>
        </row>
        <row r="42">
          <cell r="C42">
            <v>6003</v>
          </cell>
          <cell r="D42" t="str">
            <v>Chimaihuacan</v>
          </cell>
        </row>
        <row r="43">
          <cell r="C43">
            <v>6003</v>
          </cell>
          <cell r="D43" t="str">
            <v>Chimaihuacan</v>
          </cell>
        </row>
        <row r="44">
          <cell r="C44">
            <v>6004</v>
          </cell>
          <cell r="D44" t="str">
            <v>Lerma de Villada</v>
          </cell>
        </row>
        <row r="45">
          <cell r="C45">
            <v>6004</v>
          </cell>
          <cell r="D45" t="str">
            <v>Lerma de Villada</v>
          </cell>
        </row>
        <row r="46">
          <cell r="C46">
            <v>6004</v>
          </cell>
          <cell r="D46" t="str">
            <v>Lerma de Villada</v>
          </cell>
        </row>
        <row r="47">
          <cell r="C47">
            <v>6004</v>
          </cell>
          <cell r="D47" t="str">
            <v>Lerma de Villada</v>
          </cell>
        </row>
        <row r="48">
          <cell r="C48">
            <v>6004</v>
          </cell>
          <cell r="D48" t="str">
            <v>Lerma de Villada</v>
          </cell>
        </row>
        <row r="49">
          <cell r="C49">
            <v>6004</v>
          </cell>
          <cell r="D49" t="str">
            <v>Lerma de Villada</v>
          </cell>
        </row>
        <row r="50">
          <cell r="C50">
            <v>6004</v>
          </cell>
          <cell r="D50" t="str">
            <v>Lerma de Villada</v>
          </cell>
        </row>
        <row r="51">
          <cell r="C51">
            <v>6004</v>
          </cell>
          <cell r="D51" t="str">
            <v>Lerma de Villada</v>
          </cell>
        </row>
        <row r="52">
          <cell r="C52">
            <v>6004</v>
          </cell>
          <cell r="D52" t="str">
            <v>Lerma de Villada</v>
          </cell>
        </row>
        <row r="53">
          <cell r="C53">
            <v>6004</v>
          </cell>
          <cell r="D53" t="str">
            <v>Lerma de Villada</v>
          </cell>
        </row>
        <row r="54">
          <cell r="C54">
            <v>6004</v>
          </cell>
          <cell r="D54" t="str">
            <v>Lerma de Villada</v>
          </cell>
        </row>
        <row r="55">
          <cell r="C55">
            <v>6004</v>
          </cell>
          <cell r="D55" t="str">
            <v>Lerma de Villada</v>
          </cell>
        </row>
        <row r="56">
          <cell r="C56">
            <v>6005</v>
          </cell>
          <cell r="D56" t="str">
            <v>Chimalhuacan</v>
          </cell>
        </row>
        <row r="57">
          <cell r="C57">
            <v>6005</v>
          </cell>
          <cell r="D57" t="str">
            <v>Chimalhuacan</v>
          </cell>
        </row>
        <row r="58">
          <cell r="C58">
            <v>6005</v>
          </cell>
          <cell r="D58" t="str">
            <v>Chimalhuacan</v>
          </cell>
        </row>
        <row r="59">
          <cell r="C59">
            <v>6005</v>
          </cell>
          <cell r="D59" t="str">
            <v>Chimalhuacan</v>
          </cell>
        </row>
        <row r="60">
          <cell r="C60">
            <v>6005</v>
          </cell>
          <cell r="D60" t="str">
            <v>Chimalhuacan</v>
          </cell>
        </row>
        <row r="61">
          <cell r="C61">
            <v>6005</v>
          </cell>
          <cell r="D61" t="str">
            <v>Chimalhuacan</v>
          </cell>
        </row>
        <row r="62">
          <cell r="C62">
            <v>6005</v>
          </cell>
          <cell r="D62" t="str">
            <v>Chimalhuacan</v>
          </cell>
        </row>
        <row r="63">
          <cell r="C63">
            <v>6005</v>
          </cell>
          <cell r="D63" t="str">
            <v>Chimalhuacan</v>
          </cell>
        </row>
        <row r="64">
          <cell r="C64">
            <v>6005</v>
          </cell>
          <cell r="D64" t="str">
            <v>Chimalhuacan</v>
          </cell>
        </row>
        <row r="65">
          <cell r="C65">
            <v>6005</v>
          </cell>
          <cell r="D65" t="str">
            <v>Chimalhuacan</v>
          </cell>
        </row>
        <row r="66">
          <cell r="C66">
            <v>6005</v>
          </cell>
          <cell r="D66" t="str">
            <v>Chimalhuacan</v>
          </cell>
        </row>
        <row r="67">
          <cell r="C67">
            <v>6005</v>
          </cell>
          <cell r="D67" t="str">
            <v>Chimalhuacan</v>
          </cell>
        </row>
        <row r="68">
          <cell r="C68">
            <v>6005</v>
          </cell>
          <cell r="D68" t="str">
            <v>Chimalhuacan</v>
          </cell>
        </row>
        <row r="69">
          <cell r="C69">
            <v>6006</v>
          </cell>
          <cell r="D69" t="str">
            <v>Ecatepec de Morelos</v>
          </cell>
        </row>
        <row r="70">
          <cell r="C70">
            <v>6006</v>
          </cell>
          <cell r="D70" t="str">
            <v>Ecatepec de Morelos</v>
          </cell>
        </row>
        <row r="71">
          <cell r="C71">
            <v>6006</v>
          </cell>
          <cell r="D71" t="str">
            <v>Ecatepec de Morelos</v>
          </cell>
        </row>
        <row r="72">
          <cell r="C72">
            <v>6006</v>
          </cell>
          <cell r="D72" t="str">
            <v>Ecatepec de Morelos</v>
          </cell>
        </row>
        <row r="73">
          <cell r="C73">
            <v>6006</v>
          </cell>
          <cell r="D73" t="str">
            <v>Ecatepec de Morelos</v>
          </cell>
        </row>
        <row r="74">
          <cell r="C74">
            <v>6006</v>
          </cell>
          <cell r="D74" t="str">
            <v>Ecatepec de Morelos</v>
          </cell>
        </row>
        <row r="75">
          <cell r="C75">
            <v>6006</v>
          </cell>
          <cell r="D75" t="str">
            <v>Ecatepec de Morelos</v>
          </cell>
        </row>
        <row r="76">
          <cell r="C76">
            <v>6006</v>
          </cell>
          <cell r="D76" t="str">
            <v>Ecatepec de Morelos</v>
          </cell>
        </row>
        <row r="77">
          <cell r="C77">
            <v>6006</v>
          </cell>
          <cell r="D77" t="str">
            <v>Ecatepec de Morelos</v>
          </cell>
        </row>
        <row r="78">
          <cell r="C78">
            <v>6006</v>
          </cell>
          <cell r="D78" t="str">
            <v>Ecatepec de Morelos</v>
          </cell>
        </row>
        <row r="79">
          <cell r="C79">
            <v>6006</v>
          </cell>
          <cell r="D79" t="str">
            <v>Ecatepec de Morelos</v>
          </cell>
        </row>
        <row r="80">
          <cell r="C80">
            <v>6006</v>
          </cell>
          <cell r="D80" t="str">
            <v>Ecatepec de Morelos</v>
          </cell>
        </row>
        <row r="81">
          <cell r="C81">
            <v>6006</v>
          </cell>
          <cell r="D81" t="str">
            <v>Ecatepec de Morelos</v>
          </cell>
        </row>
        <row r="82">
          <cell r="C82">
            <v>6007</v>
          </cell>
          <cell r="D82" t="str">
            <v>Tenancingo de Degollado</v>
          </cell>
        </row>
        <row r="83">
          <cell r="C83">
            <v>6007</v>
          </cell>
          <cell r="D83" t="str">
            <v>Tenancingo de Degollado</v>
          </cell>
        </row>
        <row r="84">
          <cell r="C84">
            <v>6007</v>
          </cell>
          <cell r="D84" t="str">
            <v>Tenancingo de Degollado</v>
          </cell>
        </row>
        <row r="85">
          <cell r="C85">
            <v>6007</v>
          </cell>
          <cell r="D85" t="str">
            <v>Tenancingo de Degollado</v>
          </cell>
        </row>
        <row r="86">
          <cell r="C86">
            <v>6007</v>
          </cell>
          <cell r="D86" t="str">
            <v>Tenancingo de Degollado</v>
          </cell>
        </row>
        <row r="87">
          <cell r="C87">
            <v>6007</v>
          </cell>
          <cell r="D87" t="str">
            <v>Tenancingo de Degollado</v>
          </cell>
        </row>
        <row r="88">
          <cell r="C88">
            <v>6007</v>
          </cell>
          <cell r="D88" t="str">
            <v>Tenancingo de Degollado</v>
          </cell>
        </row>
        <row r="89">
          <cell r="C89">
            <v>6007</v>
          </cell>
          <cell r="D89" t="str">
            <v>Tenancingo de Degollado</v>
          </cell>
        </row>
        <row r="90">
          <cell r="C90">
            <v>6007</v>
          </cell>
          <cell r="D90" t="str">
            <v>Tenancingo de Degollado</v>
          </cell>
        </row>
        <row r="91">
          <cell r="C91">
            <v>6007</v>
          </cell>
          <cell r="D91" t="str">
            <v>Tenancingo de Degollado</v>
          </cell>
        </row>
        <row r="92">
          <cell r="C92">
            <v>6007</v>
          </cell>
          <cell r="D92" t="str">
            <v>Tenancingo de Degollado</v>
          </cell>
        </row>
        <row r="93">
          <cell r="C93">
            <v>6007</v>
          </cell>
          <cell r="D93" t="str">
            <v>Tenancingo de Degollado</v>
          </cell>
        </row>
        <row r="94">
          <cell r="C94">
            <v>6007</v>
          </cell>
          <cell r="D94" t="str">
            <v>Tenancingo de Degollado</v>
          </cell>
        </row>
        <row r="95">
          <cell r="C95">
            <v>6007</v>
          </cell>
          <cell r="D95" t="str">
            <v>Tenancingo de Degollado</v>
          </cell>
        </row>
        <row r="96">
          <cell r="C96">
            <v>6007</v>
          </cell>
          <cell r="D96" t="str">
            <v>Tenancingo de Degollado</v>
          </cell>
        </row>
        <row r="97">
          <cell r="C97">
            <v>6008</v>
          </cell>
          <cell r="D97" t="str">
            <v>Ecatepec de Morelos</v>
          </cell>
        </row>
        <row r="98">
          <cell r="C98">
            <v>6008</v>
          </cell>
          <cell r="D98" t="str">
            <v>Ecatepec de Morelos</v>
          </cell>
        </row>
        <row r="99">
          <cell r="C99">
            <v>6008</v>
          </cell>
          <cell r="D99" t="str">
            <v>Ecatepec de Morelos</v>
          </cell>
        </row>
        <row r="100">
          <cell r="C100">
            <v>6008</v>
          </cell>
          <cell r="D100" t="str">
            <v>Ecatepec de Morelos</v>
          </cell>
        </row>
        <row r="101">
          <cell r="C101">
            <v>6008</v>
          </cell>
          <cell r="D101" t="str">
            <v>Ecatepec de Morelos</v>
          </cell>
        </row>
        <row r="102">
          <cell r="C102">
            <v>6008</v>
          </cell>
          <cell r="D102" t="str">
            <v>Ecatepec de Morelos</v>
          </cell>
        </row>
        <row r="103">
          <cell r="C103">
            <v>6008</v>
          </cell>
          <cell r="D103" t="str">
            <v>Ecatepec de Morelos</v>
          </cell>
        </row>
        <row r="104">
          <cell r="C104">
            <v>6008</v>
          </cell>
          <cell r="D104" t="str">
            <v>Ecatepec de Morelos</v>
          </cell>
        </row>
        <row r="105">
          <cell r="C105">
            <v>6008</v>
          </cell>
          <cell r="D105" t="str">
            <v>Ecatepec de Morelos</v>
          </cell>
        </row>
        <row r="106">
          <cell r="C106">
            <v>6008</v>
          </cell>
          <cell r="D106" t="str">
            <v>Ecatepec de Morelos</v>
          </cell>
        </row>
        <row r="107">
          <cell r="C107">
            <v>6008</v>
          </cell>
          <cell r="D107" t="str">
            <v>Ecatepec de Morelos</v>
          </cell>
        </row>
        <row r="108">
          <cell r="C108">
            <v>6008</v>
          </cell>
          <cell r="D108" t="str">
            <v>Ecatepec de Morelos</v>
          </cell>
        </row>
        <row r="109">
          <cell r="C109">
            <v>6008</v>
          </cell>
          <cell r="D109" t="str">
            <v>Ecatepec de Morelos</v>
          </cell>
        </row>
        <row r="110">
          <cell r="C110">
            <v>6008</v>
          </cell>
          <cell r="D110" t="str">
            <v>Ecatepec de Morelos</v>
          </cell>
        </row>
        <row r="111">
          <cell r="C111">
            <v>6008</v>
          </cell>
          <cell r="D111" t="str">
            <v>Ecatepec de Morelos</v>
          </cell>
        </row>
        <row r="112">
          <cell r="C112">
            <v>6008</v>
          </cell>
          <cell r="D112" t="str">
            <v>Ecatepec de Morelos</v>
          </cell>
        </row>
        <row r="113">
          <cell r="C113">
            <v>6009</v>
          </cell>
          <cell r="D113" t="str">
            <v>Tejupilco de Hidalgo</v>
          </cell>
        </row>
        <row r="114">
          <cell r="C114">
            <v>6009</v>
          </cell>
          <cell r="D114" t="str">
            <v>Tejupilco de Hidalgo</v>
          </cell>
        </row>
        <row r="115">
          <cell r="C115">
            <v>6009</v>
          </cell>
          <cell r="D115" t="str">
            <v>Tejupilco de Hidalgo</v>
          </cell>
        </row>
        <row r="116">
          <cell r="C116">
            <v>6009</v>
          </cell>
          <cell r="D116" t="str">
            <v>Tejupilco de Hidalgo</v>
          </cell>
        </row>
        <row r="117">
          <cell r="C117">
            <v>6009</v>
          </cell>
          <cell r="D117" t="str">
            <v>Tejupilco de Hidalgo</v>
          </cell>
        </row>
        <row r="118">
          <cell r="C118">
            <v>6009</v>
          </cell>
          <cell r="D118" t="str">
            <v>Tejupilco de Hidalgo</v>
          </cell>
        </row>
        <row r="119">
          <cell r="C119">
            <v>6009</v>
          </cell>
          <cell r="D119" t="str">
            <v>Tejupilco de Hidalgo</v>
          </cell>
        </row>
        <row r="120">
          <cell r="C120">
            <v>6009</v>
          </cell>
          <cell r="D120" t="str">
            <v>Tejupilco de Hidalgo</v>
          </cell>
        </row>
        <row r="121">
          <cell r="C121">
            <v>6009</v>
          </cell>
          <cell r="D121" t="str">
            <v>Tejupilco de Hidalgo</v>
          </cell>
        </row>
        <row r="122">
          <cell r="C122">
            <v>6009</v>
          </cell>
          <cell r="D122" t="str">
            <v>Tejupilco de Hidalgo</v>
          </cell>
        </row>
        <row r="123">
          <cell r="C123">
            <v>6009</v>
          </cell>
          <cell r="D123" t="str">
            <v>Tejupilco de Hidalgo</v>
          </cell>
        </row>
        <row r="124">
          <cell r="C124">
            <v>6009</v>
          </cell>
          <cell r="D124" t="str">
            <v>Tejupilco de Hidalgo</v>
          </cell>
        </row>
        <row r="125">
          <cell r="C125">
            <v>6009</v>
          </cell>
          <cell r="D125" t="str">
            <v>Tejupilco de Hidalgo</v>
          </cell>
        </row>
        <row r="126">
          <cell r="C126">
            <v>6009</v>
          </cell>
          <cell r="D126" t="str">
            <v>Tejupilco de Hidalgo</v>
          </cell>
        </row>
        <row r="127">
          <cell r="C127">
            <v>6010</v>
          </cell>
          <cell r="D127" t="str">
            <v>Valle de Bravo</v>
          </cell>
        </row>
        <row r="128">
          <cell r="C128">
            <v>6010</v>
          </cell>
          <cell r="D128" t="str">
            <v>Valle de Bravo</v>
          </cell>
        </row>
        <row r="129">
          <cell r="C129">
            <v>6010</v>
          </cell>
          <cell r="D129" t="str">
            <v>Valle de Bravo</v>
          </cell>
        </row>
        <row r="130">
          <cell r="C130">
            <v>6010</v>
          </cell>
          <cell r="D130" t="str">
            <v>Valle de Bravo</v>
          </cell>
        </row>
        <row r="131">
          <cell r="C131">
            <v>6010</v>
          </cell>
          <cell r="D131" t="str">
            <v>Valle de Bravo</v>
          </cell>
        </row>
        <row r="132">
          <cell r="C132">
            <v>6010</v>
          </cell>
          <cell r="D132" t="str">
            <v>Valle de Bravo</v>
          </cell>
        </row>
        <row r="133">
          <cell r="C133">
            <v>6010</v>
          </cell>
          <cell r="D133" t="str">
            <v>Valle de Bravo</v>
          </cell>
        </row>
        <row r="134">
          <cell r="C134">
            <v>6010</v>
          </cell>
          <cell r="D134" t="str">
            <v>Valle de Bravo</v>
          </cell>
        </row>
        <row r="135">
          <cell r="C135">
            <v>6010</v>
          </cell>
          <cell r="D135" t="str">
            <v>Valle de Bravo</v>
          </cell>
        </row>
        <row r="136">
          <cell r="C136">
            <v>6010</v>
          </cell>
          <cell r="D136" t="str">
            <v>Valle de Bravo</v>
          </cell>
        </row>
        <row r="137">
          <cell r="C137">
            <v>6010</v>
          </cell>
          <cell r="D137" t="str">
            <v>Valle de Bravo</v>
          </cell>
        </row>
        <row r="138">
          <cell r="C138">
            <v>6010</v>
          </cell>
          <cell r="D138" t="str">
            <v>Valle de Bravo</v>
          </cell>
        </row>
        <row r="139">
          <cell r="C139">
            <v>6010</v>
          </cell>
          <cell r="D139" t="str">
            <v>Valle de Bravo</v>
          </cell>
        </row>
        <row r="140">
          <cell r="C140">
            <v>6011</v>
          </cell>
          <cell r="D140" t="str">
            <v>Tultitlan de Mariano Escobedo</v>
          </cell>
        </row>
        <row r="141">
          <cell r="C141">
            <v>6011</v>
          </cell>
          <cell r="D141" t="str">
            <v>Tultitlan de Mariano Escobedo</v>
          </cell>
        </row>
        <row r="142">
          <cell r="C142">
            <v>6011</v>
          </cell>
          <cell r="D142" t="str">
            <v>Tultitlan de Mariano Escobedo</v>
          </cell>
        </row>
        <row r="143">
          <cell r="C143">
            <v>6011</v>
          </cell>
          <cell r="D143" t="str">
            <v>Tultitlan de Mariano Escobedo</v>
          </cell>
        </row>
        <row r="144">
          <cell r="C144">
            <v>6011</v>
          </cell>
          <cell r="D144" t="str">
            <v>Tultitlan de Mariano Escobedo</v>
          </cell>
        </row>
        <row r="145">
          <cell r="C145">
            <v>6011</v>
          </cell>
          <cell r="D145" t="str">
            <v>Tultitlan de Mariano Escobedo</v>
          </cell>
        </row>
        <row r="146">
          <cell r="C146">
            <v>6011</v>
          </cell>
          <cell r="D146" t="str">
            <v>Tultitlan de Mariano Escobedo</v>
          </cell>
        </row>
        <row r="147">
          <cell r="C147">
            <v>6011</v>
          </cell>
          <cell r="D147" t="str">
            <v>Tultitlan de Mariano Escobedo</v>
          </cell>
        </row>
        <row r="148">
          <cell r="C148">
            <v>6011</v>
          </cell>
          <cell r="D148" t="str">
            <v>Tultitlan de Mariano Escobedo</v>
          </cell>
        </row>
        <row r="149">
          <cell r="C149">
            <v>6011</v>
          </cell>
          <cell r="D149" t="str">
            <v>Tultitlan de Mariano Escobedo</v>
          </cell>
        </row>
        <row r="150">
          <cell r="C150">
            <v>6011</v>
          </cell>
          <cell r="D150" t="str">
            <v>Tultitlan de Mariano Escobedo</v>
          </cell>
        </row>
        <row r="151">
          <cell r="C151">
            <v>6011</v>
          </cell>
          <cell r="D151" t="str">
            <v>Tultitlan de Mariano Escobedo</v>
          </cell>
        </row>
        <row r="152">
          <cell r="C152">
            <v>6011</v>
          </cell>
          <cell r="D152" t="str">
            <v>Tultitlan de Mariano Escobedo</v>
          </cell>
        </row>
        <row r="153">
          <cell r="C153">
            <v>6012</v>
          </cell>
          <cell r="D153" t="str">
            <v>Teoloyucan</v>
          </cell>
        </row>
        <row r="154">
          <cell r="C154">
            <v>6012</v>
          </cell>
          <cell r="D154" t="str">
            <v>Teoloyucan</v>
          </cell>
        </row>
        <row r="155">
          <cell r="C155">
            <v>6012</v>
          </cell>
          <cell r="D155" t="str">
            <v>Teoloyucan</v>
          </cell>
        </row>
        <row r="156">
          <cell r="C156">
            <v>6012</v>
          </cell>
          <cell r="D156" t="str">
            <v>Teoloyucan</v>
          </cell>
        </row>
        <row r="157">
          <cell r="C157">
            <v>6012</v>
          </cell>
          <cell r="D157" t="str">
            <v>Teoloyucan</v>
          </cell>
        </row>
        <row r="158">
          <cell r="C158">
            <v>6012</v>
          </cell>
          <cell r="D158" t="str">
            <v>Teoloyucan</v>
          </cell>
        </row>
        <row r="159">
          <cell r="C159">
            <v>6012</v>
          </cell>
          <cell r="D159" t="str">
            <v>Teoloyucan</v>
          </cell>
        </row>
        <row r="160">
          <cell r="C160">
            <v>6012</v>
          </cell>
          <cell r="D160" t="str">
            <v>Teoloyucan</v>
          </cell>
        </row>
        <row r="161">
          <cell r="C161">
            <v>6012</v>
          </cell>
          <cell r="D161" t="str">
            <v>Teoloyucan</v>
          </cell>
        </row>
        <row r="162">
          <cell r="C162">
            <v>6012</v>
          </cell>
          <cell r="D162" t="str">
            <v>Teoloyucan</v>
          </cell>
        </row>
        <row r="163">
          <cell r="C163">
            <v>6012</v>
          </cell>
          <cell r="D163" t="str">
            <v>Teoloyucan</v>
          </cell>
        </row>
        <row r="164">
          <cell r="C164">
            <v>6012</v>
          </cell>
          <cell r="D164" t="str">
            <v>Teoloyucan</v>
          </cell>
        </row>
        <row r="165">
          <cell r="C165">
            <v>6012</v>
          </cell>
          <cell r="D165" t="str">
            <v>Teoloyucan</v>
          </cell>
        </row>
        <row r="166">
          <cell r="C166">
            <v>6013</v>
          </cell>
          <cell r="D166" t="str">
            <v>Atlacomulco de Fabela</v>
          </cell>
        </row>
        <row r="167">
          <cell r="C167">
            <v>6013</v>
          </cell>
          <cell r="D167" t="str">
            <v>Atlacomulco de Fabela</v>
          </cell>
        </row>
        <row r="168">
          <cell r="C168">
            <v>6013</v>
          </cell>
          <cell r="D168" t="str">
            <v>Atlacomulco de Fabela</v>
          </cell>
        </row>
        <row r="169">
          <cell r="C169">
            <v>6013</v>
          </cell>
          <cell r="D169" t="str">
            <v>Atlacomulco de Fabela</v>
          </cell>
        </row>
        <row r="170">
          <cell r="C170">
            <v>6013</v>
          </cell>
          <cell r="D170" t="str">
            <v>Atlacomulco de Fabela</v>
          </cell>
        </row>
        <row r="171">
          <cell r="C171">
            <v>6013</v>
          </cell>
          <cell r="D171" t="str">
            <v>Atlacomulco de Fabela</v>
          </cell>
        </row>
        <row r="172">
          <cell r="C172">
            <v>6013</v>
          </cell>
          <cell r="D172" t="str">
            <v>Atlacomulco de Fabela</v>
          </cell>
        </row>
        <row r="173">
          <cell r="C173">
            <v>6013</v>
          </cell>
          <cell r="D173" t="str">
            <v>Atlacomulco de Fabela</v>
          </cell>
        </row>
        <row r="174">
          <cell r="C174">
            <v>6013</v>
          </cell>
          <cell r="D174" t="str">
            <v>Atlacomulco de Fabela</v>
          </cell>
        </row>
        <row r="175">
          <cell r="C175">
            <v>6013</v>
          </cell>
          <cell r="D175" t="str">
            <v>Atlacomulco de Fabela</v>
          </cell>
        </row>
        <row r="176">
          <cell r="C176">
            <v>6013</v>
          </cell>
          <cell r="D176" t="str">
            <v>Atlacomulco de Fabela</v>
          </cell>
        </row>
        <row r="177">
          <cell r="C177">
            <v>6013</v>
          </cell>
          <cell r="D177" t="str">
            <v>Atlacomulco de Fabela</v>
          </cell>
        </row>
        <row r="178">
          <cell r="C178">
            <v>6013</v>
          </cell>
          <cell r="D178" t="str">
            <v>Atlacomulco de Fabela</v>
          </cell>
        </row>
        <row r="179">
          <cell r="C179">
            <v>6014</v>
          </cell>
          <cell r="D179" t="str">
            <v>Jilotepec de Andres Molina Enriquez</v>
          </cell>
        </row>
        <row r="180">
          <cell r="C180">
            <v>6014</v>
          </cell>
          <cell r="D180" t="str">
            <v>Jilotepec de Andres Molina Enriquez</v>
          </cell>
        </row>
        <row r="181">
          <cell r="C181">
            <v>6014</v>
          </cell>
          <cell r="D181" t="str">
            <v>Jilotepec de Andres Molina Enriquez</v>
          </cell>
        </row>
        <row r="182">
          <cell r="C182">
            <v>6014</v>
          </cell>
          <cell r="D182" t="str">
            <v>Jilotepec de Andres Molina Enriquez</v>
          </cell>
        </row>
        <row r="183">
          <cell r="C183">
            <v>6014</v>
          </cell>
          <cell r="D183" t="str">
            <v>Jilotepec de Andres Molina Enriquez</v>
          </cell>
        </row>
        <row r="184">
          <cell r="C184">
            <v>6014</v>
          </cell>
          <cell r="D184" t="str">
            <v>Jilotepec de Andres Molina Enriquez</v>
          </cell>
        </row>
        <row r="185">
          <cell r="C185">
            <v>6014</v>
          </cell>
          <cell r="D185" t="str">
            <v>Jilotepec de Andres Molina Enriquez</v>
          </cell>
        </row>
        <row r="186">
          <cell r="C186">
            <v>6014</v>
          </cell>
          <cell r="D186" t="str">
            <v>Jilotepec de Andres Molina Enriquez</v>
          </cell>
        </row>
        <row r="187">
          <cell r="C187">
            <v>6014</v>
          </cell>
          <cell r="D187" t="str">
            <v>Jilotepec de Andres Molina Enriquez</v>
          </cell>
        </row>
        <row r="188">
          <cell r="C188">
            <v>6014</v>
          </cell>
          <cell r="D188" t="str">
            <v>Jilotepec de Andres Molina Enriquez</v>
          </cell>
        </row>
        <row r="189">
          <cell r="C189">
            <v>6014</v>
          </cell>
          <cell r="D189" t="str">
            <v>Jilotepec de Andres Molina Enriquez</v>
          </cell>
        </row>
        <row r="190">
          <cell r="C190">
            <v>6015</v>
          </cell>
          <cell r="D190" t="str">
            <v>Ixtlahuaca de Rayon</v>
          </cell>
        </row>
        <row r="191">
          <cell r="C191">
            <v>6015</v>
          </cell>
          <cell r="D191" t="str">
            <v>Ixtlahuaca de Rayon</v>
          </cell>
        </row>
        <row r="192">
          <cell r="C192">
            <v>6015</v>
          </cell>
          <cell r="D192" t="str">
            <v>Ixtlahuaca de Rayon</v>
          </cell>
        </row>
        <row r="193">
          <cell r="C193">
            <v>6015</v>
          </cell>
          <cell r="D193" t="str">
            <v>Ixtlahuaca de Rayon</v>
          </cell>
        </row>
        <row r="194">
          <cell r="C194">
            <v>6015</v>
          </cell>
          <cell r="D194" t="str">
            <v>Ixtlahuaca de Rayon</v>
          </cell>
        </row>
        <row r="195">
          <cell r="C195">
            <v>6015</v>
          </cell>
          <cell r="D195" t="str">
            <v>Ixtlahuaca de Rayon</v>
          </cell>
        </row>
        <row r="196">
          <cell r="C196">
            <v>6015</v>
          </cell>
          <cell r="D196" t="str">
            <v>Ixtlahuaca de Rayon</v>
          </cell>
        </row>
        <row r="197">
          <cell r="C197">
            <v>6015</v>
          </cell>
          <cell r="D197" t="str">
            <v>Ixtlahuaca de Rayon</v>
          </cell>
        </row>
        <row r="198">
          <cell r="C198">
            <v>6015</v>
          </cell>
          <cell r="D198" t="str">
            <v>Ixtlahuaca de Rayon</v>
          </cell>
        </row>
        <row r="199">
          <cell r="C199">
            <v>6015</v>
          </cell>
          <cell r="D199" t="str">
            <v>Ixtlahuaca de Rayon</v>
          </cell>
        </row>
        <row r="200">
          <cell r="C200">
            <v>6015</v>
          </cell>
          <cell r="D200" t="str">
            <v>Ixtlahuaca de Rayon</v>
          </cell>
        </row>
        <row r="201">
          <cell r="C201">
            <v>6015</v>
          </cell>
          <cell r="D201" t="str">
            <v>Ixtlahuaca de Rayon</v>
          </cell>
        </row>
        <row r="202">
          <cell r="C202">
            <v>6015</v>
          </cell>
          <cell r="D202" t="str">
            <v>Ixtlahuaca de Rayon</v>
          </cell>
        </row>
        <row r="203">
          <cell r="C203">
            <v>6016</v>
          </cell>
          <cell r="D203" t="str">
            <v>Ciudad Adolfo Lopez Mateos</v>
          </cell>
        </row>
        <row r="204">
          <cell r="C204">
            <v>6016</v>
          </cell>
          <cell r="D204" t="str">
            <v>Ciudad Adolfo Lopez Mateos</v>
          </cell>
        </row>
        <row r="205">
          <cell r="C205">
            <v>6016</v>
          </cell>
          <cell r="D205" t="str">
            <v>Ciudad Adolfo Lopez Mateos</v>
          </cell>
        </row>
        <row r="206">
          <cell r="C206">
            <v>6016</v>
          </cell>
          <cell r="D206" t="str">
            <v>Ciudad Adolfo Lopez Mateos</v>
          </cell>
        </row>
        <row r="207">
          <cell r="C207">
            <v>6016</v>
          </cell>
          <cell r="D207" t="str">
            <v>Ciudad Adolfo Lopez Mateos</v>
          </cell>
        </row>
        <row r="208">
          <cell r="C208">
            <v>6016</v>
          </cell>
          <cell r="D208" t="str">
            <v>Ciudad Adolfo Lopez Mateos</v>
          </cell>
        </row>
        <row r="209">
          <cell r="C209">
            <v>6016</v>
          </cell>
          <cell r="D209" t="str">
            <v>Ciudad Adolfo Lopez Mateos</v>
          </cell>
        </row>
        <row r="210">
          <cell r="C210">
            <v>6016</v>
          </cell>
          <cell r="D210" t="str">
            <v>Ciudad Adolfo Lopez Mateos</v>
          </cell>
        </row>
        <row r="211">
          <cell r="C211">
            <v>6016</v>
          </cell>
          <cell r="D211" t="str">
            <v>Ciudad Adolfo Lopez Mateos</v>
          </cell>
        </row>
        <row r="212">
          <cell r="C212">
            <v>6016</v>
          </cell>
          <cell r="D212" t="str">
            <v>Ciudad Adolfo Lopez Mateos</v>
          </cell>
        </row>
        <row r="213">
          <cell r="C213">
            <v>6016</v>
          </cell>
          <cell r="D213" t="str">
            <v>Ciudad Adolfo Lopez Mateos</v>
          </cell>
        </row>
        <row r="214">
          <cell r="C214">
            <v>6016</v>
          </cell>
          <cell r="D214" t="str">
            <v>Ciudad Adolfo Lopez Mateos</v>
          </cell>
        </row>
        <row r="215">
          <cell r="C215">
            <v>6016</v>
          </cell>
          <cell r="D215" t="str">
            <v>Ciudad Adolfo Lopez Mateos</v>
          </cell>
        </row>
        <row r="216">
          <cell r="C216">
            <v>6016</v>
          </cell>
          <cell r="D216" t="str">
            <v>Ciudad Adolfo Lopez Mateos</v>
          </cell>
        </row>
        <row r="217">
          <cell r="C217">
            <v>6017</v>
          </cell>
          <cell r="D217" t="str">
            <v>Huixquilucan de degollado</v>
          </cell>
        </row>
        <row r="218">
          <cell r="C218">
            <v>6017</v>
          </cell>
          <cell r="D218" t="str">
            <v>Huixquilucan de degollado</v>
          </cell>
        </row>
        <row r="219">
          <cell r="C219">
            <v>6017</v>
          </cell>
          <cell r="D219" t="str">
            <v>Huixquilucan de degollado</v>
          </cell>
        </row>
        <row r="220">
          <cell r="C220">
            <v>6017</v>
          </cell>
          <cell r="D220" t="str">
            <v>Huixquilucan de degollado</v>
          </cell>
        </row>
        <row r="221">
          <cell r="C221">
            <v>6017</v>
          </cell>
          <cell r="D221" t="str">
            <v>Huixquilucan de degollado</v>
          </cell>
        </row>
        <row r="222">
          <cell r="C222">
            <v>6017</v>
          </cell>
          <cell r="D222" t="str">
            <v>Huixquilucan de degollado</v>
          </cell>
        </row>
        <row r="223">
          <cell r="C223">
            <v>6017</v>
          </cell>
          <cell r="D223" t="str">
            <v>Huixquilucan de degollado</v>
          </cell>
        </row>
        <row r="224">
          <cell r="C224">
            <v>6017</v>
          </cell>
          <cell r="D224" t="str">
            <v>Huixquilucan de degollado</v>
          </cell>
        </row>
        <row r="225">
          <cell r="C225">
            <v>6017</v>
          </cell>
          <cell r="D225" t="str">
            <v>Huixquilucan de degollado</v>
          </cell>
        </row>
        <row r="226">
          <cell r="C226">
            <v>6017</v>
          </cell>
          <cell r="D226" t="str">
            <v>Huixquilucan de degollado</v>
          </cell>
        </row>
        <row r="227">
          <cell r="C227">
            <v>6017</v>
          </cell>
          <cell r="D227" t="str">
            <v>Huixquilucan de degollado</v>
          </cell>
        </row>
        <row r="228">
          <cell r="C228">
            <v>6017</v>
          </cell>
          <cell r="D228" t="str">
            <v>Huixquilucan de degollado</v>
          </cell>
        </row>
        <row r="229">
          <cell r="C229">
            <v>6017</v>
          </cell>
          <cell r="D229" t="str">
            <v>Huixquilucan de degollado</v>
          </cell>
        </row>
        <row r="230">
          <cell r="C230">
            <v>6017</v>
          </cell>
          <cell r="D230" t="str">
            <v>Huixquilucan de degollado</v>
          </cell>
        </row>
        <row r="231">
          <cell r="C231">
            <v>6018</v>
          </cell>
          <cell r="D231" t="str">
            <v>Tlanepantla de Baz</v>
          </cell>
        </row>
        <row r="232">
          <cell r="C232">
            <v>6018</v>
          </cell>
          <cell r="D232" t="str">
            <v>Tlanepantla de Baz</v>
          </cell>
        </row>
        <row r="233">
          <cell r="C233">
            <v>6018</v>
          </cell>
          <cell r="D233" t="str">
            <v>Tlanepantla de Baz</v>
          </cell>
        </row>
        <row r="234">
          <cell r="C234">
            <v>6018</v>
          </cell>
          <cell r="D234" t="str">
            <v>Tlanepantla de Baz</v>
          </cell>
        </row>
        <row r="235">
          <cell r="C235">
            <v>6018</v>
          </cell>
          <cell r="D235" t="str">
            <v>Tlanepantla de Baz</v>
          </cell>
        </row>
        <row r="236">
          <cell r="C236">
            <v>6018</v>
          </cell>
          <cell r="D236" t="str">
            <v>Tlanepantla de Baz</v>
          </cell>
        </row>
        <row r="237">
          <cell r="C237">
            <v>6018</v>
          </cell>
          <cell r="D237" t="str">
            <v>Tlanepantla de Baz</v>
          </cell>
        </row>
        <row r="238">
          <cell r="C238">
            <v>6018</v>
          </cell>
          <cell r="D238" t="str">
            <v>Tlanepantla de Baz</v>
          </cell>
        </row>
        <row r="239">
          <cell r="C239">
            <v>6018</v>
          </cell>
          <cell r="D239" t="str">
            <v>Tlanepantla de Baz</v>
          </cell>
        </row>
        <row r="240">
          <cell r="C240">
            <v>6018</v>
          </cell>
          <cell r="D240" t="str">
            <v>Tlanepantla de Baz</v>
          </cell>
        </row>
        <row r="241">
          <cell r="C241">
            <v>6018</v>
          </cell>
          <cell r="D241" t="str">
            <v>Tlanepantla de Baz</v>
          </cell>
        </row>
        <row r="242">
          <cell r="C242">
            <v>6018</v>
          </cell>
          <cell r="D242" t="str">
            <v>Tlanepantla de Baz</v>
          </cell>
        </row>
        <row r="243">
          <cell r="C243">
            <v>6019</v>
          </cell>
          <cell r="D243" t="str">
            <v>Santamaria Tultepec</v>
          </cell>
        </row>
        <row r="244">
          <cell r="C244">
            <v>6019</v>
          </cell>
          <cell r="D244" t="str">
            <v>Santamaria Tultepec</v>
          </cell>
        </row>
        <row r="245">
          <cell r="C245">
            <v>6019</v>
          </cell>
          <cell r="D245" t="str">
            <v>Santamaria Tultepec</v>
          </cell>
        </row>
        <row r="246">
          <cell r="C246">
            <v>6019</v>
          </cell>
          <cell r="D246" t="str">
            <v>Santamaria Tultepec</v>
          </cell>
        </row>
        <row r="247">
          <cell r="C247">
            <v>6019</v>
          </cell>
          <cell r="D247" t="str">
            <v>Santamaria Tultepec</v>
          </cell>
        </row>
        <row r="248">
          <cell r="C248">
            <v>6019</v>
          </cell>
          <cell r="D248" t="str">
            <v>Santamaria Tultepec</v>
          </cell>
        </row>
        <row r="249">
          <cell r="C249">
            <v>6019</v>
          </cell>
          <cell r="D249" t="str">
            <v>Santamaria Tultepec</v>
          </cell>
        </row>
        <row r="250">
          <cell r="C250">
            <v>6019</v>
          </cell>
          <cell r="D250" t="str">
            <v>Santamaria Tultepec</v>
          </cell>
        </row>
        <row r="251">
          <cell r="C251">
            <v>6019</v>
          </cell>
          <cell r="D251" t="str">
            <v>Santamaria Tultepec</v>
          </cell>
        </row>
        <row r="252">
          <cell r="C252">
            <v>6019</v>
          </cell>
          <cell r="D252" t="str">
            <v>Santamaria Tultepec</v>
          </cell>
        </row>
        <row r="253">
          <cell r="C253">
            <v>6019</v>
          </cell>
          <cell r="D253" t="str">
            <v>Santamaria Tultepec</v>
          </cell>
        </row>
        <row r="254">
          <cell r="C254">
            <v>6019</v>
          </cell>
          <cell r="D254" t="str">
            <v>Santamaria Tultepec</v>
          </cell>
        </row>
        <row r="255">
          <cell r="C255">
            <v>6019</v>
          </cell>
          <cell r="D255" t="str">
            <v>Santamaria Tultepec</v>
          </cell>
        </row>
        <row r="256">
          <cell r="C256">
            <v>6019</v>
          </cell>
          <cell r="D256" t="str">
            <v>Santamaria Tultepec</v>
          </cell>
        </row>
        <row r="257">
          <cell r="C257">
            <v>6020</v>
          </cell>
          <cell r="D257" t="str">
            <v>Zumpango de Ocampo</v>
          </cell>
        </row>
        <row r="258">
          <cell r="C258">
            <v>6020</v>
          </cell>
          <cell r="D258" t="str">
            <v>Zumpango de Ocampo</v>
          </cell>
        </row>
        <row r="259">
          <cell r="C259">
            <v>6020</v>
          </cell>
          <cell r="D259" t="str">
            <v>Zumpango de Ocampo</v>
          </cell>
        </row>
        <row r="260">
          <cell r="C260">
            <v>6020</v>
          </cell>
          <cell r="D260" t="str">
            <v>Zumpango de Ocampo</v>
          </cell>
        </row>
        <row r="261">
          <cell r="C261">
            <v>6020</v>
          </cell>
          <cell r="D261" t="str">
            <v>Zumpango de Ocampo</v>
          </cell>
        </row>
        <row r="262">
          <cell r="C262">
            <v>6020</v>
          </cell>
          <cell r="D262" t="str">
            <v>Zumpango de Ocampo</v>
          </cell>
        </row>
        <row r="263">
          <cell r="C263">
            <v>6020</v>
          </cell>
          <cell r="D263" t="str">
            <v>Zumpango de Ocampo</v>
          </cell>
        </row>
        <row r="264">
          <cell r="C264">
            <v>6020</v>
          </cell>
          <cell r="D264" t="str">
            <v>Zumpango de Ocampo</v>
          </cell>
        </row>
        <row r="265">
          <cell r="C265">
            <v>6020</v>
          </cell>
          <cell r="D265" t="str">
            <v>Zumpango de Ocampo</v>
          </cell>
        </row>
        <row r="266">
          <cell r="C266">
            <v>6020</v>
          </cell>
          <cell r="D266" t="str">
            <v>Zumpango de Ocampo</v>
          </cell>
        </row>
        <row r="267">
          <cell r="C267">
            <v>6020</v>
          </cell>
          <cell r="D267" t="str">
            <v>Zumpango de Ocampo</v>
          </cell>
        </row>
        <row r="268">
          <cell r="C268">
            <v>6020</v>
          </cell>
          <cell r="D268" t="str">
            <v>Zumpango de Ocampo</v>
          </cell>
        </row>
        <row r="269">
          <cell r="C269">
            <v>6020</v>
          </cell>
          <cell r="D269" t="str">
            <v>Zumpango de Ocampo</v>
          </cell>
        </row>
        <row r="270">
          <cell r="C270">
            <v>6021</v>
          </cell>
          <cell r="D270" t="str">
            <v>Ecatepec de Morelos</v>
          </cell>
        </row>
        <row r="271">
          <cell r="C271">
            <v>6021</v>
          </cell>
          <cell r="D271" t="str">
            <v>Ecatepec de Morelos</v>
          </cell>
        </row>
        <row r="272">
          <cell r="C272">
            <v>6021</v>
          </cell>
          <cell r="D272" t="str">
            <v>Ecatepec de Morelos</v>
          </cell>
        </row>
        <row r="273">
          <cell r="C273">
            <v>6021</v>
          </cell>
          <cell r="D273" t="str">
            <v>Ecatepec de Morelos</v>
          </cell>
        </row>
        <row r="274">
          <cell r="C274">
            <v>6021</v>
          </cell>
          <cell r="D274" t="str">
            <v>Ecatepec de Morelos</v>
          </cell>
        </row>
        <row r="275">
          <cell r="C275">
            <v>6021</v>
          </cell>
          <cell r="D275" t="str">
            <v>Ecatepec de Morelos</v>
          </cell>
        </row>
        <row r="276">
          <cell r="C276">
            <v>6021</v>
          </cell>
          <cell r="D276" t="str">
            <v>Ecatepec de Morelos</v>
          </cell>
        </row>
        <row r="277">
          <cell r="C277">
            <v>6021</v>
          </cell>
          <cell r="D277" t="str">
            <v>Ecatepec de Morelos</v>
          </cell>
        </row>
        <row r="278">
          <cell r="C278">
            <v>6021</v>
          </cell>
          <cell r="D278" t="str">
            <v>Ecatepec de Morelos</v>
          </cell>
        </row>
        <row r="279">
          <cell r="C279">
            <v>6021</v>
          </cell>
          <cell r="D279" t="str">
            <v>Ecatepec de Morelos</v>
          </cell>
        </row>
        <row r="280">
          <cell r="C280">
            <v>6021</v>
          </cell>
          <cell r="D280" t="str">
            <v>Ecatepec de Morelos</v>
          </cell>
        </row>
        <row r="281">
          <cell r="C281">
            <v>6021</v>
          </cell>
          <cell r="D281" t="str">
            <v>Ecatepec de Morelos</v>
          </cell>
        </row>
        <row r="282">
          <cell r="C282">
            <v>6021</v>
          </cell>
          <cell r="D282" t="str">
            <v>Ecatepec de Morelos</v>
          </cell>
        </row>
        <row r="283">
          <cell r="C283">
            <v>6022</v>
          </cell>
          <cell r="D283" t="str">
            <v>Ojo de agua Tecamac</v>
          </cell>
        </row>
        <row r="284">
          <cell r="C284">
            <v>6022</v>
          </cell>
          <cell r="D284" t="str">
            <v>Ojo de agua Tecamac</v>
          </cell>
        </row>
        <row r="285">
          <cell r="C285">
            <v>6022</v>
          </cell>
          <cell r="D285" t="str">
            <v>Ojo de agua Tecamac</v>
          </cell>
        </row>
        <row r="286">
          <cell r="C286">
            <v>6022</v>
          </cell>
          <cell r="D286" t="str">
            <v>Ojo de agua Tecamac</v>
          </cell>
        </row>
        <row r="287">
          <cell r="C287">
            <v>6022</v>
          </cell>
          <cell r="D287" t="str">
            <v>Ojo de agua Tecamac</v>
          </cell>
        </row>
        <row r="288">
          <cell r="C288">
            <v>6022</v>
          </cell>
          <cell r="D288" t="str">
            <v>Ojo de agua Tecamac</v>
          </cell>
        </row>
        <row r="289">
          <cell r="C289">
            <v>6022</v>
          </cell>
          <cell r="D289" t="str">
            <v>Ojo de agua Tecamac</v>
          </cell>
        </row>
        <row r="290">
          <cell r="C290">
            <v>6022</v>
          </cell>
          <cell r="D290" t="str">
            <v>Ojo de agua Tecamac</v>
          </cell>
        </row>
        <row r="291">
          <cell r="C291">
            <v>6022</v>
          </cell>
          <cell r="D291" t="str">
            <v>Ojo de agua Tecamac</v>
          </cell>
        </row>
        <row r="292">
          <cell r="C292">
            <v>6022</v>
          </cell>
          <cell r="D292" t="str">
            <v>Ojo de agua Tecamac</v>
          </cell>
        </row>
        <row r="293">
          <cell r="C293">
            <v>6022</v>
          </cell>
          <cell r="D293" t="str">
            <v>Ojo de agua Tecamac</v>
          </cell>
        </row>
        <row r="294">
          <cell r="C294">
            <v>6022</v>
          </cell>
          <cell r="D294" t="str">
            <v>Ojo de agua Tecamac</v>
          </cell>
        </row>
        <row r="295">
          <cell r="C295">
            <v>6022</v>
          </cell>
          <cell r="D295" t="str">
            <v>Ojo de agua Tecamac</v>
          </cell>
        </row>
        <row r="296">
          <cell r="C296">
            <v>6023</v>
          </cell>
          <cell r="D296" t="str">
            <v>Texcoco de Mora</v>
          </cell>
        </row>
        <row r="297">
          <cell r="C297">
            <v>6023</v>
          </cell>
          <cell r="D297" t="str">
            <v>Texcoco de Mora</v>
          </cell>
        </row>
        <row r="298">
          <cell r="C298">
            <v>6023</v>
          </cell>
          <cell r="D298" t="str">
            <v>Texcoco de Mora</v>
          </cell>
        </row>
        <row r="299">
          <cell r="C299">
            <v>6023</v>
          </cell>
          <cell r="D299" t="str">
            <v>Texcoco de Mora</v>
          </cell>
        </row>
        <row r="300">
          <cell r="C300">
            <v>6023</v>
          </cell>
          <cell r="D300" t="str">
            <v>Texcoco de Mora</v>
          </cell>
        </row>
        <row r="301">
          <cell r="C301">
            <v>6023</v>
          </cell>
          <cell r="D301" t="str">
            <v>Texcoco de Mora</v>
          </cell>
        </row>
        <row r="302">
          <cell r="C302">
            <v>6023</v>
          </cell>
          <cell r="D302" t="str">
            <v>Texcoco de Mora</v>
          </cell>
        </row>
        <row r="303">
          <cell r="C303">
            <v>6023</v>
          </cell>
          <cell r="D303" t="str">
            <v>Texcoco de Mora</v>
          </cell>
        </row>
        <row r="304">
          <cell r="C304">
            <v>6023</v>
          </cell>
          <cell r="D304" t="str">
            <v>Texcoco de Mora</v>
          </cell>
        </row>
        <row r="305">
          <cell r="C305">
            <v>6023</v>
          </cell>
          <cell r="D305" t="str">
            <v>Texcoco de Mora</v>
          </cell>
        </row>
        <row r="306">
          <cell r="C306">
            <v>6023</v>
          </cell>
          <cell r="D306" t="str">
            <v>Texcoco de Mora</v>
          </cell>
        </row>
        <row r="307">
          <cell r="C307">
            <v>6023</v>
          </cell>
          <cell r="D307" t="str">
            <v>Texcoco de Mora</v>
          </cell>
        </row>
        <row r="308">
          <cell r="C308">
            <v>6023</v>
          </cell>
          <cell r="D308" t="str">
            <v>Texcoco de Mora</v>
          </cell>
        </row>
        <row r="309">
          <cell r="C309">
            <v>6023</v>
          </cell>
          <cell r="D309" t="str">
            <v>Texcoco de Mora</v>
          </cell>
        </row>
        <row r="310">
          <cell r="C310">
            <v>6024</v>
          </cell>
          <cell r="D310" t="str">
            <v>CD Nezahualcoyotl</v>
          </cell>
        </row>
        <row r="311">
          <cell r="C311">
            <v>6024</v>
          </cell>
          <cell r="D311" t="str">
            <v>CD Nezahualcoyotl</v>
          </cell>
        </row>
        <row r="312">
          <cell r="C312">
            <v>6024</v>
          </cell>
          <cell r="D312" t="str">
            <v>CD Nezahualcoyotl</v>
          </cell>
        </row>
        <row r="313">
          <cell r="C313">
            <v>6024</v>
          </cell>
          <cell r="D313" t="str">
            <v>CD Nezahualcoyotl</v>
          </cell>
        </row>
        <row r="314">
          <cell r="C314">
            <v>6024</v>
          </cell>
          <cell r="D314" t="str">
            <v>CD Nezahualcoyotl</v>
          </cell>
        </row>
        <row r="315">
          <cell r="C315">
            <v>6024</v>
          </cell>
          <cell r="D315" t="str">
            <v>CD Nezahualcoyotl</v>
          </cell>
        </row>
        <row r="316">
          <cell r="C316">
            <v>6024</v>
          </cell>
          <cell r="D316" t="str">
            <v>CD Nezahualcoyotl</v>
          </cell>
        </row>
        <row r="317">
          <cell r="C317">
            <v>6024</v>
          </cell>
          <cell r="D317" t="str">
            <v>CD Nezahualcoyotl</v>
          </cell>
        </row>
        <row r="318">
          <cell r="C318">
            <v>6024</v>
          </cell>
          <cell r="D318" t="str">
            <v>CD Nezahualcoyotl</v>
          </cell>
        </row>
        <row r="319">
          <cell r="C319">
            <v>6024</v>
          </cell>
          <cell r="D319" t="str">
            <v>CD Nezahualcoyotl</v>
          </cell>
        </row>
        <row r="320">
          <cell r="C320">
            <v>6024</v>
          </cell>
          <cell r="D320" t="str">
            <v>CD Nezahualcoyotl</v>
          </cell>
        </row>
        <row r="321">
          <cell r="C321">
            <v>6024</v>
          </cell>
          <cell r="D321" t="str">
            <v>CD Nezahualcoyotl</v>
          </cell>
        </row>
        <row r="322">
          <cell r="C322">
            <v>6024</v>
          </cell>
          <cell r="D322" t="str">
            <v>CD Nezahualcoyotl</v>
          </cell>
        </row>
        <row r="323">
          <cell r="C323">
            <v>6025</v>
          </cell>
          <cell r="D323" t="str">
            <v>CD Nezahualcoyotl</v>
          </cell>
        </row>
        <row r="324">
          <cell r="C324">
            <v>6025</v>
          </cell>
          <cell r="D324" t="str">
            <v>CD Nezahualcoyotl</v>
          </cell>
        </row>
        <row r="325">
          <cell r="C325">
            <v>6025</v>
          </cell>
          <cell r="D325" t="str">
            <v>CD Nezahualcoyotl</v>
          </cell>
        </row>
        <row r="326">
          <cell r="C326">
            <v>6025</v>
          </cell>
          <cell r="D326" t="str">
            <v>CD Nezahualcoyotl</v>
          </cell>
        </row>
        <row r="327">
          <cell r="C327">
            <v>6025</v>
          </cell>
          <cell r="D327" t="str">
            <v>CD Nezahualcoyotl</v>
          </cell>
        </row>
        <row r="328">
          <cell r="C328">
            <v>6025</v>
          </cell>
          <cell r="D328" t="str">
            <v>CD Nezahualcoyotl</v>
          </cell>
        </row>
        <row r="329">
          <cell r="C329">
            <v>6025</v>
          </cell>
          <cell r="D329" t="str">
            <v>CD Nezahualcoyotl</v>
          </cell>
        </row>
        <row r="330">
          <cell r="C330">
            <v>6025</v>
          </cell>
          <cell r="D330" t="str">
            <v>CD Nezahualcoyotl</v>
          </cell>
        </row>
        <row r="331">
          <cell r="C331">
            <v>6025</v>
          </cell>
          <cell r="D331" t="str">
            <v>CD Nezahualcoyotl</v>
          </cell>
        </row>
        <row r="332">
          <cell r="C332">
            <v>6025</v>
          </cell>
          <cell r="D332" t="str">
            <v>CD Nezahualcoyotl</v>
          </cell>
        </row>
        <row r="333">
          <cell r="C333">
            <v>6025</v>
          </cell>
          <cell r="D333" t="str">
            <v>CD Nezahualcoyotl</v>
          </cell>
        </row>
        <row r="334">
          <cell r="C334">
            <v>6025</v>
          </cell>
          <cell r="D334" t="str">
            <v>CD Nezahualcoyotl</v>
          </cell>
        </row>
        <row r="335">
          <cell r="C335">
            <v>6025</v>
          </cell>
          <cell r="D335" t="str">
            <v>CD Nezahualcoyotl</v>
          </cell>
        </row>
        <row r="336">
          <cell r="C336">
            <v>6026</v>
          </cell>
          <cell r="D336" t="str">
            <v>Cuautitlan Izcalli</v>
          </cell>
        </row>
        <row r="337">
          <cell r="C337">
            <v>6026</v>
          </cell>
          <cell r="D337" t="str">
            <v>Cuautitlan Izcalli</v>
          </cell>
        </row>
        <row r="338">
          <cell r="C338">
            <v>6026</v>
          </cell>
          <cell r="D338" t="str">
            <v>Cuautitlan Izcalli</v>
          </cell>
        </row>
        <row r="339">
          <cell r="C339">
            <v>6026</v>
          </cell>
          <cell r="D339" t="str">
            <v>Cuautitlan Izcalli</v>
          </cell>
        </row>
        <row r="340">
          <cell r="C340">
            <v>6026</v>
          </cell>
          <cell r="D340" t="str">
            <v>Cuautitlan Izcalli</v>
          </cell>
        </row>
        <row r="341">
          <cell r="C341">
            <v>6026</v>
          </cell>
          <cell r="D341" t="str">
            <v>Cuautitlan Izcalli</v>
          </cell>
        </row>
        <row r="342">
          <cell r="C342">
            <v>6026</v>
          </cell>
          <cell r="D342" t="str">
            <v>Cuautitlan Izcalli</v>
          </cell>
        </row>
        <row r="343">
          <cell r="C343">
            <v>6026</v>
          </cell>
          <cell r="D343" t="str">
            <v>Cuautitlan Izcalli</v>
          </cell>
        </row>
        <row r="344">
          <cell r="C344">
            <v>6026</v>
          </cell>
          <cell r="D344" t="str">
            <v>Cuautitlan Izcalli</v>
          </cell>
        </row>
        <row r="345">
          <cell r="C345">
            <v>6026</v>
          </cell>
          <cell r="D345" t="str">
            <v>Cuautitlan Izcalli</v>
          </cell>
        </row>
        <row r="346">
          <cell r="C346">
            <v>6026</v>
          </cell>
          <cell r="D346" t="str">
            <v>Cuautitlan Izcalli</v>
          </cell>
        </row>
        <row r="347">
          <cell r="C347">
            <v>6026</v>
          </cell>
          <cell r="D347" t="str">
            <v>Cuautitlan Izcalli</v>
          </cell>
        </row>
        <row r="348">
          <cell r="C348">
            <v>6026</v>
          </cell>
          <cell r="D348" t="str">
            <v>Cuautitlan Izcalli</v>
          </cell>
        </row>
        <row r="349">
          <cell r="C349">
            <v>6027</v>
          </cell>
          <cell r="D349" t="str">
            <v>Valle de Chalco Solidaridad</v>
          </cell>
        </row>
        <row r="350">
          <cell r="C350">
            <v>6027</v>
          </cell>
          <cell r="D350" t="str">
            <v>Valle de Chalco Solidaridad</v>
          </cell>
        </row>
        <row r="351">
          <cell r="C351">
            <v>6027</v>
          </cell>
          <cell r="D351" t="str">
            <v>Valle de Chalco Solidaridad</v>
          </cell>
        </row>
        <row r="352">
          <cell r="C352">
            <v>6027</v>
          </cell>
          <cell r="D352" t="str">
            <v>Valle de Chalco Solidaridad</v>
          </cell>
        </row>
        <row r="353">
          <cell r="C353">
            <v>6027</v>
          </cell>
          <cell r="D353" t="str">
            <v>Valle de Chalco Solidaridad</v>
          </cell>
        </row>
        <row r="354">
          <cell r="C354">
            <v>6027</v>
          </cell>
          <cell r="D354" t="str">
            <v>Valle de Chalco Solidaridad</v>
          </cell>
        </row>
        <row r="355">
          <cell r="C355">
            <v>6027</v>
          </cell>
          <cell r="D355" t="str">
            <v>Valle de Chalco Solidaridad</v>
          </cell>
        </row>
        <row r="356">
          <cell r="C356">
            <v>6027</v>
          </cell>
          <cell r="D356" t="str">
            <v>Valle de Chalco Solidaridad</v>
          </cell>
        </row>
        <row r="357">
          <cell r="C357">
            <v>6027</v>
          </cell>
          <cell r="D357" t="str">
            <v>Valle de Chalco Solidaridad</v>
          </cell>
        </row>
        <row r="358">
          <cell r="C358">
            <v>6027</v>
          </cell>
          <cell r="D358" t="str">
            <v>Valle de Chalco Solidaridad</v>
          </cell>
        </row>
        <row r="359">
          <cell r="C359">
            <v>6027</v>
          </cell>
          <cell r="D359" t="str">
            <v>Valle de Chalco Solidaridad</v>
          </cell>
        </row>
        <row r="360">
          <cell r="C360">
            <v>6027</v>
          </cell>
          <cell r="D360" t="str">
            <v>Valle de Chalco Solidaridad</v>
          </cell>
        </row>
        <row r="361">
          <cell r="C361">
            <v>6027</v>
          </cell>
          <cell r="D361" t="str">
            <v>Valle de Chalco Solidaridad</v>
          </cell>
        </row>
        <row r="362">
          <cell r="C362">
            <v>6028</v>
          </cell>
          <cell r="D362" t="str">
            <v>Amecameca de juarez</v>
          </cell>
        </row>
        <row r="363">
          <cell r="C363">
            <v>6028</v>
          </cell>
          <cell r="D363" t="str">
            <v>Amecameca de juarez</v>
          </cell>
        </row>
        <row r="364">
          <cell r="C364">
            <v>6028</v>
          </cell>
          <cell r="D364" t="str">
            <v>Amecameca de juarez</v>
          </cell>
        </row>
        <row r="365">
          <cell r="C365">
            <v>6028</v>
          </cell>
          <cell r="D365" t="str">
            <v>Amecameca de juarez</v>
          </cell>
        </row>
        <row r="366">
          <cell r="C366">
            <v>6028</v>
          </cell>
          <cell r="D366" t="str">
            <v>Amecameca de juarez</v>
          </cell>
        </row>
        <row r="367">
          <cell r="C367">
            <v>6028</v>
          </cell>
          <cell r="D367" t="str">
            <v>Amecameca de juarez</v>
          </cell>
        </row>
        <row r="368">
          <cell r="C368">
            <v>6028</v>
          </cell>
          <cell r="D368" t="str">
            <v>Amecameca de juarez</v>
          </cell>
        </row>
        <row r="369">
          <cell r="C369">
            <v>6028</v>
          </cell>
          <cell r="D369" t="str">
            <v>Amecameca de juarez</v>
          </cell>
        </row>
        <row r="370">
          <cell r="C370">
            <v>6028</v>
          </cell>
          <cell r="D370" t="str">
            <v>Amecameca de juarez</v>
          </cell>
        </row>
        <row r="371">
          <cell r="C371">
            <v>6028</v>
          </cell>
          <cell r="D371" t="str">
            <v>Amecameca de juarez</v>
          </cell>
        </row>
        <row r="372">
          <cell r="C372">
            <v>6028</v>
          </cell>
          <cell r="D372" t="str">
            <v>Amecameca de juarez</v>
          </cell>
        </row>
        <row r="373">
          <cell r="C373">
            <v>6028</v>
          </cell>
          <cell r="D373" t="str">
            <v>Amecameca de juarez</v>
          </cell>
        </row>
        <row r="374">
          <cell r="C374">
            <v>6029</v>
          </cell>
          <cell r="D374" t="str">
            <v>Teaguistenco de Galeana</v>
          </cell>
        </row>
        <row r="375">
          <cell r="C375">
            <v>6029</v>
          </cell>
          <cell r="D375" t="str">
            <v>Teaguistenco de Galeana</v>
          </cell>
        </row>
        <row r="376">
          <cell r="C376">
            <v>6029</v>
          </cell>
          <cell r="D376" t="str">
            <v>Teaguistenco de Galeana</v>
          </cell>
        </row>
        <row r="377">
          <cell r="C377">
            <v>6029</v>
          </cell>
          <cell r="D377" t="str">
            <v>Teaguistenco de Galeana</v>
          </cell>
        </row>
        <row r="378">
          <cell r="C378">
            <v>6029</v>
          </cell>
          <cell r="D378" t="str">
            <v>Teaguistenco de Galeana</v>
          </cell>
        </row>
        <row r="379">
          <cell r="C379">
            <v>6029</v>
          </cell>
          <cell r="D379" t="str">
            <v>Teaguistenco de Galeana</v>
          </cell>
        </row>
        <row r="380">
          <cell r="C380">
            <v>6029</v>
          </cell>
          <cell r="D380" t="str">
            <v>Teaguistenco de Galeana</v>
          </cell>
        </row>
        <row r="381">
          <cell r="C381">
            <v>6029</v>
          </cell>
          <cell r="D381" t="str">
            <v>Teaguistenco de Galeana</v>
          </cell>
        </row>
        <row r="382">
          <cell r="C382">
            <v>6029</v>
          </cell>
          <cell r="D382" t="str">
            <v>Teaguistenco de Galeana</v>
          </cell>
        </row>
        <row r="383">
          <cell r="C383">
            <v>6029</v>
          </cell>
          <cell r="D383" t="str">
            <v>Teaguistenco de Galeana</v>
          </cell>
        </row>
        <row r="384">
          <cell r="C384">
            <v>6029</v>
          </cell>
          <cell r="D384" t="str">
            <v>Teaguistenco de Galeana</v>
          </cell>
        </row>
        <row r="385">
          <cell r="C385">
            <v>6029</v>
          </cell>
          <cell r="D385" t="str">
            <v>Teaguistenco de Galeana</v>
          </cell>
        </row>
        <row r="386">
          <cell r="C386">
            <v>6029</v>
          </cell>
          <cell r="D386" t="str">
            <v>Teaguistenco de Galeana</v>
          </cell>
        </row>
        <row r="387">
          <cell r="C387">
            <v>6029</v>
          </cell>
          <cell r="D387" t="str">
            <v>Teaguistenco de Galeana</v>
          </cell>
        </row>
        <row r="388">
          <cell r="C388">
            <v>6030</v>
          </cell>
          <cell r="D388" t="str">
            <v>Naucalpan de Juarez</v>
          </cell>
        </row>
        <row r="389">
          <cell r="C389">
            <v>6030</v>
          </cell>
          <cell r="D389" t="str">
            <v>Naucalpan de Juarez</v>
          </cell>
        </row>
        <row r="390">
          <cell r="C390">
            <v>6030</v>
          </cell>
          <cell r="D390" t="str">
            <v>Naucalpan de Juarez</v>
          </cell>
        </row>
        <row r="391">
          <cell r="C391">
            <v>6030</v>
          </cell>
          <cell r="D391" t="str">
            <v>Naucalpan de Juarez</v>
          </cell>
        </row>
        <row r="392">
          <cell r="C392">
            <v>6030</v>
          </cell>
          <cell r="D392" t="str">
            <v>Naucalpan de Juarez</v>
          </cell>
        </row>
        <row r="393">
          <cell r="C393">
            <v>6030</v>
          </cell>
          <cell r="D393" t="str">
            <v>Naucalpan de Juarez</v>
          </cell>
        </row>
        <row r="394">
          <cell r="C394">
            <v>6030</v>
          </cell>
          <cell r="D394" t="str">
            <v>Naucalpan de Juarez</v>
          </cell>
        </row>
        <row r="395">
          <cell r="C395">
            <v>6030</v>
          </cell>
          <cell r="D395" t="str">
            <v>Naucalpan de Juarez</v>
          </cell>
        </row>
        <row r="396">
          <cell r="C396">
            <v>6030</v>
          </cell>
          <cell r="D396" t="str">
            <v>Naucalpan de Juarez</v>
          </cell>
        </row>
        <row r="397">
          <cell r="C397">
            <v>6030</v>
          </cell>
          <cell r="D397" t="str">
            <v>Naucalpan de Juarez</v>
          </cell>
        </row>
        <row r="398">
          <cell r="C398">
            <v>6030</v>
          </cell>
          <cell r="D398" t="str">
            <v>Naucalpan de Juarez</v>
          </cell>
        </row>
        <row r="399">
          <cell r="C399">
            <v>6030</v>
          </cell>
          <cell r="D399" t="str">
            <v>Naucalpan de Juarez</v>
          </cell>
        </row>
        <row r="400">
          <cell r="C400">
            <v>6031</v>
          </cell>
          <cell r="D400" t="str">
            <v>Los Reyes Acaquilpan</v>
          </cell>
        </row>
        <row r="401">
          <cell r="C401">
            <v>6031</v>
          </cell>
          <cell r="D401" t="str">
            <v>Los Reyes Acaquilpan</v>
          </cell>
        </row>
        <row r="402">
          <cell r="C402">
            <v>6031</v>
          </cell>
          <cell r="D402" t="str">
            <v>Los Reyes Acaquilpan</v>
          </cell>
        </row>
        <row r="403">
          <cell r="C403">
            <v>6031</v>
          </cell>
          <cell r="D403" t="str">
            <v>Los Reyes Acaquilpan</v>
          </cell>
        </row>
        <row r="404">
          <cell r="C404">
            <v>6031</v>
          </cell>
          <cell r="D404" t="str">
            <v>Los Reyes Acaquilpan</v>
          </cell>
        </row>
        <row r="405">
          <cell r="C405">
            <v>6031</v>
          </cell>
          <cell r="D405" t="str">
            <v>Los Reyes Acaquilpan</v>
          </cell>
        </row>
        <row r="406">
          <cell r="C406">
            <v>6031</v>
          </cell>
          <cell r="D406" t="str">
            <v>Los Reyes Acaquilpan</v>
          </cell>
        </row>
        <row r="407">
          <cell r="C407">
            <v>6031</v>
          </cell>
          <cell r="D407" t="str">
            <v>Los Reyes Acaquilpan</v>
          </cell>
        </row>
        <row r="408">
          <cell r="C408">
            <v>6031</v>
          </cell>
          <cell r="D408" t="str">
            <v>Los Reyes Acaquilpan</v>
          </cell>
        </row>
        <row r="409">
          <cell r="C409">
            <v>6031</v>
          </cell>
          <cell r="D409" t="str">
            <v>Los Reyes Acaquilpan</v>
          </cell>
        </row>
        <row r="410">
          <cell r="C410">
            <v>6031</v>
          </cell>
          <cell r="D410" t="str">
            <v>Los Reyes Acaquilpan</v>
          </cell>
        </row>
        <row r="411">
          <cell r="C411">
            <v>6031</v>
          </cell>
          <cell r="D411" t="str">
            <v>Los Reyes Acaquilpan</v>
          </cell>
        </row>
        <row r="412">
          <cell r="C412">
            <v>6031</v>
          </cell>
          <cell r="D412" t="str">
            <v>Los Reyes Acaquilpan</v>
          </cell>
        </row>
        <row r="413">
          <cell r="C413">
            <v>6031</v>
          </cell>
          <cell r="D413" t="str">
            <v>Los Reyes Acaquilpan</v>
          </cell>
        </row>
        <row r="414">
          <cell r="C414">
            <v>6031</v>
          </cell>
          <cell r="D414" t="str">
            <v>Los Reyes Acaquilpan</v>
          </cell>
        </row>
        <row r="415">
          <cell r="C415">
            <v>6031</v>
          </cell>
          <cell r="D415" t="str">
            <v>Los Reyes Acaquilpan</v>
          </cell>
        </row>
        <row r="416">
          <cell r="C416">
            <v>6031</v>
          </cell>
          <cell r="D416" t="str">
            <v>Los Reyes Acaquilpan</v>
          </cell>
        </row>
        <row r="417">
          <cell r="C417">
            <v>6032</v>
          </cell>
          <cell r="D417" t="str">
            <v>Naucalpan de Juarez</v>
          </cell>
        </row>
        <row r="418">
          <cell r="C418">
            <v>6032</v>
          </cell>
          <cell r="D418" t="str">
            <v>Naucalpan de Juarez</v>
          </cell>
        </row>
        <row r="419">
          <cell r="C419">
            <v>6032</v>
          </cell>
          <cell r="D419" t="str">
            <v>Naucalpan de Juarez</v>
          </cell>
        </row>
        <row r="420">
          <cell r="C420">
            <v>6032</v>
          </cell>
          <cell r="D420" t="str">
            <v>Naucalpan de Juarez</v>
          </cell>
        </row>
        <row r="421">
          <cell r="C421">
            <v>6032</v>
          </cell>
          <cell r="D421" t="str">
            <v>Naucalpan de Juarez</v>
          </cell>
        </row>
        <row r="422">
          <cell r="C422">
            <v>6032</v>
          </cell>
          <cell r="D422" t="str">
            <v>Naucalpan de Juarez</v>
          </cell>
        </row>
        <row r="423">
          <cell r="C423">
            <v>6032</v>
          </cell>
          <cell r="D423" t="str">
            <v>Naucalpan de Juarez</v>
          </cell>
        </row>
        <row r="424">
          <cell r="C424">
            <v>6032</v>
          </cell>
          <cell r="D424" t="str">
            <v>Naucalpan de Juarez</v>
          </cell>
        </row>
        <row r="425">
          <cell r="C425">
            <v>6032</v>
          </cell>
          <cell r="D425" t="str">
            <v>Naucalpan de Juarez</v>
          </cell>
        </row>
        <row r="426">
          <cell r="C426">
            <v>6032</v>
          </cell>
          <cell r="D426" t="str">
            <v>Naucalpan de Juarez</v>
          </cell>
        </row>
        <row r="427">
          <cell r="C427">
            <v>6032</v>
          </cell>
          <cell r="D427" t="str">
            <v>Naucalpan de Juarez</v>
          </cell>
        </row>
        <row r="428">
          <cell r="C428">
            <v>6032</v>
          </cell>
          <cell r="D428" t="str">
            <v>Naucalpan de Juarez</v>
          </cell>
        </row>
        <row r="429">
          <cell r="C429">
            <v>6033</v>
          </cell>
          <cell r="D429" t="str">
            <v>Ojo de Agua (Tecamac)</v>
          </cell>
        </row>
        <row r="430">
          <cell r="C430">
            <v>6033</v>
          </cell>
          <cell r="D430" t="str">
            <v>Ojo de Agua (Tecamac)</v>
          </cell>
        </row>
        <row r="431">
          <cell r="C431">
            <v>6033</v>
          </cell>
          <cell r="D431" t="str">
            <v>Ojo de Agua (Tecamac)</v>
          </cell>
        </row>
        <row r="432">
          <cell r="C432">
            <v>6033</v>
          </cell>
          <cell r="D432" t="str">
            <v>Ojo de Agua (Tecamac)</v>
          </cell>
        </row>
        <row r="433">
          <cell r="C433">
            <v>6033</v>
          </cell>
          <cell r="D433" t="str">
            <v>Ojo de Agua (Tecamac)</v>
          </cell>
        </row>
        <row r="434">
          <cell r="C434">
            <v>6033</v>
          </cell>
          <cell r="D434" t="str">
            <v>Ojo de Agua (Tecamac)</v>
          </cell>
        </row>
        <row r="435">
          <cell r="C435">
            <v>6033</v>
          </cell>
          <cell r="D435" t="str">
            <v>Ojo de Agua (Tecamac)</v>
          </cell>
        </row>
        <row r="436">
          <cell r="C436">
            <v>6033</v>
          </cell>
          <cell r="D436" t="str">
            <v>Ojo de Agua (Tecamac)</v>
          </cell>
        </row>
        <row r="437">
          <cell r="C437">
            <v>6033</v>
          </cell>
          <cell r="D437" t="str">
            <v>Ojo de Agua (Tecamac)</v>
          </cell>
        </row>
        <row r="438">
          <cell r="C438">
            <v>6033</v>
          </cell>
          <cell r="D438" t="str">
            <v>Ojo de Agua (Tecamac)</v>
          </cell>
        </row>
        <row r="439">
          <cell r="C439">
            <v>6033</v>
          </cell>
          <cell r="D439" t="str">
            <v>Ojo de Agua (Tecamac)</v>
          </cell>
        </row>
        <row r="440">
          <cell r="C440">
            <v>6033</v>
          </cell>
          <cell r="D440" t="str">
            <v>Ojo de Agua (Tecamac)</v>
          </cell>
        </row>
        <row r="441">
          <cell r="C441">
            <v>6033</v>
          </cell>
          <cell r="D441" t="str">
            <v>Ojo de Agua (Tecamac)</v>
          </cell>
        </row>
        <row r="442">
          <cell r="C442">
            <v>6034</v>
          </cell>
          <cell r="D442" t="str">
            <v>Touca de Lerdo</v>
          </cell>
        </row>
        <row r="443">
          <cell r="C443">
            <v>6034</v>
          </cell>
          <cell r="D443" t="str">
            <v>Touca de Lerdo</v>
          </cell>
        </row>
        <row r="444">
          <cell r="C444">
            <v>6034</v>
          </cell>
          <cell r="D444" t="str">
            <v>Touca de Lerdo</v>
          </cell>
        </row>
        <row r="445">
          <cell r="C445">
            <v>6034</v>
          </cell>
          <cell r="D445" t="str">
            <v>Touca de Lerdo</v>
          </cell>
        </row>
        <row r="446">
          <cell r="C446">
            <v>6034</v>
          </cell>
          <cell r="D446" t="str">
            <v>Touca de Lerdo</v>
          </cell>
        </row>
        <row r="447">
          <cell r="C447">
            <v>6034</v>
          </cell>
          <cell r="D447" t="str">
            <v>Touca de Lerdo</v>
          </cell>
        </row>
        <row r="448">
          <cell r="C448">
            <v>6034</v>
          </cell>
          <cell r="D448" t="str">
            <v>Touca de Lerdo</v>
          </cell>
        </row>
        <row r="449">
          <cell r="C449">
            <v>6034</v>
          </cell>
          <cell r="D449" t="str">
            <v>Touca de Lerdo</v>
          </cell>
        </row>
        <row r="450">
          <cell r="C450">
            <v>6034</v>
          </cell>
          <cell r="D450" t="str">
            <v>Touca de Lerdo</v>
          </cell>
        </row>
        <row r="451">
          <cell r="C451">
            <v>6034</v>
          </cell>
          <cell r="D451" t="str">
            <v>Touca de Lerdo</v>
          </cell>
        </row>
        <row r="452">
          <cell r="C452">
            <v>6034</v>
          </cell>
          <cell r="D452" t="str">
            <v>Touca de Lerdo</v>
          </cell>
        </row>
        <row r="453">
          <cell r="C453">
            <v>6034</v>
          </cell>
          <cell r="D453" t="str">
            <v>Touca de Lerdo</v>
          </cell>
        </row>
        <row r="454">
          <cell r="C454">
            <v>6034</v>
          </cell>
          <cell r="D454" t="str">
            <v>Touca de Lerdo</v>
          </cell>
        </row>
        <row r="455">
          <cell r="C455">
            <v>6035</v>
          </cell>
          <cell r="D455" t="str">
            <v>Metepec</v>
          </cell>
        </row>
        <row r="456">
          <cell r="C456">
            <v>6035</v>
          </cell>
          <cell r="D456" t="str">
            <v>Metepec</v>
          </cell>
        </row>
        <row r="457">
          <cell r="C457">
            <v>6035</v>
          </cell>
          <cell r="D457" t="str">
            <v>Metepec</v>
          </cell>
        </row>
        <row r="458">
          <cell r="C458">
            <v>6035</v>
          </cell>
          <cell r="D458" t="str">
            <v>Metepec</v>
          </cell>
        </row>
        <row r="459">
          <cell r="C459">
            <v>6035</v>
          </cell>
          <cell r="D459" t="str">
            <v>Metepec</v>
          </cell>
        </row>
        <row r="460">
          <cell r="C460">
            <v>6035</v>
          </cell>
          <cell r="D460" t="str">
            <v>Metepec</v>
          </cell>
        </row>
        <row r="461">
          <cell r="C461">
            <v>6035</v>
          </cell>
          <cell r="D461" t="str">
            <v>Metepec</v>
          </cell>
        </row>
        <row r="462">
          <cell r="C462">
            <v>6035</v>
          </cell>
          <cell r="D462" t="str">
            <v>Metepec</v>
          </cell>
        </row>
        <row r="463">
          <cell r="C463">
            <v>6035</v>
          </cell>
          <cell r="D463" t="str">
            <v>Metepec</v>
          </cell>
        </row>
        <row r="464">
          <cell r="C464">
            <v>6035</v>
          </cell>
          <cell r="D464" t="str">
            <v>Metepec</v>
          </cell>
        </row>
        <row r="465">
          <cell r="C465">
            <v>6035</v>
          </cell>
          <cell r="D465" t="str">
            <v>Metepec</v>
          </cell>
        </row>
        <row r="466">
          <cell r="C466">
            <v>6035</v>
          </cell>
          <cell r="D466" t="str">
            <v>Metepec</v>
          </cell>
        </row>
        <row r="467">
          <cell r="C467">
            <v>6035</v>
          </cell>
          <cell r="D467" t="str">
            <v>Metepec</v>
          </cell>
        </row>
        <row r="468">
          <cell r="C468">
            <v>6036</v>
          </cell>
          <cell r="D468" t="str">
            <v>San Miguel Zinacantepec</v>
          </cell>
        </row>
        <row r="469">
          <cell r="C469">
            <v>6036</v>
          </cell>
          <cell r="D469" t="str">
            <v>San Miguel Zinacantepec</v>
          </cell>
        </row>
        <row r="470">
          <cell r="C470">
            <v>6036</v>
          </cell>
          <cell r="D470" t="str">
            <v>San Miguel Zinacantepec</v>
          </cell>
        </row>
        <row r="471">
          <cell r="C471">
            <v>6036</v>
          </cell>
          <cell r="D471" t="str">
            <v>San Miguel Zinacantepec</v>
          </cell>
        </row>
        <row r="472">
          <cell r="C472">
            <v>6036</v>
          </cell>
          <cell r="D472" t="str">
            <v>San Miguel Zinacantepec</v>
          </cell>
        </row>
        <row r="473">
          <cell r="C473">
            <v>6036</v>
          </cell>
          <cell r="D473" t="str">
            <v>San Miguel Zinacantepec</v>
          </cell>
        </row>
        <row r="474">
          <cell r="C474">
            <v>6036</v>
          </cell>
          <cell r="D474" t="str">
            <v>San Miguel Zinacantepec</v>
          </cell>
        </row>
        <row r="475">
          <cell r="C475">
            <v>6036</v>
          </cell>
          <cell r="D475" t="str">
            <v>San Miguel Zinacantepec</v>
          </cell>
        </row>
        <row r="476">
          <cell r="C476">
            <v>6036</v>
          </cell>
          <cell r="D476" t="str">
            <v>San Miguel Zinacantepec</v>
          </cell>
        </row>
        <row r="477">
          <cell r="C477">
            <v>6036</v>
          </cell>
          <cell r="D477" t="str">
            <v>San Miguel Zinacantepec</v>
          </cell>
        </row>
        <row r="478">
          <cell r="C478">
            <v>6036</v>
          </cell>
          <cell r="D478" t="str">
            <v>San Miguel Zinacantepec</v>
          </cell>
        </row>
        <row r="479">
          <cell r="C479">
            <v>6036</v>
          </cell>
          <cell r="D479" t="str">
            <v>San Miguel Zinacantepec</v>
          </cell>
        </row>
        <row r="480">
          <cell r="C480">
            <v>6036</v>
          </cell>
          <cell r="D480" t="str">
            <v>San Miguel Zinacantepec</v>
          </cell>
        </row>
        <row r="481">
          <cell r="C481">
            <v>6037</v>
          </cell>
          <cell r="D481" t="str">
            <v>Tlanepantla de Baz</v>
          </cell>
        </row>
        <row r="482">
          <cell r="C482">
            <v>6037</v>
          </cell>
          <cell r="D482" t="str">
            <v>Tlanepantla de Baz</v>
          </cell>
        </row>
        <row r="483">
          <cell r="C483">
            <v>6037</v>
          </cell>
          <cell r="D483" t="str">
            <v>Tlanepantla de Baz</v>
          </cell>
        </row>
        <row r="484">
          <cell r="C484">
            <v>6037</v>
          </cell>
          <cell r="D484" t="str">
            <v>Tlanepantla de Baz</v>
          </cell>
        </row>
        <row r="485">
          <cell r="C485">
            <v>6037</v>
          </cell>
          <cell r="D485" t="str">
            <v>Tlanepantla de Baz</v>
          </cell>
        </row>
        <row r="486">
          <cell r="C486">
            <v>6037</v>
          </cell>
          <cell r="D486" t="str">
            <v>Tlanepantla de Baz</v>
          </cell>
        </row>
        <row r="487">
          <cell r="C487">
            <v>6037</v>
          </cell>
          <cell r="D487" t="str">
            <v>Tlanepantla de Baz</v>
          </cell>
        </row>
        <row r="488">
          <cell r="C488">
            <v>6037</v>
          </cell>
          <cell r="D488" t="str">
            <v>Tlanepantla de Baz</v>
          </cell>
        </row>
        <row r="489">
          <cell r="C489">
            <v>6037</v>
          </cell>
          <cell r="D489" t="str">
            <v>Tlanepantla de Baz</v>
          </cell>
        </row>
        <row r="490">
          <cell r="C490">
            <v>6037</v>
          </cell>
          <cell r="D490" t="str">
            <v>Tlanepantla de Baz</v>
          </cell>
        </row>
        <row r="491">
          <cell r="C491">
            <v>6037</v>
          </cell>
          <cell r="D491" t="str">
            <v>Tlanepantla de Baz</v>
          </cell>
        </row>
        <row r="492">
          <cell r="C492">
            <v>6037</v>
          </cell>
          <cell r="D492" t="str">
            <v>Tlanepantla de Baz</v>
          </cell>
        </row>
        <row r="493">
          <cell r="C493">
            <v>6037</v>
          </cell>
          <cell r="D493" t="str">
            <v>Tlanepantla de Baz</v>
          </cell>
        </row>
        <row r="494">
          <cell r="C494">
            <v>6038</v>
          </cell>
          <cell r="D494" t="str">
            <v>Coacalco de Berriozabal</v>
          </cell>
        </row>
        <row r="495">
          <cell r="C495">
            <v>6038</v>
          </cell>
          <cell r="D495" t="str">
            <v>Coacalco de Berriozabal</v>
          </cell>
        </row>
        <row r="496">
          <cell r="C496">
            <v>6038</v>
          </cell>
          <cell r="D496" t="str">
            <v>Coacalco de Berriozabal</v>
          </cell>
        </row>
        <row r="497">
          <cell r="C497">
            <v>6038</v>
          </cell>
          <cell r="D497" t="str">
            <v>Coacalco de Berriozabal</v>
          </cell>
        </row>
        <row r="498">
          <cell r="C498">
            <v>6038</v>
          </cell>
          <cell r="D498" t="str">
            <v>Coacalco de Berriozabal</v>
          </cell>
        </row>
        <row r="499">
          <cell r="C499">
            <v>6038</v>
          </cell>
          <cell r="D499" t="str">
            <v>Coacalco de Berriozabal</v>
          </cell>
        </row>
        <row r="500">
          <cell r="C500">
            <v>6038</v>
          </cell>
          <cell r="D500" t="str">
            <v>Coacalco de Berriozabal</v>
          </cell>
        </row>
        <row r="501">
          <cell r="C501">
            <v>6038</v>
          </cell>
          <cell r="D501" t="str">
            <v>Coacalco de Berriozabal</v>
          </cell>
        </row>
        <row r="502">
          <cell r="C502">
            <v>6038</v>
          </cell>
          <cell r="D502" t="str">
            <v>Coacalco de Berriozabal</v>
          </cell>
        </row>
        <row r="503">
          <cell r="C503">
            <v>6038</v>
          </cell>
          <cell r="D503" t="str">
            <v>Coacalco de Berriozabal</v>
          </cell>
        </row>
        <row r="504">
          <cell r="C504">
            <v>6038</v>
          </cell>
          <cell r="D504" t="str">
            <v>Coacalco de Berriozabal</v>
          </cell>
        </row>
        <row r="505">
          <cell r="C505">
            <v>6038</v>
          </cell>
          <cell r="D505" t="str">
            <v>Coacalco de Berriozabal</v>
          </cell>
        </row>
        <row r="506">
          <cell r="C506">
            <v>6038</v>
          </cell>
          <cell r="D506" t="str">
            <v>Coacalco de Berriozabal</v>
          </cell>
        </row>
        <row r="507">
          <cell r="C507">
            <v>6039</v>
          </cell>
          <cell r="D507" t="str">
            <v>Tepexpan (Acolman)</v>
          </cell>
        </row>
        <row r="508">
          <cell r="C508">
            <v>6039</v>
          </cell>
          <cell r="D508" t="str">
            <v>Tepexpan (Acolman)</v>
          </cell>
        </row>
        <row r="509">
          <cell r="C509">
            <v>6039</v>
          </cell>
          <cell r="D509" t="str">
            <v>Tepexpan (Acolman)</v>
          </cell>
        </row>
        <row r="510">
          <cell r="C510">
            <v>6039</v>
          </cell>
          <cell r="D510" t="str">
            <v>Tepexpan (Acolman)</v>
          </cell>
        </row>
        <row r="511">
          <cell r="C511">
            <v>6039</v>
          </cell>
          <cell r="D511" t="str">
            <v>Tepexpan (Acolman)</v>
          </cell>
        </row>
        <row r="512">
          <cell r="C512">
            <v>6039</v>
          </cell>
          <cell r="D512" t="str">
            <v>Tepexpan (Acolman)</v>
          </cell>
        </row>
        <row r="513">
          <cell r="C513">
            <v>6039</v>
          </cell>
          <cell r="D513" t="str">
            <v>Tepexpan (Acolman)</v>
          </cell>
        </row>
        <row r="514">
          <cell r="C514">
            <v>6039</v>
          </cell>
          <cell r="D514" t="str">
            <v>Tepexpan (Acolman)</v>
          </cell>
        </row>
        <row r="515">
          <cell r="C515">
            <v>6039</v>
          </cell>
          <cell r="D515" t="str">
            <v>Tepexpan (Acolman)</v>
          </cell>
        </row>
        <row r="516">
          <cell r="C516">
            <v>6039</v>
          </cell>
          <cell r="D516" t="str">
            <v>Tepexpan (Acolman)</v>
          </cell>
        </row>
        <row r="517">
          <cell r="C517">
            <v>6039</v>
          </cell>
          <cell r="D517" t="str">
            <v>Tepexpan (Acolman)</v>
          </cell>
        </row>
        <row r="518">
          <cell r="C518">
            <v>6039</v>
          </cell>
          <cell r="D518" t="str">
            <v>Tepexpan (Acolman)</v>
          </cell>
        </row>
        <row r="519">
          <cell r="C519">
            <v>6039</v>
          </cell>
          <cell r="D519" t="str">
            <v>Tepexpan (Acolman)</v>
          </cell>
        </row>
        <row r="520">
          <cell r="C520">
            <v>6040</v>
          </cell>
          <cell r="D520" t="str">
            <v>Ixtapaluca</v>
          </cell>
        </row>
        <row r="521">
          <cell r="C521">
            <v>6040</v>
          </cell>
          <cell r="D521" t="str">
            <v>Ixtapaluca</v>
          </cell>
        </row>
        <row r="522">
          <cell r="C522">
            <v>6040</v>
          </cell>
          <cell r="D522" t="str">
            <v>Ixtapaluca</v>
          </cell>
        </row>
        <row r="523">
          <cell r="C523">
            <v>6040</v>
          </cell>
          <cell r="D523" t="str">
            <v>Ixtapaluca</v>
          </cell>
        </row>
        <row r="524">
          <cell r="C524">
            <v>6040</v>
          </cell>
          <cell r="D524" t="str">
            <v>Ixtapaluca</v>
          </cell>
        </row>
        <row r="525">
          <cell r="C525">
            <v>6040</v>
          </cell>
          <cell r="D525" t="str">
            <v>Ixtapaluca</v>
          </cell>
        </row>
        <row r="526">
          <cell r="C526">
            <v>6040</v>
          </cell>
          <cell r="D526" t="str">
            <v>Ixtapaluca</v>
          </cell>
        </row>
        <row r="527">
          <cell r="C527">
            <v>6040</v>
          </cell>
          <cell r="D527" t="str">
            <v>Ixtapaluca</v>
          </cell>
        </row>
        <row r="528">
          <cell r="C528">
            <v>6040</v>
          </cell>
          <cell r="D528" t="str">
            <v>Ixtapaluca</v>
          </cell>
        </row>
        <row r="529">
          <cell r="C529">
            <v>6040</v>
          </cell>
          <cell r="D529" t="str">
            <v>Ixtapaluca</v>
          </cell>
        </row>
        <row r="530">
          <cell r="C530">
            <v>6040</v>
          </cell>
          <cell r="D530" t="str">
            <v>Ixtapaluca</v>
          </cell>
        </row>
        <row r="531">
          <cell r="C531">
            <v>6040</v>
          </cell>
          <cell r="D531" t="str">
            <v>Ixtapaluca</v>
          </cell>
        </row>
        <row r="532">
          <cell r="C532">
            <v>6040</v>
          </cell>
          <cell r="D532" t="str">
            <v>Ixtapaluca</v>
          </cell>
        </row>
        <row r="533">
          <cell r="C533">
            <v>6041</v>
          </cell>
          <cell r="D533" t="str">
            <v>CD. Nezahualcoyotl</v>
          </cell>
        </row>
        <row r="534">
          <cell r="C534">
            <v>6041</v>
          </cell>
          <cell r="D534" t="str">
            <v>CD. Nezahualcoyotl</v>
          </cell>
        </row>
        <row r="535">
          <cell r="C535">
            <v>6041</v>
          </cell>
          <cell r="D535" t="str">
            <v>CD. Nezahualcoyotl</v>
          </cell>
        </row>
        <row r="536">
          <cell r="C536">
            <v>6041</v>
          </cell>
          <cell r="D536" t="str">
            <v>CD. Nezahualcoyotl</v>
          </cell>
        </row>
        <row r="537">
          <cell r="C537">
            <v>6041</v>
          </cell>
          <cell r="D537" t="str">
            <v>CD. Nezahualcoyotl</v>
          </cell>
        </row>
        <row r="538">
          <cell r="C538">
            <v>6041</v>
          </cell>
          <cell r="D538" t="str">
            <v>CD. Nezahualcoyotl</v>
          </cell>
        </row>
        <row r="539">
          <cell r="C539">
            <v>6041</v>
          </cell>
          <cell r="D539" t="str">
            <v>CD. Nezahualcoyotl</v>
          </cell>
        </row>
        <row r="540">
          <cell r="C540">
            <v>6041</v>
          </cell>
          <cell r="D540" t="str">
            <v>CD. Nezahualcoyotl</v>
          </cell>
        </row>
        <row r="541">
          <cell r="C541">
            <v>6041</v>
          </cell>
          <cell r="D541" t="str">
            <v>CD. Nezahualcoyotl</v>
          </cell>
        </row>
        <row r="542">
          <cell r="C542">
            <v>6041</v>
          </cell>
          <cell r="D542" t="str">
            <v>CD. Nezahualcoyotl</v>
          </cell>
        </row>
        <row r="543">
          <cell r="C543">
            <v>6041</v>
          </cell>
          <cell r="D543" t="str">
            <v>CD. Nezahualcoyotl</v>
          </cell>
        </row>
        <row r="544">
          <cell r="C544">
            <v>6041</v>
          </cell>
          <cell r="D544" t="str">
            <v>CD. Nezahualcoyotl</v>
          </cell>
        </row>
        <row r="545">
          <cell r="C545">
            <v>6041</v>
          </cell>
          <cell r="D545" t="str">
            <v>CD. Nezahualcoyotl</v>
          </cell>
        </row>
        <row r="546">
          <cell r="C546">
            <v>6042</v>
          </cell>
          <cell r="D546" t="str">
            <v>Ecatepec de Morelos</v>
          </cell>
        </row>
        <row r="547">
          <cell r="C547">
            <v>6042</v>
          </cell>
          <cell r="D547" t="str">
            <v>Ecatepec de Morelos</v>
          </cell>
        </row>
        <row r="548">
          <cell r="C548">
            <v>6042</v>
          </cell>
          <cell r="D548" t="str">
            <v>Ecatepec de Morelos</v>
          </cell>
        </row>
        <row r="549">
          <cell r="C549">
            <v>6042</v>
          </cell>
          <cell r="D549" t="str">
            <v>Ecatepec de Morelos</v>
          </cell>
        </row>
        <row r="550">
          <cell r="C550">
            <v>6042</v>
          </cell>
          <cell r="D550" t="str">
            <v>Ecatepec de Morelos</v>
          </cell>
        </row>
        <row r="551">
          <cell r="C551">
            <v>6042</v>
          </cell>
          <cell r="D551" t="str">
            <v>Ecatepec de Morelos</v>
          </cell>
        </row>
        <row r="552">
          <cell r="C552">
            <v>6042</v>
          </cell>
          <cell r="D552" t="str">
            <v>Ecatepec de Morelos</v>
          </cell>
        </row>
        <row r="553">
          <cell r="C553">
            <v>6042</v>
          </cell>
          <cell r="D553" t="str">
            <v>Ecatepec de Morelos</v>
          </cell>
        </row>
        <row r="554">
          <cell r="C554">
            <v>6042</v>
          </cell>
          <cell r="D554" t="str">
            <v>Ecatepec de Morelos</v>
          </cell>
        </row>
        <row r="555">
          <cell r="C555">
            <v>6042</v>
          </cell>
          <cell r="D555" t="str">
            <v>Ecatepec de Morelos</v>
          </cell>
        </row>
        <row r="556">
          <cell r="C556">
            <v>6042</v>
          </cell>
          <cell r="D556" t="str">
            <v>Ecatepec de Morelos</v>
          </cell>
        </row>
        <row r="557">
          <cell r="C557">
            <v>6042</v>
          </cell>
          <cell r="D557" t="str">
            <v>Ecatepec de Morelos</v>
          </cell>
        </row>
        <row r="558">
          <cell r="C558">
            <v>6042</v>
          </cell>
          <cell r="D558" t="str">
            <v>Ecatepec de Morelos</v>
          </cell>
        </row>
        <row r="559">
          <cell r="C559">
            <v>6043</v>
          </cell>
          <cell r="D559" t="str">
            <v>Cuautitlan Izcalli</v>
          </cell>
        </row>
        <row r="560">
          <cell r="C560">
            <v>6043</v>
          </cell>
          <cell r="D560" t="str">
            <v>Cuautitlan Izcalli</v>
          </cell>
        </row>
        <row r="561">
          <cell r="C561">
            <v>6043</v>
          </cell>
          <cell r="D561" t="str">
            <v>Cuautitlan Izcalli</v>
          </cell>
        </row>
        <row r="562">
          <cell r="C562">
            <v>6043</v>
          </cell>
          <cell r="D562" t="str">
            <v>Cuautitlan Izcalli</v>
          </cell>
        </row>
        <row r="563">
          <cell r="C563">
            <v>6043</v>
          </cell>
          <cell r="D563" t="str">
            <v>Cuautitlan Izcalli</v>
          </cell>
        </row>
        <row r="564">
          <cell r="C564">
            <v>6043</v>
          </cell>
          <cell r="D564" t="str">
            <v>Cuautitlan Izcalli</v>
          </cell>
        </row>
        <row r="565">
          <cell r="C565">
            <v>6043</v>
          </cell>
          <cell r="D565" t="str">
            <v>Cuautitlan Izcalli</v>
          </cell>
        </row>
        <row r="566">
          <cell r="C566">
            <v>6043</v>
          </cell>
          <cell r="D566" t="str">
            <v>Cuautitlan Izcalli</v>
          </cell>
        </row>
        <row r="567">
          <cell r="C567">
            <v>6043</v>
          </cell>
          <cell r="D567" t="str">
            <v>Cuautitlan Izcalli</v>
          </cell>
        </row>
        <row r="568">
          <cell r="C568">
            <v>6043</v>
          </cell>
          <cell r="D568" t="str">
            <v>Cuautitlan Izcalli</v>
          </cell>
        </row>
        <row r="569">
          <cell r="C569">
            <v>6043</v>
          </cell>
          <cell r="D569" t="str">
            <v>Cuautitlan Izcalli</v>
          </cell>
        </row>
        <row r="570">
          <cell r="C570">
            <v>6043</v>
          </cell>
          <cell r="D570" t="str">
            <v>Cuautitlan Izcalli</v>
          </cell>
        </row>
        <row r="571">
          <cell r="C571">
            <v>6043</v>
          </cell>
          <cell r="D571" t="str">
            <v>Cuautitlan Izcalli</v>
          </cell>
        </row>
        <row r="572">
          <cell r="C572">
            <v>6044</v>
          </cell>
          <cell r="D572" t="str">
            <v>Nicolas Romero</v>
          </cell>
        </row>
        <row r="573">
          <cell r="C573">
            <v>6044</v>
          </cell>
          <cell r="D573" t="str">
            <v>Nicolas Romero</v>
          </cell>
        </row>
        <row r="574">
          <cell r="C574">
            <v>6044</v>
          </cell>
          <cell r="D574" t="str">
            <v>Nicolas Romero</v>
          </cell>
        </row>
        <row r="575">
          <cell r="C575">
            <v>6044</v>
          </cell>
          <cell r="D575" t="str">
            <v>Nicolas Romero</v>
          </cell>
        </row>
        <row r="576">
          <cell r="C576">
            <v>6044</v>
          </cell>
          <cell r="D576" t="str">
            <v>Nicolas Romero</v>
          </cell>
        </row>
        <row r="577">
          <cell r="C577">
            <v>6044</v>
          </cell>
          <cell r="D577" t="str">
            <v>Nicolas Romero</v>
          </cell>
        </row>
        <row r="578">
          <cell r="C578">
            <v>6044</v>
          </cell>
          <cell r="D578" t="str">
            <v>Nicolas Romero</v>
          </cell>
        </row>
        <row r="579">
          <cell r="C579">
            <v>6044</v>
          </cell>
          <cell r="D579" t="str">
            <v>Nicolas Romero</v>
          </cell>
        </row>
        <row r="580">
          <cell r="C580">
            <v>6044</v>
          </cell>
          <cell r="D580" t="str">
            <v>Nicolas Romero</v>
          </cell>
        </row>
        <row r="581">
          <cell r="C581">
            <v>6044</v>
          </cell>
          <cell r="D581" t="str">
            <v>Nicolas Romero</v>
          </cell>
        </row>
        <row r="582">
          <cell r="C582">
            <v>6044</v>
          </cell>
          <cell r="D582" t="str">
            <v>Nicolas Romero</v>
          </cell>
        </row>
        <row r="583">
          <cell r="C583">
            <v>6044</v>
          </cell>
          <cell r="D583" t="str">
            <v>Nicolas Romero</v>
          </cell>
        </row>
        <row r="584">
          <cell r="C584">
            <v>6044</v>
          </cell>
          <cell r="D584" t="str">
            <v>Nicolas Romero</v>
          </cell>
        </row>
        <row r="585">
          <cell r="C585">
            <v>6045</v>
          </cell>
          <cell r="D585" t="str">
            <v>Barrio la Cabecera 3a Seccion (Almoloya de Juarez)</v>
          </cell>
        </row>
        <row r="586">
          <cell r="C586">
            <v>6045</v>
          </cell>
          <cell r="D586" t="str">
            <v>Barrio la Cabecera 3a Seccion (Almoloya de Juarez)</v>
          </cell>
        </row>
        <row r="587">
          <cell r="C587">
            <v>6045</v>
          </cell>
          <cell r="D587" t="str">
            <v>Barrio la Cabecera 3a Seccion (Almoloya de Juarez)</v>
          </cell>
        </row>
        <row r="588">
          <cell r="C588">
            <v>6045</v>
          </cell>
          <cell r="D588" t="str">
            <v>Barrio la Cabecera 3a Seccion (Almoloya de Juarez)</v>
          </cell>
        </row>
        <row r="589">
          <cell r="C589">
            <v>6045</v>
          </cell>
          <cell r="D589" t="str">
            <v>Barrio la Cabecera 3a Seccion (Almoloya de Juarez)</v>
          </cell>
        </row>
        <row r="590">
          <cell r="C590">
            <v>6045</v>
          </cell>
          <cell r="D590" t="str">
            <v>Barrio la Cabecera 3a Seccion (Almoloya de Juarez)</v>
          </cell>
        </row>
        <row r="591">
          <cell r="C591">
            <v>6045</v>
          </cell>
          <cell r="D591" t="str">
            <v>Barrio la Cabecera 3a Seccion (Almoloya de Juarez)</v>
          </cell>
        </row>
        <row r="592">
          <cell r="C592">
            <v>6045</v>
          </cell>
          <cell r="D592" t="str">
            <v>Barrio la Cabecera 3a Seccion (Almoloya de Juarez)</v>
          </cell>
        </row>
        <row r="593">
          <cell r="C593">
            <v>6045</v>
          </cell>
          <cell r="D593" t="str">
            <v>Barrio la Cabecera 3a Seccion (Almoloya de Juarez)</v>
          </cell>
        </row>
        <row r="594">
          <cell r="C594">
            <v>6045</v>
          </cell>
          <cell r="D594" t="str">
            <v>Barrio la Cabecera 3a Seccion (Almoloya de Juarez)</v>
          </cell>
        </row>
        <row r="595">
          <cell r="C595">
            <v>6045</v>
          </cell>
          <cell r="D595" t="str">
            <v>Barrio la Cabecera 3a Seccion (Almoloya de Juarez)</v>
          </cell>
        </row>
        <row r="596">
          <cell r="C596">
            <v>6045</v>
          </cell>
          <cell r="D596" t="str">
            <v>Barrio la Cabecera 3a Seccion (Almoloya de Juarez)</v>
          </cell>
        </row>
        <row r="597">
          <cell r="C597">
            <v>6045</v>
          </cell>
          <cell r="D597" t="str">
            <v>Barrio la Cabecera 3a Seccion (Almoloya de Juarez)</v>
          </cell>
        </row>
      </sheetData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uario" refreshedDate="46323.673100115739" refreshedVersion="6" recordCount="321">
  <cacheSource type="worksheet">
    <worksheetSource ref="B5:K326" sheet="BD"/>
  </cacheSource>
  <cacheFields count="10">
    <cacheField name="NP" numFmtId="0">
      <sharedItems containsSemiMixedTypes="0" containsString="0" containsNumber="1" containsInteger="1" minValue="1" maxValue="366"/>
    </cacheField>
    <cacheField name="TOTAL" numFmtId="0">
      <sharedItems containsSemiMixedTypes="0" containsString="0" containsNumber="1" containsInteger="1" minValue="11" maxValue="17"/>
    </cacheField>
    <cacheField name="CLAVE" numFmtId="0">
      <sharedItems containsSemiMixedTypes="0" containsString="0" containsNumber="1" containsInteger="1" minValue="6001" maxValue="6045" count="45"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30" u="1"/>
        <n v="6035" u="1"/>
        <n v="6040" u="1"/>
        <n v="6045" u="1"/>
        <n v="6027" u="1"/>
        <n v="6032" u="1"/>
        <n v="6037" u="1"/>
        <n v="6042" u="1"/>
        <n v="6029" u="1"/>
        <n v="6034" u="1"/>
        <n v="6039" u="1"/>
        <n v="6044" u="1"/>
        <n v="6026" u="1"/>
        <n v="6031" u="1"/>
        <n v="6036" u="1"/>
        <n v="6041" u="1"/>
        <n v="6028" u="1"/>
        <n v="6033" u="1"/>
        <n v="6038" u="1"/>
        <n v="6043" u="1"/>
        <n v="6025" u="1"/>
      </sharedItems>
    </cacheField>
    <cacheField name="DISTRITO" numFmtId="0">
      <sharedItems count="38">
        <s v="Chalco de Diaz Covarrubias"/>
        <s v="Toluca de Lerdo"/>
        <s v="Chimaihuacan"/>
        <s v="Lerma de Villada"/>
        <s v="Chimalhuacan"/>
        <s v="Ecatepec de Morelos"/>
        <s v="Tenancingo de Degollado"/>
        <s v="Tejupilco de Hidalgo"/>
        <s v="Valle de Bravo"/>
        <s v="Tultitlan de Mariano Escobedo"/>
        <s v="Teoloyucan"/>
        <s v="Atlacomulco de Fabela"/>
        <s v="Jilotepec de Andres Molina Enriquez"/>
        <s v="Ixtlahuaca de Rayon"/>
        <s v="Ciudad Adolfo Lopez Mateos"/>
        <s v="Huixquilucan de degollado"/>
        <s v="Tlanepantla de Baz"/>
        <s v="Santamaria Tultepec"/>
        <s v="Zumpango de Ocampo"/>
        <s v="Ojo de agua Tecamac"/>
        <s v="Texcoco de Mora"/>
        <s v="CD Nezahualcoyotl"/>
        <s v="Amecameca de juarez" u="1"/>
        <s v="CD. Nezahualcoyotl" u="1"/>
        <s v="Coacalco de Berriozabal" u="1"/>
        <s v="Touca de Lerdo" u="1"/>
        <s v="Tepexpan (Acolman)" u="1"/>
        <s v="Valle de Chalco Solidaridad" u="1"/>
        <s v="Ixtapaluca" u="1"/>
        <s v="Barrio la Cabecera 3a Seccion (Almoloya de Juarez)" u="1"/>
        <s v="Metepec" u="1"/>
        <s v="Los Reyes Acaquilpan" u="1"/>
        <s v="San Miguel Zinacantepec" u="1"/>
        <s v="Cuautitlan Izcalli" u="1"/>
        <s v="Naucalpan de Juarez" u="1"/>
        <s v="Nicolas Romero" u="1"/>
        <s v="Teaguistenco de Galeana" u="1"/>
        <s v="Ojo de Agua (Tecamac)" u="1"/>
      </sharedItems>
    </cacheField>
    <cacheField name="LOCALIDAD" numFmtId="0">
      <sharedItems/>
    </cacheField>
    <cacheField name="ARTICULO" numFmtId="0">
      <sharedItems/>
    </cacheField>
    <cacheField name="MARCA " numFmtId="0">
      <sharedItems/>
    </cacheField>
    <cacheField name="INVENTARIO 1" numFmtId="0">
      <sharedItems containsBlank="1"/>
    </cacheField>
    <cacheField name="INVENTARIO M" numFmtId="0">
      <sharedItems containsBlank="1"/>
    </cacheField>
    <cacheField name="VALIDADOR" numFmtId="0">
      <sharedItems containsSemiMixedTypes="0" containsString="0" containsNumber="1" containsInteger="1" minValue="0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1">
  <r>
    <n v="1"/>
    <n v="13"/>
    <x v="0"/>
    <x v="0"/>
    <s v="NA"/>
    <s v="BAFLE"/>
    <s v="STEREN"/>
    <s v="IBAF00100183"/>
    <s v="IBAF00100183"/>
    <n v="12"/>
  </r>
  <r>
    <n v="2"/>
    <n v="13"/>
    <x v="0"/>
    <x v="0"/>
    <s v="NA"/>
    <s v="BOTIQUIN"/>
    <s v="SN"/>
    <s v="ibot00100106"/>
    <s v="IBOT00100106"/>
    <n v="12"/>
  </r>
  <r>
    <n v="3"/>
    <n v="13"/>
    <x v="0"/>
    <x v="0"/>
    <s v="NA"/>
    <s v="CAMARA DIGITAL"/>
    <s v="SONY"/>
    <s v="ICAM00101794"/>
    <s v="ICAM00101794"/>
    <n v="12"/>
  </r>
  <r>
    <n v="4"/>
    <n v="13"/>
    <x v="0"/>
    <x v="0"/>
    <s v="NA"/>
    <s v="ENGARGOLADORA"/>
    <s v="COMBO"/>
    <s v="IENC00100144"/>
    <s v="IENC00100144"/>
    <n v="12"/>
  </r>
  <r>
    <n v="5"/>
    <n v="13"/>
    <x v="0"/>
    <x v="0"/>
    <s v="NA"/>
    <s v="EQUIPO DE PERIFONEO"/>
    <s v="RADSON"/>
    <s v="iamp00100132"/>
    <s v="IAMP00100132"/>
    <n v="12"/>
  </r>
  <r>
    <n v="6"/>
    <n v="13"/>
    <x v="0"/>
    <x v="0"/>
    <s v="NA"/>
    <s v="GRABADORA"/>
    <s v="SONY"/>
    <s v="IGRA00100332"/>
    <s v="IGRA00100332"/>
    <n v="12"/>
  </r>
  <r>
    <n v="7"/>
    <n v="13"/>
    <x v="0"/>
    <x v="0"/>
    <s v="NA"/>
    <s v="LAMPARA DE EMERGENCIA CHICA"/>
    <s v="SURTEK"/>
    <s v="ILAM00101145"/>
    <s v="ILAM00101145"/>
    <n v="12"/>
  </r>
  <r>
    <n v="8"/>
    <n v="13"/>
    <x v="0"/>
    <x v="0"/>
    <s v="NA"/>
    <s v="LAMPARA DE EMERGENCIA CHICA"/>
    <s v="SURTEK"/>
    <s v="ILAM00101151"/>
    <s v="ILAM00101151"/>
    <n v="12"/>
  </r>
  <r>
    <n v="9"/>
    <n v="13"/>
    <x v="0"/>
    <x v="0"/>
    <s v="NA"/>
    <s v="LAMPARA DE EMERGENCIA CHICA"/>
    <s v="SURTEK"/>
    <s v="ILAM00101157"/>
    <s v="ILAM00101157"/>
    <n v="12"/>
  </r>
  <r>
    <n v="10"/>
    <n v="13"/>
    <x v="0"/>
    <x v="0"/>
    <s v="NA"/>
    <s v="LAMPARA DE EMERGENCIA GRANDE"/>
    <s v="STEREN"/>
    <s v="SN"/>
    <s v="SN"/>
    <n v="2"/>
  </r>
  <r>
    <n v="14"/>
    <n v="13"/>
    <x v="0"/>
    <x v="0"/>
    <s v="NA"/>
    <s v="RECEPTOR"/>
    <s v="SOUNDTRACK"/>
    <s v="isis01200111"/>
    <s v="ISIS01200111"/>
    <n v="12"/>
  </r>
  <r>
    <n v="15"/>
    <n v="13"/>
    <x v="0"/>
    <x v="0"/>
    <s v="NA"/>
    <s v="TAJALAPIZ"/>
    <s v="SN"/>
    <s v="itaj00100201"/>
    <s v="ITAJ00100201"/>
    <n v="12"/>
  </r>
  <r>
    <n v="16"/>
    <n v="13"/>
    <x v="0"/>
    <x v="0"/>
    <s v="NA"/>
    <s v="TELEFONOS"/>
    <s v="TELMEX"/>
    <s v="itel00100425"/>
    <s v="ITEL00100425"/>
    <n v="12"/>
  </r>
  <r>
    <n v="17"/>
    <n v="12"/>
    <x v="1"/>
    <x v="1"/>
    <s v="NA"/>
    <s v="BAFLE"/>
    <s v="STEREN"/>
    <m/>
    <m/>
    <n v="0"/>
  </r>
  <r>
    <n v="18"/>
    <n v="12"/>
    <x v="1"/>
    <x v="1"/>
    <s v="NA"/>
    <s v="BOTIQUIN"/>
    <s v="SN"/>
    <s v="IBOT00100182"/>
    <s v="IBOT00100182"/>
    <n v="12"/>
  </r>
  <r>
    <n v="19"/>
    <n v="12"/>
    <x v="1"/>
    <x v="1"/>
    <s v="NA"/>
    <s v="CAMARA DIGITAL"/>
    <s v="SONY"/>
    <s v="icam00101757"/>
    <s v="ICAM00101757"/>
    <n v="12"/>
  </r>
  <r>
    <n v="20"/>
    <n v="12"/>
    <x v="1"/>
    <x v="1"/>
    <s v="NA"/>
    <s v="ENGARGOLADORA"/>
    <s v="COMBO"/>
    <s v="ieng00100126"/>
    <s v="IENG00100126"/>
    <n v="12"/>
  </r>
  <r>
    <n v="21"/>
    <n v="12"/>
    <x v="1"/>
    <x v="1"/>
    <s v="NA"/>
    <s v="EQUIPO DE PERIFONEO"/>
    <s v="RADSON"/>
    <s v="IAMP00100061"/>
    <s v="IAMP00100061"/>
    <n v="12"/>
  </r>
  <r>
    <n v="22"/>
    <n v="12"/>
    <x v="1"/>
    <x v="1"/>
    <s v="NA"/>
    <s v="GRABADORA"/>
    <s v="SONY"/>
    <s v="igra00100377"/>
    <s v="IGRA00100377"/>
    <n v="12"/>
  </r>
  <r>
    <n v="23"/>
    <n v="12"/>
    <x v="1"/>
    <x v="1"/>
    <s v="NA"/>
    <s v="LAMPARA DE EMERGENCIA CHICA"/>
    <s v="SURTEK"/>
    <s v="ILAM00101251"/>
    <s v="ILAM00101251"/>
    <n v="12"/>
  </r>
  <r>
    <n v="24"/>
    <n v="12"/>
    <x v="1"/>
    <x v="1"/>
    <s v="NA"/>
    <s v="LAMPARA DE EMERGENCIA CHICA"/>
    <s v="SURTEK"/>
    <s v="ILAM00101321"/>
    <s v="ILAM00101321"/>
    <n v="12"/>
  </r>
  <r>
    <n v="25"/>
    <n v="12"/>
    <x v="1"/>
    <x v="1"/>
    <s v="NA"/>
    <s v="LAMPARA DE EMERGENCIA GRANDE"/>
    <s v="STEREN"/>
    <s v="SN"/>
    <s v="SN"/>
    <n v="2"/>
  </r>
  <r>
    <n v="26"/>
    <n v="12"/>
    <x v="1"/>
    <x v="1"/>
    <s v="NA"/>
    <s v="RECEPTOR"/>
    <s v="SOUNDTRACK"/>
    <s v="isis01200114"/>
    <s v="ISIS01200114"/>
    <n v="12"/>
  </r>
  <r>
    <n v="27"/>
    <n v="12"/>
    <x v="1"/>
    <x v="1"/>
    <s v="NA"/>
    <s v="TAJALAPIZ"/>
    <s v="SN"/>
    <s v="ITAJ00100169"/>
    <s v="ITAJ00100169"/>
    <n v="12"/>
  </r>
  <r>
    <n v="28"/>
    <n v="12"/>
    <x v="1"/>
    <x v="1"/>
    <s v="NA"/>
    <s v="TELEFONOS"/>
    <s v="TELMEX"/>
    <s v="ITEL00101131"/>
    <s v="ITEL00101131"/>
    <n v="12"/>
  </r>
  <r>
    <n v="29"/>
    <n v="17"/>
    <x v="2"/>
    <x v="2"/>
    <s v="NA"/>
    <s v="BAFLE"/>
    <s v="STEREN"/>
    <s v="IBAF00100196"/>
    <s v="IBAF00100196"/>
    <n v="12"/>
  </r>
  <r>
    <n v="30"/>
    <n v="17"/>
    <x v="2"/>
    <x v="2"/>
    <s v="NA"/>
    <s v="BOTIQUIN"/>
    <s v="SN"/>
    <s v="IBOT00100067"/>
    <s v="IBOT00100067"/>
    <n v="12"/>
  </r>
  <r>
    <n v="31"/>
    <n v="17"/>
    <x v="2"/>
    <x v="2"/>
    <s v="NA"/>
    <s v="CAMARA DIGITAL"/>
    <s v="SONY"/>
    <s v="ICAM00101745"/>
    <s v="ICAM00101745"/>
    <n v="12"/>
  </r>
  <r>
    <n v="32"/>
    <n v="17"/>
    <x v="2"/>
    <x v="2"/>
    <s v="NA"/>
    <s v="ENGARGOLADORA"/>
    <s v="COMBO"/>
    <s v="IENG00100216"/>
    <s v="IENG00100216"/>
    <n v="12"/>
  </r>
  <r>
    <n v="33"/>
    <n v="17"/>
    <x v="2"/>
    <x v="2"/>
    <s v="NA"/>
    <s v="EQUIPO DE PERIFONEO"/>
    <s v="RADSON"/>
    <s v="IAMP00100045"/>
    <s v="IAMP00100045"/>
    <n v="12"/>
  </r>
  <r>
    <n v="35"/>
    <n v="17"/>
    <x v="2"/>
    <x v="2"/>
    <s v="NA"/>
    <s v="GRABADORA"/>
    <s v="SONY"/>
    <s v="IGRA00100313"/>
    <s v="IGRA00100313"/>
    <n v="12"/>
  </r>
  <r>
    <n v="36"/>
    <n v="17"/>
    <x v="2"/>
    <x v="2"/>
    <s v="NA"/>
    <s v="LAMPARA DE EMERGENCIA CHICA"/>
    <s v="SURTEK"/>
    <s v="ILAM00101323"/>
    <s v="ILAM00101323"/>
    <n v="12"/>
  </r>
  <r>
    <n v="37"/>
    <n v="17"/>
    <x v="2"/>
    <x v="2"/>
    <s v="NA"/>
    <s v="LAMPARA DE EMERGENCIA CHICA"/>
    <s v="SURTEK"/>
    <s v="ILAM00101167"/>
    <s v="ILAM00101167"/>
    <n v="12"/>
  </r>
  <r>
    <n v="38"/>
    <n v="17"/>
    <x v="2"/>
    <x v="2"/>
    <s v="NA"/>
    <s v="LAMPARA DE EMERGENCIA CHICA"/>
    <s v="SURTEK"/>
    <s v="ILAM00100811"/>
    <s v="ILAM00100811"/>
    <n v="12"/>
  </r>
  <r>
    <n v="40"/>
    <n v="17"/>
    <x v="2"/>
    <x v="2"/>
    <s v="NA"/>
    <s v="LAMPARA DE EMERGENCIA CHICA"/>
    <s v="SURTEK"/>
    <s v="ILAM00101224"/>
    <s v="ILAM00101224"/>
    <n v="12"/>
  </r>
  <r>
    <n v="41"/>
    <n v="17"/>
    <x v="2"/>
    <x v="2"/>
    <s v="NA"/>
    <s v="LAMPARA DE EMERGENCIA CHICA"/>
    <s v="SURTEK"/>
    <s v="ILAM00101234"/>
    <s v="ILAM00101234"/>
    <n v="12"/>
  </r>
  <r>
    <n v="42"/>
    <n v="17"/>
    <x v="2"/>
    <x v="2"/>
    <s v="NA"/>
    <s v="LAMPARA DE EMERGENCIA CHICA"/>
    <s v="SURTEK"/>
    <s v="ILAM00100864"/>
    <s v="ILAM00100864"/>
    <n v="12"/>
  </r>
  <r>
    <n v="43"/>
    <n v="17"/>
    <x v="2"/>
    <x v="2"/>
    <s v="NA"/>
    <s v="LAMPARA DE EMERGENCIA CHICA"/>
    <s v="SURTEK"/>
    <s v="ILAM00100842"/>
    <s v="ILAM00100842"/>
    <n v="12"/>
  </r>
  <r>
    <n v="44"/>
    <n v="17"/>
    <x v="2"/>
    <x v="2"/>
    <s v="NA"/>
    <s v="LAMPARA DE EMERGENCIA GRANDE"/>
    <s v="STEREN"/>
    <s v="SN"/>
    <s v="SN"/>
    <n v="2"/>
  </r>
  <r>
    <n v="45"/>
    <n v="17"/>
    <x v="2"/>
    <x v="2"/>
    <s v="NA"/>
    <s v="RECEPTOR"/>
    <s v="SOUNDTRACK"/>
    <s v="isis01200105"/>
    <s v="ISIS01200105"/>
    <n v="12"/>
  </r>
  <r>
    <n v="46"/>
    <n v="17"/>
    <x v="2"/>
    <x v="2"/>
    <s v="NA"/>
    <s v="TAJALAPIZ"/>
    <s v="SN"/>
    <s v="ITAJ00100283"/>
    <s v="ITAJ00100283"/>
    <n v="12"/>
  </r>
  <r>
    <n v="48"/>
    <n v="17"/>
    <x v="2"/>
    <x v="2"/>
    <s v="NA"/>
    <s v="TELEFONOS"/>
    <s v="TELMEX"/>
    <s v="ITEL00100969"/>
    <s v="ITEL00100969"/>
    <n v="12"/>
  </r>
  <r>
    <n v="49"/>
    <n v="12"/>
    <x v="3"/>
    <x v="3"/>
    <s v="NA"/>
    <s v="BAFLE"/>
    <s v="STEREN"/>
    <s v="IBAF00100086"/>
    <s v="IBAF00100086"/>
    <n v="12"/>
  </r>
  <r>
    <n v="50"/>
    <n v="12"/>
    <x v="3"/>
    <x v="3"/>
    <s v="NA"/>
    <s v="BOTIQUIN"/>
    <s v="SN"/>
    <s v="IBOT00100095"/>
    <s v="IBOT00100095"/>
    <n v="12"/>
  </r>
  <r>
    <n v="51"/>
    <n v="12"/>
    <x v="3"/>
    <x v="3"/>
    <s v="NA"/>
    <s v="CAMARA DIGITAL"/>
    <s v="SONY"/>
    <s v="icam00101779"/>
    <s v="ICAM00101779"/>
    <n v="12"/>
  </r>
  <r>
    <n v="52"/>
    <n v="12"/>
    <x v="3"/>
    <x v="3"/>
    <s v="NA"/>
    <s v="ENGARGOLADORA"/>
    <s v="COMBO"/>
    <s v="IENG00100177"/>
    <s v="IENG00100177"/>
    <n v="12"/>
  </r>
  <r>
    <n v="53"/>
    <n v="12"/>
    <x v="3"/>
    <x v="3"/>
    <s v="NA"/>
    <s v="EQUIPO DE PERIFONEO"/>
    <s v="RADSON"/>
    <s v="IAMP00100123"/>
    <s v="IAMP00100123"/>
    <n v="12"/>
  </r>
  <r>
    <n v="54"/>
    <n v="12"/>
    <x v="3"/>
    <x v="3"/>
    <s v="NA"/>
    <s v="GRABADORA"/>
    <s v="SONY"/>
    <s v="igra00100347"/>
    <s v="IGRA00100347"/>
    <n v="12"/>
  </r>
  <r>
    <n v="55"/>
    <n v="12"/>
    <x v="3"/>
    <x v="3"/>
    <s v="NA"/>
    <s v="LAMPARA DE EMERGENCIA CHICA"/>
    <s v="SURTEK"/>
    <s v="ILAM00100838"/>
    <s v="ILAM00100838"/>
    <n v="12"/>
  </r>
  <r>
    <n v="57"/>
    <n v="12"/>
    <x v="3"/>
    <x v="3"/>
    <s v="NA"/>
    <s v="LAMPARA DE EMERGENCIA CHICA"/>
    <s v="SURTEK"/>
    <s v="ILAM00100909"/>
    <s v="ILAM00100909"/>
    <n v="12"/>
  </r>
  <r>
    <n v="58"/>
    <n v="12"/>
    <x v="3"/>
    <x v="3"/>
    <s v="NA"/>
    <s v="LAMPARA DE EMERGENCIA GRANDE"/>
    <s v="STEREN"/>
    <s v="SN"/>
    <s v="SN"/>
    <n v="2"/>
  </r>
  <r>
    <n v="59"/>
    <n v="12"/>
    <x v="3"/>
    <x v="3"/>
    <s v="NA"/>
    <s v="RECEPTOR"/>
    <s v="SOUNDTRACK"/>
    <s v="ISIS01200120"/>
    <s v="ISIS01200120"/>
    <n v="12"/>
  </r>
  <r>
    <n v="60"/>
    <n v="12"/>
    <x v="3"/>
    <x v="3"/>
    <s v="NA"/>
    <s v="TAJALAPIZ"/>
    <s v="SN"/>
    <s v="ITAJ00100280"/>
    <s v="ITAJ00100280"/>
    <n v="12"/>
  </r>
  <r>
    <n v="61"/>
    <n v="12"/>
    <x v="3"/>
    <x v="3"/>
    <s v="NA"/>
    <s v="TELEFONOS"/>
    <s v="TELMEX"/>
    <s v="ITEL00100724"/>
    <s v="ITEL00100724"/>
    <n v="12"/>
  </r>
  <r>
    <n v="62"/>
    <n v="13"/>
    <x v="4"/>
    <x v="4"/>
    <s v="NA"/>
    <s v="BAFLE"/>
    <s v="STEREN"/>
    <s v="IBAF00100087"/>
    <s v="IBAF00100087"/>
    <n v="12"/>
  </r>
  <r>
    <n v="63"/>
    <n v="13"/>
    <x v="4"/>
    <x v="4"/>
    <s v="NA"/>
    <s v="BOTIQUIN"/>
    <s v="SN"/>
    <s v="IBOT00100181"/>
    <s v="IBOT00100181"/>
    <n v="12"/>
  </r>
  <r>
    <n v="65"/>
    <n v="13"/>
    <x v="4"/>
    <x v="4"/>
    <s v="NA"/>
    <s v="CAMARA DIGITAL"/>
    <s v="SONY"/>
    <s v="icam00101791"/>
    <s v="ICAM00101791"/>
    <n v="12"/>
  </r>
  <r>
    <n v="66"/>
    <n v="13"/>
    <x v="4"/>
    <x v="4"/>
    <s v="NA"/>
    <s v="ENGARGOLADORA"/>
    <s v="COMBO"/>
    <s v="IENG00100083"/>
    <s v="IENG00100083"/>
    <n v="12"/>
  </r>
  <r>
    <n v="67"/>
    <n v="13"/>
    <x v="4"/>
    <x v="4"/>
    <s v="NA"/>
    <s v="EQUIPO DE PERIFONEO"/>
    <s v="RADSON"/>
    <s v="IAMP00100095"/>
    <s v="IAMP00100095"/>
    <n v="12"/>
  </r>
  <r>
    <n v="68"/>
    <n v="13"/>
    <x v="4"/>
    <x v="4"/>
    <s v="NA"/>
    <s v="GRABADORA"/>
    <s v="SONY"/>
    <s v="igra00100281"/>
    <s v="IGRA00100281"/>
    <n v="12"/>
  </r>
  <r>
    <n v="69"/>
    <n v="13"/>
    <x v="4"/>
    <x v="4"/>
    <s v="NA"/>
    <s v="LAMPARA DE EMERGENCIA CHICA"/>
    <s v="SURTEK"/>
    <s v="ILAM00101164"/>
    <s v="ILAM00101164"/>
    <n v="12"/>
  </r>
  <r>
    <n v="70"/>
    <n v="13"/>
    <x v="4"/>
    <x v="4"/>
    <s v="NA"/>
    <s v="LAMPARA DE EMERGENCIA CHICA"/>
    <s v="SURTEK"/>
    <s v="ILAM00101220"/>
    <s v="ILAM00101220"/>
    <n v="12"/>
  </r>
  <r>
    <n v="71"/>
    <n v="13"/>
    <x v="4"/>
    <x v="4"/>
    <s v="NA"/>
    <s v="LAMPARA DE EMERGENCIA CHICA"/>
    <s v="SURTEK"/>
    <s v="ILAM00100815"/>
    <s v="ILAM00100815"/>
    <n v="12"/>
  </r>
  <r>
    <n v="72"/>
    <n v="13"/>
    <x v="4"/>
    <x v="4"/>
    <s v="NA"/>
    <s v="LAMPARA DE EMERGENCIA GRANDE"/>
    <s v="STEREN"/>
    <s v="SN"/>
    <s v="SN"/>
    <n v="2"/>
  </r>
  <r>
    <n v="74"/>
    <n v="13"/>
    <x v="4"/>
    <x v="4"/>
    <s v="NA"/>
    <s v="RECEPTOR"/>
    <s v="SOUNDTRACK"/>
    <s v="ISIS01200136"/>
    <s v="ISIS01200136"/>
    <n v="12"/>
  </r>
  <r>
    <n v="75"/>
    <n v="13"/>
    <x v="4"/>
    <x v="4"/>
    <s v="NA"/>
    <s v="TAJALAPIZ"/>
    <s v="SN"/>
    <s v="ITAJ00100249"/>
    <s v="ITAJ00100249"/>
    <n v="12"/>
  </r>
  <r>
    <n v="76"/>
    <n v="13"/>
    <x v="4"/>
    <x v="4"/>
    <s v="NA"/>
    <s v="TELEFONOS"/>
    <s v="TELMEX"/>
    <s v="ITEL00100793"/>
    <s v="ITEL00100793"/>
    <n v="12"/>
  </r>
  <r>
    <n v="77"/>
    <n v="13"/>
    <x v="5"/>
    <x v="5"/>
    <s v="NA"/>
    <s v="BAFLE"/>
    <s v="STEREN"/>
    <s v="IBAF00100062"/>
    <s v="IBAF00100062"/>
    <n v="12"/>
  </r>
  <r>
    <n v="78"/>
    <n v="13"/>
    <x v="5"/>
    <x v="5"/>
    <s v="NA"/>
    <s v="BOTIQUIN"/>
    <s v="SN"/>
    <s v="IBOT00100076"/>
    <s v="IBOT00100076"/>
    <n v="12"/>
  </r>
  <r>
    <n v="79"/>
    <n v="13"/>
    <x v="5"/>
    <x v="5"/>
    <s v="NA"/>
    <s v="CAMARA DIGITAL"/>
    <s v="SONY"/>
    <s v="icam00101732"/>
    <s v="ICAM00101732"/>
    <n v="12"/>
  </r>
  <r>
    <n v="80"/>
    <n v="13"/>
    <x v="5"/>
    <x v="5"/>
    <s v="NA"/>
    <s v="ENGARGOLADORA"/>
    <s v="COMBO"/>
    <s v="ieng00100021"/>
    <s v="IENG00100021"/>
    <n v="12"/>
  </r>
  <r>
    <n v="82"/>
    <n v="13"/>
    <x v="5"/>
    <x v="5"/>
    <s v="NA"/>
    <s v="EQUIPO DE PERIFONEO"/>
    <s v="RADSON"/>
    <s v="iamp00100019"/>
    <s v="IAMP00100019"/>
    <n v="12"/>
  </r>
  <r>
    <n v="83"/>
    <n v="13"/>
    <x v="5"/>
    <x v="5"/>
    <s v="NA"/>
    <s v="GRABADORA"/>
    <s v="SONY"/>
    <s v="igra00100297"/>
    <s v="IGRA00100297"/>
    <n v="12"/>
  </r>
  <r>
    <n v="84"/>
    <n v="13"/>
    <x v="5"/>
    <x v="5"/>
    <s v="NA"/>
    <s v="LAMPARA DE EMERGENCIA CHICA"/>
    <s v="SURTEK"/>
    <s v="ILAM00101222"/>
    <s v="ILAM00101222"/>
    <n v="12"/>
  </r>
  <r>
    <n v="85"/>
    <n v="13"/>
    <x v="5"/>
    <x v="5"/>
    <s v="NA"/>
    <s v="LAMPARA DE EMERGENCIA CHICA"/>
    <s v="SURTEK"/>
    <s v="ILAM00101140"/>
    <s v="ILAM00101140"/>
    <n v="12"/>
  </r>
  <r>
    <n v="86"/>
    <n v="13"/>
    <x v="5"/>
    <x v="5"/>
    <s v="NA"/>
    <s v="LAMPARA DE EMERGENCIA CHICA"/>
    <s v="SURTEK"/>
    <s v="ILAM00101221"/>
    <s v="ILAM00101221"/>
    <n v="12"/>
  </r>
  <r>
    <n v="87"/>
    <n v="13"/>
    <x v="5"/>
    <x v="5"/>
    <s v="NA"/>
    <s v="LAMPARA DE EMERGENCIA GRANDE"/>
    <s v="STEREN"/>
    <s v="SN"/>
    <s v="SN"/>
    <n v="2"/>
  </r>
  <r>
    <n v="88"/>
    <n v="13"/>
    <x v="5"/>
    <x v="5"/>
    <s v="NA"/>
    <s v="RECEPTOR"/>
    <s v="SOUNDTRACK"/>
    <s v="ISIS01200152"/>
    <s v="ISIS01200152"/>
    <n v="12"/>
  </r>
  <r>
    <n v="89"/>
    <n v="13"/>
    <x v="5"/>
    <x v="5"/>
    <s v="NA"/>
    <s v="TAJALAPIZ"/>
    <s v="SN"/>
    <s v="ITAJ00100087"/>
    <s v="ITAJ00100087"/>
    <n v="12"/>
  </r>
  <r>
    <n v="91"/>
    <n v="13"/>
    <x v="5"/>
    <x v="5"/>
    <s v="NA"/>
    <s v="TELEFONOS"/>
    <s v="TELMEX"/>
    <s v="ITEL00100808"/>
    <s v="ITEL00100808"/>
    <n v="12"/>
  </r>
  <r>
    <n v="92"/>
    <n v="15"/>
    <x v="6"/>
    <x v="6"/>
    <s v="NA"/>
    <s v="BAFLE"/>
    <s v="STEREN"/>
    <s v="IBAF00100155"/>
    <s v="IBAF00100155"/>
    <n v="12"/>
  </r>
  <r>
    <n v="93"/>
    <n v="15"/>
    <x v="6"/>
    <x v="6"/>
    <s v="NA"/>
    <s v="BOTIQUIN"/>
    <s v="SN"/>
    <s v="IBOT00100010"/>
    <s v="IBOT00100010"/>
    <n v="12"/>
  </r>
  <r>
    <n v="94"/>
    <n v="15"/>
    <x v="6"/>
    <x v="6"/>
    <s v="NA"/>
    <s v="CAMARA DIGITAL"/>
    <s v="SONY"/>
    <s v="icam00101776"/>
    <s v="ICAM00101776"/>
    <n v="12"/>
  </r>
  <r>
    <n v="95"/>
    <n v="15"/>
    <x v="6"/>
    <x v="6"/>
    <s v="NA"/>
    <s v="ENGARGOLADORA"/>
    <s v="COMBO"/>
    <s v="IENG00100134"/>
    <s v="IENG00100134"/>
    <n v="12"/>
  </r>
  <r>
    <n v="96"/>
    <n v="15"/>
    <x v="6"/>
    <x v="6"/>
    <s v="NA"/>
    <s v="EQUIPO DE PERIFONEO"/>
    <s v="RADSON"/>
    <s v="IAMP00100054"/>
    <s v="IAMP00100054"/>
    <n v="12"/>
  </r>
  <r>
    <n v="97"/>
    <n v="15"/>
    <x v="6"/>
    <x v="6"/>
    <s v="NA"/>
    <s v="GRABADORA"/>
    <s v="SONY"/>
    <s v="igra00100294"/>
    <s v="IGRA00100294"/>
    <n v="12"/>
  </r>
  <r>
    <n v="99"/>
    <n v="15"/>
    <x v="6"/>
    <x v="6"/>
    <s v="NA"/>
    <s v="LAMPARA DE EMERGENCIA CHICA"/>
    <s v="SURTEK"/>
    <s v="ILAM00101355"/>
    <s v="ILAM00101355"/>
    <n v="12"/>
  </r>
  <r>
    <n v="100"/>
    <n v="15"/>
    <x v="6"/>
    <x v="6"/>
    <s v="NA"/>
    <s v="LAMPARA DE EMERGENCIA CHICA"/>
    <s v="SURTEK"/>
    <s v="ILAM00101346"/>
    <s v="ILAM00101346"/>
    <n v="12"/>
  </r>
  <r>
    <n v="101"/>
    <n v="15"/>
    <x v="6"/>
    <x v="6"/>
    <s v="NA"/>
    <s v="LAMPARA DE EMERGENCIA CHICA"/>
    <s v="SURTEK"/>
    <s v="ILAM00101314"/>
    <s v="ILAM00101314"/>
    <n v="12"/>
  </r>
  <r>
    <n v="102"/>
    <n v="15"/>
    <x v="6"/>
    <x v="6"/>
    <s v="NA"/>
    <s v="LAMPARA DE EMERGENCIA CHICA"/>
    <s v="SURTEK"/>
    <s v="ILAM00101336"/>
    <s v="ILAM00101336"/>
    <n v="12"/>
  </r>
  <r>
    <n v="103"/>
    <n v="15"/>
    <x v="6"/>
    <x v="6"/>
    <s v="NA"/>
    <s v="LAMPARA DE EMERGENCIA CHICA"/>
    <s v="SURTEK"/>
    <s v="ILAM00101335"/>
    <s v="ILAM00101335"/>
    <n v="12"/>
  </r>
  <r>
    <n v="104"/>
    <n v="15"/>
    <x v="6"/>
    <x v="6"/>
    <s v="NA"/>
    <s v="LAMPARA DE EMERGENCIA GRANDE"/>
    <s v="STEREN"/>
    <s v="SN"/>
    <s v="SN"/>
    <n v="2"/>
  </r>
  <r>
    <n v="105"/>
    <n v="15"/>
    <x v="6"/>
    <x v="6"/>
    <s v="NA"/>
    <s v="RECEPTOR"/>
    <s v="SOUNDTRACK"/>
    <s v="ISIS01200085"/>
    <s v="ISIS01200085"/>
    <n v="12"/>
  </r>
  <r>
    <n v="106"/>
    <n v="15"/>
    <x v="6"/>
    <x v="6"/>
    <s v="NA"/>
    <s v="TAJALAPIZ"/>
    <s v="SN"/>
    <s v="ITAJ00100267"/>
    <s v="ITAJ00100267"/>
    <n v="12"/>
  </r>
  <r>
    <n v="108"/>
    <n v="15"/>
    <x v="6"/>
    <x v="6"/>
    <s v="NA"/>
    <s v="TELEFONOS"/>
    <s v="TELMEX"/>
    <s v="ITEL00100840"/>
    <s v="ITEL00100840"/>
    <n v="12"/>
  </r>
  <r>
    <n v="110"/>
    <n v="16"/>
    <x v="7"/>
    <x v="5"/>
    <s v="NA"/>
    <s v="BAFLE"/>
    <s v="STEREN"/>
    <s v="IBAF00100187"/>
    <s v="IBAF00100187"/>
    <n v="12"/>
  </r>
  <r>
    <n v="111"/>
    <n v="16"/>
    <x v="7"/>
    <x v="5"/>
    <s v="NA"/>
    <s v="BOTIQUIN"/>
    <s v="SN"/>
    <s v="IBOT00100057"/>
    <s v="IBOT00100057"/>
    <n v="12"/>
  </r>
  <r>
    <n v="112"/>
    <n v="16"/>
    <x v="7"/>
    <x v="5"/>
    <s v="NA"/>
    <s v="CAMARA DIGITAL"/>
    <s v="SONY"/>
    <s v="icam00101765"/>
    <s v="ICAM00101765"/>
    <n v="12"/>
  </r>
  <r>
    <n v="113"/>
    <n v="16"/>
    <x v="7"/>
    <x v="5"/>
    <s v="NA"/>
    <s v="ENGARGOLADORA"/>
    <s v="COMBO"/>
    <s v="IENG00100202"/>
    <s v="IENG00100202"/>
    <n v="12"/>
  </r>
  <r>
    <n v="114"/>
    <n v="16"/>
    <x v="7"/>
    <x v="5"/>
    <s v="NA"/>
    <s v="EQUIPO DE PERIFONEO"/>
    <s v="RADSON"/>
    <s v="IAMP00100027"/>
    <s v="IAMP00100027"/>
    <n v="12"/>
  </r>
  <r>
    <n v="116"/>
    <n v="16"/>
    <x v="7"/>
    <x v="5"/>
    <s v="NA"/>
    <s v="GRABADORA"/>
    <s v="SONY"/>
    <s v="igra00100314"/>
    <s v="IGRA00100314"/>
    <n v="12"/>
  </r>
  <r>
    <n v="117"/>
    <n v="16"/>
    <x v="7"/>
    <x v="5"/>
    <s v="NA"/>
    <s v="LAMPARA DE EMERGENCIA CHICA"/>
    <s v="SURTEK"/>
    <s v="ILAM00101301"/>
    <s v="ILAM00101301"/>
    <n v="12"/>
  </r>
  <r>
    <n v="118"/>
    <n v="16"/>
    <x v="7"/>
    <x v="5"/>
    <s v="NA"/>
    <s v="LAMPARA DE EMERGENCIA CHICA"/>
    <s v="SURTEK"/>
    <s v="ILAM00101352"/>
    <s v="ILAM00101352"/>
    <n v="12"/>
  </r>
  <r>
    <n v="119"/>
    <n v="16"/>
    <x v="7"/>
    <x v="5"/>
    <s v="NA"/>
    <s v="LAMPARA DE EMERGENCIA CHICA"/>
    <s v="SURTEK"/>
    <s v="ILAM00101357"/>
    <s v="ILAM00101357"/>
    <n v="12"/>
  </r>
  <r>
    <n v="120"/>
    <n v="16"/>
    <x v="7"/>
    <x v="5"/>
    <s v="NA"/>
    <s v="LAMPARA DE EMERGENCIA CHICA"/>
    <s v="SURTEK"/>
    <s v="ILAM00101216"/>
    <s v="ILAM00101216"/>
    <n v="12"/>
  </r>
  <r>
    <n v="121"/>
    <n v="16"/>
    <x v="7"/>
    <x v="5"/>
    <s v="NA"/>
    <s v="LAMPARA DE EMERGENCIA CHICA"/>
    <s v="SURTEK"/>
    <s v="ILAM00101305"/>
    <s v="ILAM00101305"/>
    <n v="12"/>
  </r>
  <r>
    <n v="122"/>
    <n v="16"/>
    <x v="7"/>
    <x v="5"/>
    <s v="NA"/>
    <s v="LAMPARA DE EMERGENCIA CHICA"/>
    <s v="SURTEK"/>
    <s v="ILAM00101330"/>
    <s v="ILAM00101330"/>
    <n v="12"/>
  </r>
  <r>
    <n v="123"/>
    <n v="16"/>
    <x v="7"/>
    <x v="5"/>
    <s v="NA"/>
    <s v="LAMPARA DE EMERGENCIA GRANDE"/>
    <s v="STEREN"/>
    <s v="SN"/>
    <s v="SN"/>
    <n v="2"/>
  </r>
  <r>
    <n v="125"/>
    <n v="16"/>
    <x v="7"/>
    <x v="5"/>
    <s v="NA"/>
    <s v="RECEPTOR"/>
    <s v="SOUNDTRACK"/>
    <s v="ISIS01200109"/>
    <s v="ISIS01200109"/>
    <n v="12"/>
  </r>
  <r>
    <n v="126"/>
    <n v="16"/>
    <x v="7"/>
    <x v="5"/>
    <s v="NA"/>
    <s v="TAJALAPIZ"/>
    <s v="SN"/>
    <s v="ITAJ00100094"/>
    <s v="ITAJ00100094"/>
    <n v="12"/>
  </r>
  <r>
    <n v="127"/>
    <n v="16"/>
    <x v="7"/>
    <x v="5"/>
    <s v="NA"/>
    <s v="TELEFONOS"/>
    <s v="TELMEX"/>
    <s v="ITEL00100422"/>
    <s v="ITEL00100422"/>
    <n v="12"/>
  </r>
  <r>
    <n v="127"/>
    <n v="14"/>
    <x v="8"/>
    <x v="7"/>
    <s v="NA"/>
    <s v="BAFLE"/>
    <s v="STEREN"/>
    <s v="IBAF00100074"/>
    <s v="IBAF00100074"/>
    <n v="12"/>
  </r>
  <r>
    <n v="129"/>
    <n v="14"/>
    <x v="8"/>
    <x v="7"/>
    <s v="NA"/>
    <s v="BOTIQUIN"/>
    <s v="SN"/>
    <s v="IBOT00100074"/>
    <s v="IBOT00100074"/>
    <n v="12"/>
  </r>
  <r>
    <n v="130"/>
    <n v="14"/>
    <x v="8"/>
    <x v="7"/>
    <s v="NA"/>
    <s v="CAMARA DIGITAL"/>
    <s v="SONY"/>
    <s v="icam00101790"/>
    <s v="ICAM00101790"/>
    <n v="12"/>
  </r>
  <r>
    <n v="131"/>
    <n v="14"/>
    <x v="8"/>
    <x v="7"/>
    <s v="NA"/>
    <s v="ENGARGOLADORA"/>
    <s v="COMBO"/>
    <s v="IENG00100183"/>
    <s v="IENG00100183"/>
    <n v="12"/>
  </r>
  <r>
    <n v="132"/>
    <n v="14"/>
    <x v="8"/>
    <x v="7"/>
    <s v="NA"/>
    <s v="EQUIPO DE PERIFONEO"/>
    <s v="RADSON"/>
    <s v="IAMP00100085"/>
    <s v="IAMP00100085"/>
    <n v="12"/>
  </r>
  <r>
    <n v="133"/>
    <n v="14"/>
    <x v="8"/>
    <x v="7"/>
    <s v="NA"/>
    <s v="GRABADORA"/>
    <s v="SONY"/>
    <s v="igra00100335"/>
    <s v="IGRA00100335"/>
    <n v="12"/>
  </r>
  <r>
    <n v="134"/>
    <n v="14"/>
    <x v="8"/>
    <x v="7"/>
    <s v="NA"/>
    <s v="LAMPARA DE EMERGENCIA CHICA"/>
    <s v="SURTEK"/>
    <s v="ILAM00101262"/>
    <s v="ILAM00101262"/>
    <n v="12"/>
  </r>
  <r>
    <n v="135"/>
    <n v="14"/>
    <x v="8"/>
    <x v="7"/>
    <s v="NA"/>
    <s v="LAMPARA DE EMERGENCIA CHICA"/>
    <s v="SURTEK"/>
    <s v="ILAM00101263"/>
    <s v="ILAM00101263"/>
    <n v="12"/>
  </r>
  <r>
    <n v="137"/>
    <n v="14"/>
    <x v="8"/>
    <x v="7"/>
    <s v="NA"/>
    <s v="LAMPARA DE EMERGENCIA CHICA"/>
    <s v="SURTEK"/>
    <s v="ILAM00101254"/>
    <s v="ILAM00101254"/>
    <n v="12"/>
  </r>
  <r>
    <n v="138"/>
    <n v="14"/>
    <x v="8"/>
    <x v="7"/>
    <s v="NA"/>
    <s v="LAMPARA DE EMERGENCIA CHICA"/>
    <s v="SURTEK"/>
    <s v="ILAM00101276"/>
    <s v="ILAM00101276"/>
    <n v="12"/>
  </r>
  <r>
    <n v="139"/>
    <n v="14"/>
    <x v="8"/>
    <x v="7"/>
    <s v="NA"/>
    <s v="LAMPARA DE EMERGENCIA GRANDE"/>
    <s v="STEREN"/>
    <s v="SN"/>
    <s v="SN"/>
    <n v="2"/>
  </r>
  <r>
    <n v="140"/>
    <n v="14"/>
    <x v="8"/>
    <x v="7"/>
    <s v="NA"/>
    <s v="RECEPTOR"/>
    <s v="SOUNDTRACK"/>
    <s v="isis01200078"/>
    <s v="ISIS01200078"/>
    <n v="12"/>
  </r>
  <r>
    <n v="141"/>
    <n v="14"/>
    <x v="8"/>
    <x v="7"/>
    <s v="NA"/>
    <s v="TAJALAPIZ"/>
    <s v="SN"/>
    <s v="ITAJ00100224"/>
    <s v="ITAJ00100224"/>
    <n v="12"/>
  </r>
  <r>
    <n v="142"/>
    <n v="14"/>
    <x v="8"/>
    <x v="7"/>
    <s v="NA"/>
    <s v="TELEFONOS"/>
    <s v="TELMEX"/>
    <s v="ITEL00100510"/>
    <s v="ITEL00100510"/>
    <n v="12"/>
  </r>
  <r>
    <n v="143"/>
    <n v="13"/>
    <x v="9"/>
    <x v="8"/>
    <s v="NA"/>
    <s v="BAFLE"/>
    <s v="STEREN"/>
    <m/>
    <m/>
    <n v="0"/>
  </r>
  <r>
    <n v="145"/>
    <n v="13"/>
    <x v="9"/>
    <x v="8"/>
    <s v="NA"/>
    <s v="BOTIQUIN"/>
    <s v="SN"/>
    <s v="ibot00100185"/>
    <s v="IBOT00100185"/>
    <n v="12"/>
  </r>
  <r>
    <n v="146"/>
    <n v="13"/>
    <x v="9"/>
    <x v="8"/>
    <s v="NA"/>
    <s v="CAMARA DIGITAL"/>
    <s v="SONY"/>
    <s v="ICAM00101750"/>
    <s v="ICAM00101750"/>
    <n v="12"/>
  </r>
  <r>
    <n v="147"/>
    <n v="13"/>
    <x v="9"/>
    <x v="8"/>
    <s v="NA"/>
    <s v="ENGARGOLADORA"/>
    <s v="COMBO"/>
    <s v="IENG00100167"/>
    <s v="IENG00100167"/>
    <n v="12"/>
  </r>
  <r>
    <n v="148"/>
    <n v="13"/>
    <x v="9"/>
    <x v="8"/>
    <s v="NA"/>
    <s v="EQUIPO DE PERIFONEO"/>
    <s v="RADSON"/>
    <s v="IAMP00100041"/>
    <s v="IAMP00100041"/>
    <n v="12"/>
  </r>
  <r>
    <n v="149"/>
    <n v="13"/>
    <x v="9"/>
    <x v="8"/>
    <s v="NA"/>
    <s v="GRABADORA"/>
    <s v="SONY"/>
    <s v="igra00100310"/>
    <s v="IGRA00100310"/>
    <n v="12"/>
  </r>
  <r>
    <n v="150"/>
    <n v="13"/>
    <x v="9"/>
    <x v="8"/>
    <s v="NA"/>
    <s v="LAMPARA DE EMERGENCIA CHICA"/>
    <s v="SURTEK"/>
    <s v="ILAM00100784"/>
    <s v="ILAM00100784"/>
    <n v="12"/>
  </r>
  <r>
    <n v="151"/>
    <n v="13"/>
    <x v="9"/>
    <x v="8"/>
    <s v="NA"/>
    <s v="LAMPARA DE EMERGENCIA CHICA"/>
    <s v="SURTEK"/>
    <s v="ILAM00101230"/>
    <s v="ILAM00101230"/>
    <n v="12"/>
  </r>
  <r>
    <n v="153"/>
    <n v="13"/>
    <x v="9"/>
    <x v="8"/>
    <s v="NA"/>
    <s v="LAMPARA DE EMERGENCIA CHICA"/>
    <s v="SURTEK"/>
    <s v="ILAM00100892"/>
    <s v="ILAM00100892"/>
    <n v="12"/>
  </r>
  <r>
    <n v="154"/>
    <n v="13"/>
    <x v="9"/>
    <x v="8"/>
    <s v="NA"/>
    <s v="LAMPARA DE EMERGENCIA GRANDE"/>
    <s v="STEREN"/>
    <s v="SN"/>
    <s v="SN"/>
    <n v="2"/>
  </r>
  <r>
    <n v="155"/>
    <n v="13"/>
    <x v="9"/>
    <x v="8"/>
    <s v="NA"/>
    <s v="RECEPTOR"/>
    <s v="SOUNDTRACK"/>
    <s v="isis01200067"/>
    <s v="ISIS01200067"/>
    <n v="12"/>
  </r>
  <r>
    <n v="156"/>
    <n v="13"/>
    <x v="9"/>
    <x v="8"/>
    <s v="NA"/>
    <s v="TAJALAPIZ"/>
    <s v="SN"/>
    <s v="ITAJ00100137"/>
    <s v="ITAJ00100137"/>
    <n v="12"/>
  </r>
  <r>
    <n v="157"/>
    <n v="13"/>
    <x v="9"/>
    <x v="8"/>
    <s v="NA"/>
    <s v="TELEFONOS"/>
    <s v="GENERICO"/>
    <s v="ITEL00100970"/>
    <s v="ITEL00100970"/>
    <n v="12"/>
  </r>
  <r>
    <n v="158"/>
    <n v="13"/>
    <x v="10"/>
    <x v="9"/>
    <s v="NA"/>
    <s v="BAFLE"/>
    <s v="STEREN"/>
    <s v="IBAF00100042"/>
    <s v="IBAF00100042"/>
    <n v="12"/>
  </r>
  <r>
    <n v="159"/>
    <n v="13"/>
    <x v="10"/>
    <x v="9"/>
    <s v="NA"/>
    <s v="BOTIQUIN"/>
    <s v="SN"/>
    <s v="IBOT00100080"/>
    <s v="IBOT00100080"/>
    <n v="12"/>
  </r>
  <r>
    <n v="161"/>
    <n v="13"/>
    <x v="10"/>
    <x v="9"/>
    <s v="NA"/>
    <s v="CAMARA DIGITAL"/>
    <s v="SONY"/>
    <s v="icam00101760"/>
    <s v="ICAM00101760"/>
    <n v="12"/>
  </r>
  <r>
    <n v="162"/>
    <n v="13"/>
    <x v="10"/>
    <x v="9"/>
    <s v="NA"/>
    <s v="ENGARGOLADORA"/>
    <s v="COMBO"/>
    <s v="IENG00100129"/>
    <s v="IENG00100129"/>
    <n v="12"/>
  </r>
  <r>
    <n v="163"/>
    <n v="13"/>
    <x v="10"/>
    <x v="9"/>
    <s v="NA"/>
    <s v="EQUIPO DE PERIFONEO"/>
    <s v="RADSON"/>
    <s v="IAMP00100089"/>
    <s v="IAMP00100089"/>
    <n v="12"/>
  </r>
  <r>
    <n v="164"/>
    <n v="13"/>
    <x v="10"/>
    <x v="9"/>
    <s v="NA"/>
    <s v="GRABADORA"/>
    <s v="SONY"/>
    <s v="igra00100416"/>
    <s v="IGRA00100416"/>
    <n v="12"/>
  </r>
  <r>
    <n v="165"/>
    <n v="13"/>
    <x v="10"/>
    <x v="9"/>
    <s v="NA"/>
    <s v="LAMPARA DE EMERGENCIA CHICA"/>
    <s v="SURTEK"/>
    <s v="ILAM00101356"/>
    <s v="ILAM00101356"/>
    <n v="12"/>
  </r>
  <r>
    <n v="166"/>
    <n v="13"/>
    <x v="10"/>
    <x v="9"/>
    <s v="NA"/>
    <s v="LAMPARA DE EMERGENCIA CHICA"/>
    <s v="SURTEK"/>
    <s v="ILAM00101135"/>
    <s v="ILAM00101135"/>
    <n v="12"/>
  </r>
  <r>
    <n v="167"/>
    <n v="13"/>
    <x v="10"/>
    <x v="9"/>
    <s v="NA"/>
    <s v="LAMPARA DE EMERGENCIA CHICA"/>
    <s v="SURTEK"/>
    <s v="ILAM00101274"/>
    <s v="ILAM00101274"/>
    <n v="12"/>
  </r>
  <r>
    <n v="169"/>
    <n v="13"/>
    <x v="10"/>
    <x v="9"/>
    <s v="NA"/>
    <s v="LAMPARA DE EMERGENCIA GRANDE"/>
    <s v="STEREN"/>
    <s v="SN"/>
    <s v="SN"/>
    <n v="2"/>
  </r>
  <r>
    <n v="170"/>
    <n v="13"/>
    <x v="10"/>
    <x v="9"/>
    <s v="NA"/>
    <s v="RECEPTOR"/>
    <s v="SOUNDTRACK"/>
    <s v="isis01200169"/>
    <s v="ISIS01200169"/>
    <n v="12"/>
  </r>
  <r>
    <n v="171"/>
    <n v="13"/>
    <x v="10"/>
    <x v="9"/>
    <s v="NA"/>
    <s v="TAJALAPIZ"/>
    <s v="SN"/>
    <s v="itaj00100146"/>
    <s v="ITAJ00100146"/>
    <n v="12"/>
  </r>
  <r>
    <n v="172"/>
    <n v="13"/>
    <x v="10"/>
    <x v="9"/>
    <s v="NA"/>
    <s v="TELEFONOS"/>
    <s v="TELMEX"/>
    <s v="itel00100428"/>
    <s v="ITEL00100428"/>
    <n v="12"/>
  </r>
  <r>
    <n v="173"/>
    <n v="13"/>
    <x v="11"/>
    <x v="10"/>
    <s v="NA"/>
    <s v="BAFLE"/>
    <s v="STEREN"/>
    <s v="ibaf00100120"/>
    <s v="IBAF00100120"/>
    <n v="12"/>
  </r>
  <r>
    <n v="174"/>
    <n v="13"/>
    <x v="11"/>
    <x v="10"/>
    <s v="NA"/>
    <s v="BOTIQUIN"/>
    <s v="SN"/>
    <s v="ibot00100016"/>
    <s v="IBOT00100016"/>
    <n v="12"/>
  </r>
  <r>
    <n v="175"/>
    <n v="13"/>
    <x v="11"/>
    <x v="10"/>
    <s v="NA"/>
    <s v="CAMARA DIGITAL"/>
    <s v="SONY"/>
    <s v="ICAM00101731"/>
    <s v="ICAM00101731"/>
    <n v="12"/>
  </r>
  <r>
    <n v="177"/>
    <n v="13"/>
    <x v="11"/>
    <x v="10"/>
    <s v="NA"/>
    <s v="ENGARGOLADORA"/>
    <s v="COMBO"/>
    <s v="ieng00100176"/>
    <s v="IENG00100176"/>
    <n v="12"/>
  </r>
  <r>
    <n v="178"/>
    <n v="13"/>
    <x v="11"/>
    <x v="10"/>
    <s v="NA"/>
    <s v="EQUIPO DE PERIFONEO"/>
    <s v="RADSON"/>
    <s v="iamp00100064"/>
    <s v="IAMP00100064"/>
    <n v="12"/>
  </r>
  <r>
    <n v="179"/>
    <n v="13"/>
    <x v="11"/>
    <x v="10"/>
    <s v="NA"/>
    <s v="GRABADORA"/>
    <s v="SONY"/>
    <s v="IGRA00100312"/>
    <s v="IGRA00100312"/>
    <n v="12"/>
  </r>
  <r>
    <n v="180"/>
    <n v="13"/>
    <x v="11"/>
    <x v="10"/>
    <s v="NA"/>
    <s v="LAMPARA DE EMERGENCIA CHICA"/>
    <s v="SURTEK"/>
    <s v="ilam00101250"/>
    <s v="ILAM00101250"/>
    <n v="12"/>
  </r>
  <r>
    <n v="181"/>
    <n v="13"/>
    <x v="11"/>
    <x v="10"/>
    <s v="NA"/>
    <s v="LAMPARA DE EMERGENCIA CHICA"/>
    <s v="SURTEK"/>
    <s v="ilam00101293"/>
    <s v="ILAM00101293"/>
    <n v="12"/>
  </r>
  <r>
    <n v="182"/>
    <n v="13"/>
    <x v="11"/>
    <x v="10"/>
    <s v="NA"/>
    <s v="LAMPARA DE EMERGENCIA CHICA"/>
    <s v="MAVRIK"/>
    <s v="ilam00100955"/>
    <s v="ILAM00100955"/>
    <n v="12"/>
  </r>
  <r>
    <n v="183"/>
    <n v="13"/>
    <x v="11"/>
    <x v="10"/>
    <s v="NA"/>
    <s v="LAMPARA DE EMERGENCIA GRANDE"/>
    <s v="STEREN"/>
    <s v="SN"/>
    <s v="SN"/>
    <n v="2"/>
  </r>
  <r>
    <n v="185"/>
    <n v="13"/>
    <x v="11"/>
    <x v="10"/>
    <s v="NA"/>
    <s v="RECEPTOR"/>
    <s v="SOUNDTRACK"/>
    <s v="isis01200166"/>
    <s v="ISIS01200166"/>
    <n v="12"/>
  </r>
  <r>
    <n v="186"/>
    <n v="13"/>
    <x v="11"/>
    <x v="10"/>
    <s v="NA"/>
    <s v="TAJALAPIZ"/>
    <s v="SN"/>
    <s v="itaj00100073"/>
    <s v="ITAJ00100073"/>
    <n v="12"/>
  </r>
  <r>
    <n v="187"/>
    <n v="13"/>
    <x v="11"/>
    <x v="10"/>
    <s v="NA"/>
    <s v="TELEFONOS"/>
    <s v="TELMEX"/>
    <s v="itel00100773"/>
    <s v="ITEL00100773"/>
    <n v="12"/>
  </r>
  <r>
    <n v="188"/>
    <n v="13"/>
    <x v="12"/>
    <x v="11"/>
    <s v="NA"/>
    <s v="BAFLE"/>
    <s v="STEREN"/>
    <s v="ibaf00100126"/>
    <s v="IBAF00100126"/>
    <n v="12"/>
  </r>
  <r>
    <n v="189"/>
    <n v="13"/>
    <x v="12"/>
    <x v="11"/>
    <s v="NA"/>
    <s v="BOTIQUIN"/>
    <s v="SN"/>
    <s v="ibot00100166"/>
    <s v="IBOT00100166"/>
    <n v="12"/>
  </r>
  <r>
    <n v="190"/>
    <n v="13"/>
    <x v="12"/>
    <x v="11"/>
    <s v="NA"/>
    <s v="CAMARA DIGITAL"/>
    <s v="SONY"/>
    <s v="ICAM00101771"/>
    <s v="ICAM00101771"/>
    <n v="12"/>
  </r>
  <r>
    <n v="191"/>
    <n v="13"/>
    <x v="12"/>
    <x v="11"/>
    <s v="NA"/>
    <s v="ENGARGOLADORA"/>
    <s v="COMBO"/>
    <s v="ieng00100050"/>
    <s v="IENG00100050"/>
    <n v="12"/>
  </r>
  <r>
    <n v="193"/>
    <n v="13"/>
    <x v="12"/>
    <x v="11"/>
    <s v="NA"/>
    <s v="EQUIPO DE PERIFONEO"/>
    <s v="RADSON"/>
    <s v="iamp00100021"/>
    <s v="IAMP00100021"/>
    <n v="12"/>
  </r>
  <r>
    <n v="194"/>
    <n v="13"/>
    <x v="12"/>
    <x v="11"/>
    <s v="NA"/>
    <s v="GRABADORA"/>
    <s v="SONY"/>
    <s v="IGRA00100401"/>
    <s v="IGRA00100401"/>
    <n v="12"/>
  </r>
  <r>
    <n v="195"/>
    <n v="13"/>
    <x v="12"/>
    <x v="11"/>
    <s v="NA"/>
    <s v="LAMPARA DE EMERGENCIA CHICA"/>
    <s v="MAVRIK"/>
    <s v="ilam00100948"/>
    <s v="ILAM00100948"/>
    <n v="12"/>
  </r>
  <r>
    <n v="196"/>
    <n v="13"/>
    <x v="12"/>
    <x v="11"/>
    <s v="NA"/>
    <s v="LAMPARA DE EMERGENCIA CHICA"/>
    <s v="MAVRIK"/>
    <s v="ilam00100931"/>
    <s v="ILAM00100931"/>
    <n v="12"/>
  </r>
  <r>
    <n v="197"/>
    <n v="13"/>
    <x v="12"/>
    <x v="11"/>
    <s v="NA"/>
    <s v="LAMPARA DE EMERGENCIA CHICA"/>
    <s v="MAVRIK"/>
    <s v="ilam00100951"/>
    <s v="ILAM00100951"/>
    <n v="12"/>
  </r>
  <r>
    <n v="198"/>
    <n v="13"/>
    <x v="12"/>
    <x v="11"/>
    <s v="NA"/>
    <s v="LAMPARA DE EMERGENCIA GRANDE"/>
    <s v="STEREN"/>
    <s v="SN"/>
    <s v="SN"/>
    <n v="2"/>
  </r>
  <r>
    <n v="199"/>
    <n v="13"/>
    <x v="12"/>
    <x v="11"/>
    <s v="NA"/>
    <s v="RECEPTOR"/>
    <s v="SOUNDTRACK"/>
    <s v="isis01200049"/>
    <s v="ISIS01200049"/>
    <n v="12"/>
  </r>
  <r>
    <n v="200"/>
    <n v="13"/>
    <x v="12"/>
    <x v="11"/>
    <s v="NA"/>
    <s v="TAJALAPIZ"/>
    <s v="SN"/>
    <s v="ITAJ00100081"/>
    <s v="ITAJ00100081"/>
    <n v="12"/>
  </r>
  <r>
    <n v="202"/>
    <n v="13"/>
    <x v="12"/>
    <x v="11"/>
    <s v="NA"/>
    <s v="TELEFONOS"/>
    <s v="TELMEX"/>
    <s v="itel00101164"/>
    <s v="ITEL00101164"/>
    <n v="12"/>
  </r>
  <r>
    <n v="203"/>
    <n v="11"/>
    <x v="13"/>
    <x v="12"/>
    <s v="NA"/>
    <s v="BAFLE"/>
    <s v="STEREN"/>
    <s v="ibaf00100134"/>
    <s v="IBAF00100134"/>
    <n v="12"/>
  </r>
  <r>
    <n v="204"/>
    <n v="11"/>
    <x v="13"/>
    <x v="12"/>
    <s v="NA"/>
    <s v="BOTIQUIN"/>
    <s v="SN"/>
    <s v="ibot00100118"/>
    <s v="IBOT00100118"/>
    <n v="12"/>
  </r>
  <r>
    <n v="205"/>
    <n v="11"/>
    <x v="13"/>
    <x v="12"/>
    <s v="NA"/>
    <s v="CAMARA DIGITAL"/>
    <s v="SONY"/>
    <s v="ICAM00101770"/>
    <s v="ICAM00101770"/>
    <n v="12"/>
  </r>
  <r>
    <n v="206"/>
    <n v="11"/>
    <x v="13"/>
    <x v="12"/>
    <s v="NA"/>
    <s v="ENGARGOLADORA"/>
    <s v="COMBO"/>
    <s v="ieng00100051"/>
    <s v="IENG00100051"/>
    <n v="12"/>
  </r>
  <r>
    <n v="207"/>
    <n v="11"/>
    <x v="13"/>
    <x v="12"/>
    <s v="NA"/>
    <s v="EQUIPO DE PERIFONEO"/>
    <s v="RADSON"/>
    <s v="iamp00100028"/>
    <s v="IAMP00100028"/>
    <n v="12"/>
  </r>
  <r>
    <n v="208"/>
    <n v="11"/>
    <x v="13"/>
    <x v="12"/>
    <s v="NA"/>
    <s v="GRABADORA"/>
    <s v="SONY"/>
    <s v="IGRA00100380"/>
    <s v="IGRA00100380"/>
    <n v="12"/>
  </r>
  <r>
    <n v="210"/>
    <n v="11"/>
    <x v="13"/>
    <x v="12"/>
    <s v="NA"/>
    <s v="LAMPARA DE EMERGENCIA CHICA"/>
    <s v="MAVRIK"/>
    <s v="ilam00100959"/>
    <s v="ILAM00100959"/>
    <n v="12"/>
  </r>
  <r>
    <n v="211"/>
    <n v="11"/>
    <x v="13"/>
    <x v="12"/>
    <s v="NA"/>
    <s v="LAMPARA DE EMERGENCIA GRANDE"/>
    <s v="STEREN"/>
    <s v="SN"/>
    <s v="SN"/>
    <n v="2"/>
  </r>
  <r>
    <n v="212"/>
    <n v="11"/>
    <x v="13"/>
    <x v="12"/>
    <s v="NA"/>
    <s v="RECEPTOR"/>
    <s v="SOUNDTRACK"/>
    <s v="isis01200065"/>
    <s v="ISIS01200065"/>
    <n v="12"/>
  </r>
  <r>
    <n v="213"/>
    <n v="11"/>
    <x v="13"/>
    <x v="12"/>
    <s v="NA"/>
    <s v="TAJALAPIZ"/>
    <s v="SN"/>
    <s v="itaj00100064"/>
    <s v="ITAJ00100064"/>
    <n v="12"/>
  </r>
  <r>
    <n v="214"/>
    <n v="11"/>
    <x v="13"/>
    <x v="12"/>
    <s v="NA"/>
    <s v="TELEFONOS"/>
    <s v="TELMEX"/>
    <s v="itel00100453"/>
    <s v="ITEL00100453"/>
    <n v="12"/>
  </r>
  <r>
    <n v="215"/>
    <n v="13"/>
    <x v="14"/>
    <x v="13"/>
    <s v="NA"/>
    <s v="BAFLE"/>
    <s v="STEREN"/>
    <s v="ibaf00100158"/>
    <s v="IBAF00100158"/>
    <n v="13"/>
  </r>
  <r>
    <n v="216"/>
    <n v="13"/>
    <x v="14"/>
    <x v="13"/>
    <s v="NA"/>
    <s v="BOTIQUIN"/>
    <s v="SN"/>
    <s v="ibot00100122"/>
    <s v="IBOT00100122"/>
    <n v="12"/>
  </r>
  <r>
    <n v="218"/>
    <n v="13"/>
    <x v="14"/>
    <x v="13"/>
    <s v="NA"/>
    <s v="CAMARA DIGITAL"/>
    <s v="SONY"/>
    <s v="ICAM00101755"/>
    <s v="ICAM00101755"/>
    <n v="12"/>
  </r>
  <r>
    <n v="219"/>
    <n v="13"/>
    <x v="14"/>
    <x v="13"/>
    <s v="NA"/>
    <s v="ENGARGOLADORA"/>
    <s v="COMBO"/>
    <s v="ieng00100074"/>
    <s v="IENG00100074"/>
    <n v="12"/>
  </r>
  <r>
    <n v="220"/>
    <n v="13"/>
    <x v="14"/>
    <x v="13"/>
    <s v="NA"/>
    <s v="EQUIPO DE PERIFONEO"/>
    <s v="RADSON"/>
    <s v="iamp00100086"/>
    <s v="IAMP00100086"/>
    <n v="12"/>
  </r>
  <r>
    <n v="221"/>
    <n v="13"/>
    <x v="14"/>
    <x v="13"/>
    <s v="NA"/>
    <s v="GRABADORA"/>
    <s v="SONY"/>
    <s v="IGRA00100430"/>
    <s v="IGRA00100430"/>
    <n v="12"/>
  </r>
  <r>
    <n v="222"/>
    <n v="13"/>
    <x v="14"/>
    <x v="13"/>
    <s v="NA"/>
    <s v="LAMPARA DE EMERGENCIA CHICA"/>
    <s v="MAVRIK"/>
    <s v="ILAM00100981"/>
    <s v="ILAM00100981"/>
    <n v="12"/>
  </r>
  <r>
    <n v="223"/>
    <n v="13"/>
    <x v="14"/>
    <x v="13"/>
    <s v="NA"/>
    <s v="LAMPARA DE EMERGENCIA CHICA"/>
    <s v="MAVRIK"/>
    <s v="ILAM00100924"/>
    <s v="ILAM00100924"/>
    <n v="12"/>
  </r>
  <r>
    <n v="224"/>
    <n v="13"/>
    <x v="14"/>
    <x v="13"/>
    <s v="NA"/>
    <s v="LAMPARA DE EMERGENCIA CHICA"/>
    <s v="MAVRIK"/>
    <s v="ILAM00100925"/>
    <s v="ILAM00100925"/>
    <n v="12"/>
  </r>
  <r>
    <n v="226"/>
    <n v="13"/>
    <x v="14"/>
    <x v="13"/>
    <s v="NA"/>
    <s v="LAMPARA DE EMERGENCIA GRANDE"/>
    <s v="STEREN"/>
    <s v="SN"/>
    <s v="SN"/>
    <n v="2"/>
  </r>
  <r>
    <n v="227"/>
    <n v="13"/>
    <x v="14"/>
    <x v="13"/>
    <s v="NA"/>
    <s v="RECEPTOR"/>
    <s v="SOUNDTRACK"/>
    <s v="isis01200144"/>
    <s v="ISIS01200144"/>
    <n v="12"/>
  </r>
  <r>
    <n v="228"/>
    <n v="13"/>
    <x v="14"/>
    <x v="13"/>
    <s v="NA"/>
    <s v="TAJALAPIZ"/>
    <s v="SN"/>
    <s v="itaj00100153"/>
    <s v="ITAJ00100153"/>
    <n v="12"/>
  </r>
  <r>
    <n v="229"/>
    <n v="13"/>
    <x v="14"/>
    <x v="13"/>
    <s v="NA"/>
    <s v="TELEFONOS"/>
    <s v="TELMEX"/>
    <s v="itel00101094"/>
    <s v="ITEL00101094"/>
    <n v="12"/>
  </r>
  <r>
    <n v="230"/>
    <n v="14"/>
    <x v="15"/>
    <x v="14"/>
    <s v="NA"/>
    <s v="BAFLE"/>
    <s v="STEREN"/>
    <s v="ibaf00100048"/>
    <s v="IBAF00100048"/>
    <n v="12"/>
  </r>
  <r>
    <n v="231"/>
    <n v="14"/>
    <x v="15"/>
    <x v="14"/>
    <s v="NA"/>
    <s v="BOTIQUIN"/>
    <s v="SN"/>
    <s v="ibot00100044"/>
    <s v="IBOT00100044"/>
    <n v="12"/>
  </r>
  <r>
    <n v="232"/>
    <n v="14"/>
    <x v="15"/>
    <x v="14"/>
    <s v="NA"/>
    <s v="CAMARA DIGITAL"/>
    <s v="SONY"/>
    <s v="ICAM00101801"/>
    <s v="ICAM00101801"/>
    <n v="12"/>
  </r>
  <r>
    <n v="234"/>
    <n v="14"/>
    <x v="15"/>
    <x v="14"/>
    <s v="NA"/>
    <s v="ENGARGOLADORA"/>
    <s v="COMBO"/>
    <s v="ieng00100185"/>
    <s v="IENG00100185"/>
    <n v="12"/>
  </r>
  <r>
    <n v="235"/>
    <n v="14"/>
    <x v="15"/>
    <x v="14"/>
    <s v="NA"/>
    <s v="EQUIPO DE PERIFONEO"/>
    <s v="RADSON"/>
    <s v="iamp00100131"/>
    <s v="IAMP00100131"/>
    <n v="12"/>
  </r>
  <r>
    <n v="236"/>
    <n v="14"/>
    <x v="15"/>
    <x v="14"/>
    <s v="NA"/>
    <s v="GRABADORA"/>
    <s v="SONY"/>
    <s v="IGRA00100315"/>
    <s v="IGRA00100315"/>
    <n v="12"/>
  </r>
  <r>
    <n v="237"/>
    <n v="14"/>
    <x v="15"/>
    <x v="14"/>
    <s v="NA"/>
    <s v="LAMPARA DE EMERGENCIA CHICA"/>
    <s v="MAVRIK"/>
    <s v="ilam00100973"/>
    <s v="ILAM00100973"/>
    <n v="12"/>
  </r>
  <r>
    <n v="238"/>
    <n v="14"/>
    <x v="15"/>
    <x v="14"/>
    <s v="NA"/>
    <s v="LAMPARA DE EMERGENCIA CHICA"/>
    <s v="MAVRIK"/>
    <s v="ilam00100988"/>
    <s v="ILAM00100988"/>
    <n v="12"/>
  </r>
  <r>
    <n v="239"/>
    <n v="14"/>
    <x v="15"/>
    <x v="14"/>
    <s v="NA"/>
    <s v="LAMPARA DE EMERGENCIA CHICA"/>
    <s v="MAVRIK"/>
    <s v="ilam00100943"/>
    <s v="ILAM00100943"/>
    <n v="12"/>
  </r>
  <r>
    <n v="240"/>
    <n v="14"/>
    <x v="15"/>
    <x v="14"/>
    <s v="NA"/>
    <s v="LAMPARA DE EMERGENCIA CHICA"/>
    <s v="MAVRIK"/>
    <s v="ilam00100972"/>
    <s v="ILAM00100972"/>
    <n v="12"/>
  </r>
  <r>
    <n v="242"/>
    <n v="14"/>
    <x v="15"/>
    <x v="14"/>
    <s v="NA"/>
    <s v="LAMPARA DE EMERGENCIA GRANDE"/>
    <s v="STEREN"/>
    <s v="SN"/>
    <s v="SN"/>
    <n v="2"/>
  </r>
  <r>
    <n v="243"/>
    <n v="14"/>
    <x v="15"/>
    <x v="14"/>
    <s v="NA"/>
    <s v="RECEPTOR"/>
    <s v="SOUNDTRACK"/>
    <s v="isis01200063"/>
    <s v="ISIS01200063"/>
    <n v="12"/>
  </r>
  <r>
    <n v="244"/>
    <n v="14"/>
    <x v="15"/>
    <x v="14"/>
    <s v="NA"/>
    <s v="TAJALAPIZ"/>
    <s v="SN"/>
    <s v="itaj00100198"/>
    <s v="ITAJ00100198"/>
    <n v="12"/>
  </r>
  <r>
    <n v="245"/>
    <n v="14"/>
    <x v="15"/>
    <x v="14"/>
    <s v="NA"/>
    <s v="TELEFONOS"/>
    <s v="TELMEX"/>
    <s v="itel00100463"/>
    <s v="ITEL00100463"/>
    <n v="12"/>
  </r>
  <r>
    <n v="246"/>
    <n v="14"/>
    <x v="16"/>
    <x v="15"/>
    <s v="NA"/>
    <s v="BAFLE"/>
    <s v="STEREN"/>
    <s v="ibaf00100203"/>
    <s v="IBAF00100203"/>
    <n v="12"/>
  </r>
  <r>
    <n v="247"/>
    <n v="14"/>
    <x v="16"/>
    <x v="15"/>
    <s v="NA"/>
    <s v="BOTIQUIN"/>
    <s v="SN"/>
    <s v="ibot00100028"/>
    <s v="IBOT00100028"/>
    <n v="12"/>
  </r>
  <r>
    <n v="248"/>
    <n v="14"/>
    <x v="16"/>
    <x v="15"/>
    <s v="NA"/>
    <s v="CAMARA DIGITAL"/>
    <s v="SONY"/>
    <s v="ICAM00101806"/>
    <s v="ICAM00101806"/>
    <n v="12"/>
  </r>
  <r>
    <n v="250"/>
    <n v="14"/>
    <x v="16"/>
    <x v="15"/>
    <s v="NA"/>
    <s v="ENGARGOLADORA"/>
    <s v="COMBO"/>
    <s v="ieng00100155"/>
    <s v="IENG00100155"/>
    <n v="12"/>
  </r>
  <r>
    <n v="251"/>
    <n v="14"/>
    <x v="16"/>
    <x v="15"/>
    <s v="NA"/>
    <s v="EQUIPO DE PERIFONEO"/>
    <s v="RADSON"/>
    <s v="iamp00100115"/>
    <s v="IAMP00100115"/>
    <n v="12"/>
  </r>
  <r>
    <n v="252"/>
    <n v="14"/>
    <x v="16"/>
    <x v="15"/>
    <s v="NA"/>
    <s v="GRABADORA"/>
    <s v="SONY"/>
    <s v="IGRA00100285"/>
    <s v="IGRA00100285"/>
    <n v="12"/>
  </r>
  <r>
    <n v="253"/>
    <n v="14"/>
    <x v="16"/>
    <x v="15"/>
    <s v="NA"/>
    <s v="LAMPARA DE EMERGENCIA CHICA"/>
    <s v="MAVRIK"/>
    <s v="ilam00100996"/>
    <s v="ILAM00100996"/>
    <n v="12"/>
  </r>
  <r>
    <n v="254"/>
    <n v="14"/>
    <x v="16"/>
    <x v="15"/>
    <s v="NA"/>
    <s v="LAMPARA DE EMERGENCIA CHICA"/>
    <s v="MAVRIK"/>
    <s v="ilam00100993"/>
    <s v="ILAM00100993"/>
    <n v="12"/>
  </r>
  <r>
    <n v="255"/>
    <n v="14"/>
    <x v="16"/>
    <x v="15"/>
    <s v="NA"/>
    <s v="LAMPARA DE EMERGENCIA CHICA"/>
    <s v="MAVRIK"/>
    <s v="ilam00100947"/>
    <s v="ILAM00100947"/>
    <n v="12"/>
  </r>
  <r>
    <n v="256"/>
    <n v="14"/>
    <x v="16"/>
    <x v="15"/>
    <s v="NA"/>
    <s v="LAMPARA DE EMERGENCIA CHICA"/>
    <s v="MAVRIK"/>
    <s v="ilam00100956"/>
    <s v="ILAM00100956"/>
    <n v="12"/>
  </r>
  <r>
    <n v="258"/>
    <n v="14"/>
    <x v="16"/>
    <x v="15"/>
    <s v="NA"/>
    <s v="LAMPARA DE EMERGENCIA GRANDE"/>
    <s v="STEREN"/>
    <s v="SN"/>
    <s v="SN"/>
    <n v="2"/>
  </r>
  <r>
    <n v="259"/>
    <n v="14"/>
    <x v="16"/>
    <x v="15"/>
    <s v="NA"/>
    <s v="RECEPTOR"/>
    <s v="SOUNDTRACK"/>
    <s v="isis01200149"/>
    <s v="ISIS01200149"/>
    <n v="12"/>
  </r>
  <r>
    <n v="260"/>
    <n v="14"/>
    <x v="16"/>
    <x v="15"/>
    <s v="NA"/>
    <s v="TAJALAPIZ"/>
    <s v="SN"/>
    <s v="itaj00100232"/>
    <s v="ITAJ00100232"/>
    <n v="12"/>
  </r>
  <r>
    <n v="261"/>
    <n v="14"/>
    <x v="16"/>
    <x v="15"/>
    <s v="NA"/>
    <s v="TELEFONOS"/>
    <s v="TELMEX"/>
    <s v="itel00100610"/>
    <s v="ITEL00100610"/>
    <n v="12"/>
  </r>
  <r>
    <n v="262"/>
    <n v="12"/>
    <x v="17"/>
    <x v="16"/>
    <s v="NA"/>
    <s v="BAFLE"/>
    <s v="STEREN"/>
    <s v="ibaf00100106"/>
    <s v="IBAF00100106"/>
    <n v="12"/>
  </r>
  <r>
    <n v="263"/>
    <n v="12"/>
    <x v="17"/>
    <x v="16"/>
    <s v="NA"/>
    <s v="BOTIQUIN"/>
    <s v="SN"/>
    <s v="ibot00100090"/>
    <s v="IBOT00100090"/>
    <n v="12"/>
  </r>
  <r>
    <n v="264"/>
    <n v="12"/>
    <x v="17"/>
    <x v="16"/>
    <s v="NA"/>
    <s v="CAMARA DIGITAL"/>
    <s v="SONY"/>
    <s v="ICAM00101798"/>
    <s v="ICAM00101798"/>
    <n v="12"/>
  </r>
  <r>
    <n v="266"/>
    <n v="12"/>
    <x v="17"/>
    <x v="16"/>
    <s v="NA"/>
    <s v="ENGARGOLADORA"/>
    <s v="COMBO"/>
    <s v="ieng00100043"/>
    <s v="IENG00100043"/>
    <n v="12"/>
  </r>
  <r>
    <n v="267"/>
    <n v="12"/>
    <x v="17"/>
    <x v="16"/>
    <s v="NA"/>
    <s v="EQUIPO DE PERIFONEO"/>
    <s v="RADSON"/>
    <s v="iamp00100035"/>
    <s v="IAMP00100035"/>
    <n v="12"/>
  </r>
  <r>
    <n v="268"/>
    <n v="12"/>
    <x v="17"/>
    <x v="16"/>
    <s v="NA"/>
    <s v="GRABADORA"/>
    <s v="SONY"/>
    <s v="IGRA00100371"/>
    <s v="IGRA00100371"/>
    <n v="12"/>
  </r>
  <r>
    <n v="269"/>
    <n v="12"/>
    <x v="17"/>
    <x v="16"/>
    <s v="NA"/>
    <s v="LAMPARA DE EMERGENCIA CHICA"/>
    <s v="MAVRIK"/>
    <s v="ilam00100998"/>
    <s v="ILAM00100998"/>
    <n v="12"/>
  </r>
  <r>
    <n v="270"/>
    <n v="12"/>
    <x v="17"/>
    <x v="16"/>
    <s v="NA"/>
    <s v="LAMPARA DE EMERGENCIA CHICA"/>
    <s v="MAVRIK"/>
    <s v="ilam00100933"/>
    <s v="ILAM00100933"/>
    <n v="12"/>
  </r>
  <r>
    <n v="271"/>
    <n v="12"/>
    <x v="17"/>
    <x v="16"/>
    <s v="NA"/>
    <s v="LAMPARA DE EMERGENCIA GRANDE"/>
    <s v="STEREN"/>
    <s v="SN"/>
    <s v="SN"/>
    <n v="2"/>
  </r>
  <r>
    <n v="272"/>
    <n v="12"/>
    <x v="17"/>
    <x v="16"/>
    <s v="NA"/>
    <s v="RECEPTOR"/>
    <s v="SOUNDTRACK"/>
    <s v="isis01200059"/>
    <s v="ISIS01200059"/>
    <n v="12"/>
  </r>
  <r>
    <n v="274"/>
    <n v="12"/>
    <x v="17"/>
    <x v="16"/>
    <s v="NA"/>
    <s v="TAJALAPIZ"/>
    <s v="SN"/>
    <s v="itaj00100192"/>
    <s v="ITAJ00100192"/>
    <n v="12"/>
  </r>
  <r>
    <n v="275"/>
    <n v="12"/>
    <x v="17"/>
    <x v="16"/>
    <s v="NA"/>
    <s v="TELEFONOS"/>
    <s v="TELMEX"/>
    <s v="itel00100836"/>
    <s v="ITEL00100836"/>
    <n v="12"/>
  </r>
  <r>
    <n v="276"/>
    <n v="14"/>
    <x v="18"/>
    <x v="17"/>
    <s v="NA"/>
    <s v="BAFLE"/>
    <s v="STEREN"/>
    <s v="IBAF00100112"/>
    <s v="IBAF00100112"/>
    <n v="12"/>
  </r>
  <r>
    <n v="277"/>
    <n v="14"/>
    <x v="18"/>
    <x v="17"/>
    <s v="NA"/>
    <s v="BOTIQUIN"/>
    <s v="SN"/>
    <s v="ibot00100070"/>
    <s v="IBOT00100070"/>
    <n v="12"/>
  </r>
  <r>
    <n v="278"/>
    <n v="14"/>
    <x v="18"/>
    <x v="17"/>
    <s v="NA"/>
    <s v="CAMARA DIGITAL"/>
    <s v="SONY"/>
    <s v="ICAM00101756"/>
    <s v="ICAM00101756"/>
    <n v="12"/>
  </r>
  <r>
    <n v="279"/>
    <n v="14"/>
    <x v="18"/>
    <x v="17"/>
    <s v="NA"/>
    <s v="ENGARGOLADORA"/>
    <s v="COMBO"/>
    <s v="ieng00100130"/>
    <s v="IENG00100130"/>
    <n v="12"/>
  </r>
  <r>
    <n v="280"/>
    <n v="14"/>
    <x v="18"/>
    <x v="17"/>
    <s v="NA"/>
    <s v="EQUIPO DE PERIFONEO"/>
    <s v="RADSON"/>
    <s v="iamp00100065"/>
    <s v="IAMP00100065"/>
    <n v="12"/>
  </r>
  <r>
    <n v="282"/>
    <n v="14"/>
    <x v="18"/>
    <x v="17"/>
    <s v="NA"/>
    <s v="GRABADORA"/>
    <s v="SONY"/>
    <s v="IGRA00100321"/>
    <s v="IGRA00100321"/>
    <n v="12"/>
  </r>
  <r>
    <n v="283"/>
    <n v="14"/>
    <x v="18"/>
    <x v="17"/>
    <s v="NA"/>
    <s v="LAMPARA DE EMERGENCIA CHICA"/>
    <s v="MAVRIK"/>
    <s v="ilam00101038"/>
    <s v="ILAM00101038"/>
    <n v="12"/>
  </r>
  <r>
    <n v="284"/>
    <n v="14"/>
    <x v="18"/>
    <x v="17"/>
    <s v="NA"/>
    <s v="LAMPARA DE EMERGENCIA CHICA"/>
    <s v="MAVRIK"/>
    <s v="ilam00100968"/>
    <s v="ILAM00100968"/>
    <n v="12"/>
  </r>
  <r>
    <n v="285"/>
    <n v="14"/>
    <x v="18"/>
    <x v="17"/>
    <s v="NA"/>
    <s v="LAMPARA DE EMERGENCIA CHICA"/>
    <s v="MAVRIK"/>
    <s v="ilam00100945"/>
    <s v="ILAM00100945"/>
    <n v="12"/>
  </r>
  <r>
    <n v="286"/>
    <n v="14"/>
    <x v="18"/>
    <x v="17"/>
    <s v="NA"/>
    <s v="LAMPARA DE EMERGENCIA CHICA"/>
    <s v="MAVRIK"/>
    <s v="ilam00100969"/>
    <s v="ILAM00100969"/>
    <n v="12"/>
  </r>
  <r>
    <n v="287"/>
    <n v="14"/>
    <x v="18"/>
    <x v="17"/>
    <s v="NA"/>
    <s v="LAMPARA DE EMERGENCIA GRANDE"/>
    <s v="STEREN"/>
    <s v="SN"/>
    <s v="SN"/>
    <n v="2"/>
  </r>
  <r>
    <n v="288"/>
    <n v="14"/>
    <x v="18"/>
    <x v="17"/>
    <s v="NA"/>
    <s v="RECEPTOR"/>
    <s v="SOUNDTRACK"/>
    <s v="isis01200185"/>
    <s v="ISIS01200185"/>
    <n v="12"/>
  </r>
  <r>
    <n v="289"/>
    <n v="14"/>
    <x v="18"/>
    <x v="17"/>
    <s v="NA"/>
    <s v="TAJALAPIZ"/>
    <s v="SN"/>
    <s v="itaj00100049"/>
    <s v="ITAJ00100049"/>
    <n v="12"/>
  </r>
  <r>
    <n v="291"/>
    <n v="14"/>
    <x v="18"/>
    <x v="17"/>
    <s v="NA"/>
    <s v="TELEFONOS"/>
    <s v="TELMEX"/>
    <s v="itel00101185"/>
    <s v="ITEL00101185"/>
    <n v="12"/>
  </r>
  <r>
    <n v="292"/>
    <n v="13"/>
    <x v="19"/>
    <x v="18"/>
    <s v="NA"/>
    <s v="BAFLE"/>
    <s v="STEREN"/>
    <s v="ibaf00100180"/>
    <s v="IBAF00100180"/>
    <n v="12"/>
  </r>
  <r>
    <n v="293"/>
    <n v="13"/>
    <x v="19"/>
    <x v="18"/>
    <s v="NA"/>
    <s v="BOTIQUIN"/>
    <s v="SN"/>
    <s v="ibot00100109"/>
    <s v="IBOT00100109"/>
    <n v="12"/>
  </r>
  <r>
    <n v="294"/>
    <n v="13"/>
    <x v="19"/>
    <x v="18"/>
    <s v="NA"/>
    <s v="CAMARA DIGITAL"/>
    <s v="SONY"/>
    <s v="ICAM00101761"/>
    <s v="ICAM00101761"/>
    <n v="12"/>
  </r>
  <r>
    <n v="295"/>
    <n v="13"/>
    <x v="19"/>
    <x v="18"/>
    <s v="NA"/>
    <s v="ENGARGOLADORA"/>
    <s v="COMBO"/>
    <s v="ieng00100035"/>
    <s v="IENG00100035"/>
    <n v="12"/>
  </r>
  <r>
    <n v="296"/>
    <n v="13"/>
    <x v="19"/>
    <x v="18"/>
    <s v="NA"/>
    <s v="EQUIPO DE PERIFONEO"/>
    <s v="RADSON"/>
    <s v="iamp00100092"/>
    <s v="IAMP00100092"/>
    <n v="12"/>
  </r>
  <r>
    <n v="297"/>
    <n v="13"/>
    <x v="19"/>
    <x v="18"/>
    <s v="NA"/>
    <s v="GRABADORA"/>
    <s v="SONY"/>
    <s v="IGRA00100392"/>
    <s v="IGRA00100392"/>
    <n v="12"/>
  </r>
  <r>
    <n v="299"/>
    <n v="13"/>
    <x v="19"/>
    <x v="18"/>
    <s v="NA"/>
    <s v="LAMPARA DE EMERGENCIA CHICA"/>
    <s v="MAVRIK"/>
    <s v="ilam00101012"/>
    <s v="ILAM00101012"/>
    <n v="12"/>
  </r>
  <r>
    <n v="300"/>
    <n v="13"/>
    <x v="19"/>
    <x v="18"/>
    <s v="NA"/>
    <s v="LAMPARA DE EMERGENCIA CHICA"/>
    <s v="MAVRIK"/>
    <s v="ilam00101068"/>
    <s v="ILAM00101068"/>
    <n v="12"/>
  </r>
  <r>
    <n v="301"/>
    <n v="13"/>
    <x v="19"/>
    <x v="18"/>
    <s v="NA"/>
    <s v="LAMPARA DE EMERGENCIA CHICA"/>
    <s v="MAVRIK"/>
    <s v="ilam00101067"/>
    <s v="ILAM00101067"/>
    <n v="12"/>
  </r>
  <r>
    <n v="302"/>
    <n v="13"/>
    <x v="19"/>
    <x v="18"/>
    <s v="NA"/>
    <s v="LAMPARA DE EMERGENCIA GRANDE"/>
    <s v="STEREN"/>
    <s v="SN"/>
    <s v="SN"/>
    <n v="2"/>
  </r>
  <r>
    <n v="303"/>
    <n v="13"/>
    <x v="19"/>
    <x v="18"/>
    <s v="NA"/>
    <s v="RECEPTOR"/>
    <s v="SOUNDTRACK"/>
    <s v="isis01200051"/>
    <s v="ISIS01200051"/>
    <n v="12"/>
  </r>
  <r>
    <n v="304"/>
    <n v="13"/>
    <x v="19"/>
    <x v="18"/>
    <s v="NA"/>
    <s v="TAJALAPIZ"/>
    <s v="SN"/>
    <s v="itaj00100008"/>
    <s v="ITAJ00100008"/>
    <n v="12"/>
  </r>
  <r>
    <n v="305"/>
    <n v="13"/>
    <x v="19"/>
    <x v="18"/>
    <s v="NA"/>
    <s v="TELEFONOS"/>
    <s v="TELMEX"/>
    <s v="itel00100880"/>
    <s v="ITEL00100880"/>
    <n v="12"/>
  </r>
  <r>
    <n v="307"/>
    <n v="13"/>
    <x v="20"/>
    <x v="5"/>
    <s v="NA"/>
    <s v="BAFLE"/>
    <s v="STEREN"/>
    <s v="ibaf00100057"/>
    <s v="IBAF00100057"/>
    <n v="12"/>
  </r>
  <r>
    <n v="308"/>
    <n v="13"/>
    <x v="20"/>
    <x v="5"/>
    <s v="NA"/>
    <s v="BOTIQUIN"/>
    <s v="SN"/>
    <s v="ibot00100188"/>
    <s v="IBOT00100188"/>
    <n v="12"/>
  </r>
  <r>
    <n v="309"/>
    <n v="13"/>
    <x v="20"/>
    <x v="5"/>
    <s v="NA"/>
    <s v="CAMARA DIGITAL"/>
    <s v="SONY"/>
    <s v="ICAM00101784"/>
    <s v="ICAM00101784"/>
    <n v="12"/>
  </r>
  <r>
    <n v="310"/>
    <n v="13"/>
    <x v="20"/>
    <x v="5"/>
    <s v="NA"/>
    <s v="ENGARGOLADORA"/>
    <s v="COMBO"/>
    <s v="ieng00100087"/>
    <s v="IENG00100087"/>
    <n v="12"/>
  </r>
  <r>
    <n v="311"/>
    <n v="13"/>
    <x v="20"/>
    <x v="5"/>
    <s v="NA"/>
    <s v="EQUIPO DE PERIFONEO"/>
    <s v="RADSON"/>
    <s v="IAMP00100129"/>
    <s v="IAMP00100129"/>
    <n v="12"/>
  </r>
  <r>
    <n v="312"/>
    <n v="13"/>
    <x v="20"/>
    <x v="5"/>
    <s v="NA"/>
    <s v="GRABADORA"/>
    <s v="SONY"/>
    <s v="IGRA00100331"/>
    <s v="IGRA00100331"/>
    <n v="12"/>
  </r>
  <r>
    <n v="313"/>
    <n v="13"/>
    <x v="20"/>
    <x v="5"/>
    <s v="NA"/>
    <s v="LAMPARA DE EMERGENCIA CHICA"/>
    <s v="MAVRIK"/>
    <s v="ilam00100936"/>
    <s v="ILAM00100936"/>
    <n v="12"/>
  </r>
  <r>
    <n v="315"/>
    <n v="13"/>
    <x v="20"/>
    <x v="5"/>
    <s v="NA"/>
    <s v="LAMPARA DE EMERGENCIA CHICA"/>
    <s v="MAVRIK"/>
    <s v="ilam00101037"/>
    <s v="ILAM00101037"/>
    <n v="12"/>
  </r>
  <r>
    <n v="316"/>
    <n v="13"/>
    <x v="20"/>
    <x v="5"/>
    <s v="NA"/>
    <s v="LAMPARA DE EMERGENCIA CHICA"/>
    <s v="MAVRIK"/>
    <s v="ilam00101002"/>
    <s v="ILAM00101002"/>
    <n v="12"/>
  </r>
  <r>
    <n v="317"/>
    <n v="13"/>
    <x v="20"/>
    <x v="5"/>
    <s v="NA"/>
    <s v="LAMPARA DE EMERGENCIA GRANDE"/>
    <s v="STEREN"/>
    <s v="SN"/>
    <s v="SN"/>
    <n v="2"/>
  </r>
  <r>
    <n v="318"/>
    <n v="13"/>
    <x v="20"/>
    <x v="5"/>
    <s v="NA"/>
    <s v="RECEPTOR"/>
    <s v="SOUNDTRACK"/>
    <s v="isis01200148"/>
    <s v="ISIS01200148"/>
    <n v="12"/>
  </r>
  <r>
    <n v="319"/>
    <n v="13"/>
    <x v="20"/>
    <x v="5"/>
    <s v="NA"/>
    <s v="TAJALAPIZ"/>
    <s v="SN"/>
    <s v="itaj00100152"/>
    <s v="ITAJ00100152"/>
    <n v="12"/>
  </r>
  <r>
    <n v="320"/>
    <n v="13"/>
    <x v="20"/>
    <x v="5"/>
    <s v="NA"/>
    <s v="TELEFONOS"/>
    <s v="TELMEX"/>
    <s v="itel00100237"/>
    <s v="ITEL00100237"/>
    <n v="12"/>
  </r>
  <r>
    <n v="321"/>
    <n v="13"/>
    <x v="21"/>
    <x v="19"/>
    <s v="NA"/>
    <s v="BAFLE"/>
    <s v="STEREN"/>
    <s v="ibaf00100144"/>
    <s v="IBAF00100144"/>
    <n v="12"/>
  </r>
  <r>
    <n v="323"/>
    <n v="13"/>
    <x v="21"/>
    <x v="19"/>
    <s v="NA"/>
    <s v="BOTIQUIN"/>
    <s v="SN"/>
    <s v="ibot00100157"/>
    <s v="IBOT00100157"/>
    <n v="12"/>
  </r>
  <r>
    <n v="324"/>
    <n v="13"/>
    <x v="21"/>
    <x v="19"/>
    <s v="NA"/>
    <s v="CAMARA DIGITAL"/>
    <s v="SONY"/>
    <s v="ICAM00101789"/>
    <s v="ICAM00101789"/>
    <n v="12"/>
  </r>
  <r>
    <n v="325"/>
    <n v="13"/>
    <x v="21"/>
    <x v="19"/>
    <s v="NA"/>
    <s v="ENGARGOLADORA"/>
    <s v="COMBO"/>
    <s v="ieng00100033"/>
    <s v="IENG00100033"/>
    <n v="12"/>
  </r>
  <r>
    <n v="326"/>
    <n v="13"/>
    <x v="21"/>
    <x v="19"/>
    <s v="NA"/>
    <s v="EQUIPO DE PERIFONEO"/>
    <s v="RADSON"/>
    <s v="iamp00100071"/>
    <s v="IAMP00100071"/>
    <n v="12"/>
  </r>
  <r>
    <n v="327"/>
    <n v="13"/>
    <x v="21"/>
    <x v="19"/>
    <s v="NA"/>
    <s v="GRABADORA"/>
    <s v="SONY"/>
    <s v="IGRA00100415"/>
    <s v="IGRA00100415"/>
    <n v="12"/>
  </r>
  <r>
    <n v="328"/>
    <n v="13"/>
    <x v="21"/>
    <x v="19"/>
    <s v="NA"/>
    <s v="LAMPARA DE EMERGENCIA CHICA"/>
    <s v="SANELEC"/>
    <s v="ilam00100671"/>
    <s v="ILAM00100671"/>
    <n v="12"/>
  </r>
  <r>
    <n v="329"/>
    <n v="13"/>
    <x v="21"/>
    <x v="19"/>
    <s v="NA"/>
    <s v="LAMPARA DE EMERGENCIA CHICA"/>
    <s v="SANELEC"/>
    <s v="ilam00100797"/>
    <s v="ILAM00100797"/>
    <n v="12"/>
  </r>
  <r>
    <n v="331"/>
    <n v="13"/>
    <x v="21"/>
    <x v="19"/>
    <s v="NA"/>
    <s v="LAMPARA DE EMERGENCIA CHICA"/>
    <s v="SANELEC"/>
    <s v="ilam00100821"/>
    <s v="ILAM00100821"/>
    <n v="12"/>
  </r>
  <r>
    <n v="332"/>
    <n v="13"/>
    <x v="21"/>
    <x v="19"/>
    <s v="NA"/>
    <s v="LAMPARA DE EMERGENCIA GRANDE"/>
    <s v="STEREN"/>
    <s v="SN"/>
    <s v="SN"/>
    <n v="2"/>
  </r>
  <r>
    <n v="333"/>
    <n v="13"/>
    <x v="21"/>
    <x v="19"/>
    <s v="NA"/>
    <s v="RECEPTOR"/>
    <s v="SOUNDTRACK"/>
    <s v="isis01200089"/>
    <s v="ISIS01200089"/>
    <n v="12"/>
  </r>
  <r>
    <n v="334"/>
    <n v="13"/>
    <x v="21"/>
    <x v="19"/>
    <s v="NA"/>
    <s v="TAJALAPIZ"/>
    <s v="SN"/>
    <s v="itaj00100242"/>
    <s v="ITAJ00100242"/>
    <n v="12"/>
  </r>
  <r>
    <n v="335"/>
    <n v="13"/>
    <x v="21"/>
    <x v="19"/>
    <s v="NA"/>
    <s v="TELEFONOS"/>
    <s v="TELMEX"/>
    <s v="itel00100477"/>
    <s v="ITEL00100477"/>
    <n v="12"/>
  </r>
  <r>
    <n v="336"/>
    <n v="14"/>
    <x v="22"/>
    <x v="20"/>
    <s v="NA"/>
    <s v="BAFLE"/>
    <s v="STEREN"/>
    <s v="ibaf00100156"/>
    <s v="IBAF00100156"/>
    <n v="12"/>
  </r>
  <r>
    <n v="337"/>
    <n v="14"/>
    <x v="22"/>
    <x v="20"/>
    <s v="NA"/>
    <s v="BOTIQUIN"/>
    <s v="SN"/>
    <s v="ibot00100168"/>
    <s v="IBOT00100168"/>
    <n v="12"/>
  </r>
  <r>
    <n v="339"/>
    <n v="14"/>
    <x v="22"/>
    <x v="20"/>
    <s v="NA"/>
    <s v="CAMARA DIGITAL"/>
    <s v="SONY"/>
    <s v="ICAM00101769"/>
    <s v="ICAM00101769"/>
    <n v="12"/>
  </r>
  <r>
    <n v="340"/>
    <n v="14"/>
    <x v="22"/>
    <x v="20"/>
    <s v="NA"/>
    <s v="ENGARGOLADORA"/>
    <s v="COMBO"/>
    <s v="ieng00100094"/>
    <s v="IENG00100094"/>
    <n v="12"/>
  </r>
  <r>
    <n v="341"/>
    <n v="14"/>
    <x v="22"/>
    <x v="20"/>
    <s v="NA"/>
    <s v="EQUIPO DE PERIFONEO"/>
    <s v="RADSON"/>
    <s v="iamp00100058"/>
    <s v="IAMP00100058"/>
    <n v="12"/>
  </r>
  <r>
    <n v="342"/>
    <n v="14"/>
    <x v="22"/>
    <x v="20"/>
    <s v="NA"/>
    <s v="GRABADORA"/>
    <s v="SONY"/>
    <s v="IGRA00100408"/>
    <s v="IGRA00100408"/>
    <n v="12"/>
  </r>
  <r>
    <n v="343"/>
    <n v="14"/>
    <x v="22"/>
    <x v="20"/>
    <s v="NA"/>
    <s v="LAMPARA DE EMERGENCIA CHICA"/>
    <s v="STEREN"/>
    <s v="ILAM00100818"/>
    <s v="ILAM00100818"/>
    <n v="12"/>
  </r>
  <r>
    <n v="344"/>
    <n v="14"/>
    <x v="22"/>
    <x v="20"/>
    <s v="NA"/>
    <s v="LAMPARA DE EMERGENCIA CHICA"/>
    <s v="STEREN"/>
    <s v="ILAM00101351"/>
    <s v="ILAM00101351"/>
    <n v="12"/>
  </r>
  <r>
    <n v="345"/>
    <n v="14"/>
    <x v="22"/>
    <x v="20"/>
    <s v="NA"/>
    <s v="LAMPARA DE EMERGENCIA CHICA"/>
    <s v="STEREN"/>
    <s v="ILAM00101337"/>
    <s v="ILAM00101337"/>
    <n v="12"/>
  </r>
  <r>
    <n v="347"/>
    <n v="14"/>
    <x v="22"/>
    <x v="20"/>
    <s v="NA"/>
    <s v="LAMPARA DE EMERGENCIA CHICA"/>
    <s v="STEREN"/>
    <s v="ILAM00101154"/>
    <s v="ILAM00101154"/>
    <n v="12"/>
  </r>
  <r>
    <n v="348"/>
    <n v="14"/>
    <x v="22"/>
    <x v="20"/>
    <s v="NA"/>
    <s v="LAMPARA DE EMERGENCIA GRANDE"/>
    <s v="STEREN"/>
    <s v="SN"/>
    <s v="SN"/>
    <n v="2"/>
  </r>
  <r>
    <n v="349"/>
    <n v="14"/>
    <x v="22"/>
    <x v="20"/>
    <s v="NA"/>
    <s v="RECEPTOR"/>
    <s v="SOUNDTRACK"/>
    <s v="isis01200053"/>
    <s v="ISIS01200053"/>
    <n v="12"/>
  </r>
  <r>
    <n v="350"/>
    <n v="14"/>
    <x v="22"/>
    <x v="20"/>
    <s v="NA"/>
    <s v="TAJALAPIZ"/>
    <s v="SN"/>
    <s v="itaj00100180"/>
    <s v="ITAJ00100180"/>
    <n v="12"/>
  </r>
  <r>
    <n v="351"/>
    <n v="14"/>
    <x v="22"/>
    <x v="20"/>
    <s v="NA"/>
    <s v="TELEFONOS"/>
    <s v="TELMEX"/>
    <s v="ITEL00100251"/>
    <s v="ITEL00100251"/>
    <n v="12"/>
  </r>
  <r>
    <n v="352"/>
    <n v="13"/>
    <x v="23"/>
    <x v="21"/>
    <s v="NA"/>
    <s v="BAFLE"/>
    <s v="STEREN"/>
    <s v="ibaf00100052"/>
    <s v="IBAF00100052"/>
    <n v="12"/>
  </r>
  <r>
    <n v="353"/>
    <n v="13"/>
    <x v="23"/>
    <x v="21"/>
    <s v="NA"/>
    <s v="BOTIQUIN"/>
    <s v="SN"/>
    <s v="ibot00100158"/>
    <s v="IBOT00100158"/>
    <n v="12"/>
  </r>
  <r>
    <n v="355"/>
    <n v="13"/>
    <x v="23"/>
    <x v="21"/>
    <s v="NA"/>
    <s v="CAMARA DIGITAL"/>
    <s v="SONY"/>
    <s v="ICAM00101736"/>
    <s v="ICAM00101736"/>
    <n v="12"/>
  </r>
  <r>
    <n v="356"/>
    <n v="13"/>
    <x v="23"/>
    <x v="21"/>
    <s v="NA"/>
    <s v="ENGARGOLADORA"/>
    <s v="COMBO"/>
    <s v="ieng00100090"/>
    <s v="IENG00100090"/>
    <n v="12"/>
  </r>
  <r>
    <n v="357"/>
    <n v="13"/>
    <x v="23"/>
    <x v="21"/>
    <s v="NA"/>
    <s v="EQUIPO DE PERIFONEO"/>
    <s v="RADSON"/>
    <s v="iamp00100037"/>
    <s v="IAMP00100037"/>
    <n v="12"/>
  </r>
  <r>
    <n v="358"/>
    <n v="13"/>
    <x v="23"/>
    <x v="21"/>
    <s v="NA"/>
    <s v="GRABADORA"/>
    <s v="SONY"/>
    <s v="IGRA00100435"/>
    <s v="IGRA00100435"/>
    <n v="12"/>
  </r>
  <r>
    <n v="359"/>
    <n v="13"/>
    <x v="23"/>
    <x v="21"/>
    <s v="NA"/>
    <s v="LAMPARA DE EMERGENCIA CHICA"/>
    <s v="STEREN"/>
    <s v="ILAM00101056"/>
    <s v="ILAM00101056"/>
    <n v="12"/>
  </r>
  <r>
    <n v="360"/>
    <n v="13"/>
    <x v="23"/>
    <x v="21"/>
    <s v="NA"/>
    <s v="LAMPARA DE EMERGENCIA CHICA"/>
    <s v="STEREN"/>
    <s v="ILAM00100992"/>
    <s v="ILAM00100992"/>
    <n v="12"/>
  </r>
  <r>
    <n v="361"/>
    <n v="13"/>
    <x v="23"/>
    <x v="21"/>
    <s v="NA"/>
    <s v="LAMPARA DE EMERGENCIA CHICA"/>
    <s v="STEREN"/>
    <s v="ILAM00101039"/>
    <s v="ILAM00101039"/>
    <n v="12"/>
  </r>
  <r>
    <n v="363"/>
    <n v="13"/>
    <x v="23"/>
    <x v="21"/>
    <s v="NA"/>
    <s v="LAMPARA DE EMERGENCIA GRANDE"/>
    <s v="STEREN"/>
    <s v="SN"/>
    <s v="SN"/>
    <n v="2"/>
  </r>
  <r>
    <n v="364"/>
    <n v="13"/>
    <x v="23"/>
    <x v="21"/>
    <s v="NA"/>
    <s v="RECEPTOR"/>
    <s v="SOUNDTRACK"/>
    <s v="isis01200038"/>
    <s v="ISIS01200038"/>
    <n v="12"/>
  </r>
  <r>
    <n v="365"/>
    <n v="13"/>
    <x v="23"/>
    <x v="21"/>
    <s v="NA"/>
    <s v="TAJALAPIZ"/>
    <s v="SN"/>
    <s v="itaj00100106"/>
    <s v="ITAJ00100106"/>
    <n v="12"/>
  </r>
  <r>
    <n v="366"/>
    <n v="13"/>
    <x v="23"/>
    <x v="21"/>
    <s v="NA"/>
    <s v="TELEFONOS"/>
    <s v="TELMEX"/>
    <s v="itel00101015"/>
    <s v="ITEL00101015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" cacheId="4" applyNumberFormats="0" applyBorderFormats="0" applyFontFormats="0" applyPatternFormats="0" applyAlignmentFormats="0" applyWidthHeightFormats="0" dataCaption="" updatedVersion="6" compact="0" compactData="0">
  <location ref="A3:D29" firstHeaderRow="1" firstDataRow="2" firstDataCol="2"/>
  <pivotFields count="10">
    <pivotField name="NP" compact="0" outline="0" multipleItemSelectionAllowed="1" showAll="0"/>
    <pivotField name="TOTAL" dataField="1" compact="0" outline="0" multipleItemSelectionAllowed="1" showAll="0"/>
    <pivotField name="CLAVE" axis="axisRow" compact="0" outline="0" multipleItemSelectionAllowed="1" showAll="0" sortType="ascending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44"/>
        <item h="1" m="1" x="36"/>
        <item h="1" m="1" x="28"/>
        <item h="1" m="1" x="40"/>
        <item h="1" m="1" x="32"/>
        <item h="1" m="1" x="24"/>
        <item h="1" m="1" x="37"/>
        <item h="1" m="1" x="29"/>
        <item h="1" m="1" x="41"/>
        <item h="1" m="1" x="33"/>
        <item h="1" m="1" x="25"/>
        <item h="1" m="1" x="38"/>
        <item h="1" m="1" x="30"/>
        <item h="1" m="1" x="42"/>
        <item h="1" m="1" x="34"/>
        <item h="1" m="1" x="26"/>
        <item h="1" m="1" x="39"/>
        <item h="1" m="1" x="31"/>
        <item h="1" m="1" x="43"/>
        <item h="1" m="1" x="35"/>
        <item h="1" m="1" x="27"/>
      </items>
    </pivotField>
    <pivotField name="DISTRITO" axis="axisRow" compact="0" outline="0" multipleItemSelectionAllowed="1" showAll="0" sortType="ascending">
      <items count="39">
        <item m="1" x="22"/>
        <item x="11"/>
        <item m="1" x="29"/>
        <item x="21"/>
        <item m="1" x="23"/>
        <item x="0"/>
        <item x="2"/>
        <item x="4"/>
        <item x="14"/>
        <item m="1" x="24"/>
        <item m="1" x="33"/>
        <item x="5"/>
        <item x="15"/>
        <item m="1" x="28"/>
        <item x="13"/>
        <item x="12"/>
        <item x="3"/>
        <item m="1" x="31"/>
        <item m="1" x="30"/>
        <item m="1" x="34"/>
        <item m="1" x="35"/>
        <item m="1" x="37"/>
        <item x="19"/>
        <item m="1" x="32"/>
        <item x="17"/>
        <item m="1" x="36"/>
        <item x="7"/>
        <item x="6"/>
        <item x="10"/>
        <item m="1" x="26"/>
        <item x="20"/>
        <item x="16"/>
        <item x="1"/>
        <item m="1" x="25"/>
        <item x="9"/>
        <item x="8"/>
        <item m="1" x="27"/>
        <item x="18"/>
        <item t="default"/>
      </items>
    </pivotField>
    <pivotField name="LOCALIDAD" compact="0" outline="0" multipleItemSelectionAllowed="1" showAll="0"/>
    <pivotField name="ARTICULO" dataField="1" compact="0" outline="0" multipleItemSelectionAllowed="1" showAll="0"/>
    <pivotField name="MARCA " compact="0" outline="0" multipleItemSelectionAllowed="1" showAll="0"/>
    <pivotField name="INVENTARIO 1" compact="0" outline="0" multipleItemSelectionAllowed="1" showAll="0"/>
    <pivotField name="INVENTARIO M" compact="0" outline="0" multipleItemSelectionAllowed="1" showAll="0"/>
    <pivotField name="VALIDADOR" compact="0" outline="0" multipleItemSelectionAllowed="1" showAll="0"/>
  </pivotFields>
  <rowFields count="2">
    <field x="2"/>
    <field x="3"/>
  </rowFields>
  <rowItems count="25">
    <i>
      <x/>
      <x v="5"/>
    </i>
    <i>
      <x v="1"/>
      <x v="32"/>
    </i>
    <i>
      <x v="2"/>
      <x v="6"/>
    </i>
    <i>
      <x v="3"/>
      <x v="16"/>
    </i>
    <i>
      <x v="4"/>
      <x v="7"/>
    </i>
    <i>
      <x v="5"/>
      <x v="11"/>
    </i>
    <i>
      <x v="6"/>
      <x v="27"/>
    </i>
    <i>
      <x v="7"/>
      <x v="11"/>
    </i>
    <i>
      <x v="8"/>
      <x v="26"/>
    </i>
    <i>
      <x v="9"/>
      <x v="35"/>
    </i>
    <i>
      <x v="10"/>
      <x v="34"/>
    </i>
    <i>
      <x v="11"/>
      <x v="28"/>
    </i>
    <i>
      <x v="12"/>
      <x v="1"/>
    </i>
    <i>
      <x v="13"/>
      <x v="15"/>
    </i>
    <i>
      <x v="14"/>
      <x v="14"/>
    </i>
    <i>
      <x v="15"/>
      <x v="8"/>
    </i>
    <i>
      <x v="16"/>
      <x v="12"/>
    </i>
    <i>
      <x v="17"/>
      <x v="31"/>
    </i>
    <i>
      <x v="18"/>
      <x v="24"/>
    </i>
    <i>
      <x v="19"/>
      <x v="37"/>
    </i>
    <i>
      <x v="20"/>
      <x v="11"/>
    </i>
    <i>
      <x v="21"/>
      <x v="22"/>
    </i>
    <i>
      <x v="22"/>
      <x v="30"/>
    </i>
    <i>
      <x v="23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ARTICULO" fld="5" subtotal="count" baseField="0"/>
    <dataField name="Cuenta de TOTAL" fld="1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5"/>
  <sheetViews>
    <sheetView topLeftCell="A306" workbookViewId="0">
      <selection activeCell="D326" sqref="D326"/>
    </sheetView>
  </sheetViews>
  <sheetFormatPr baseColWidth="10" defaultColWidth="14.42578125" defaultRowHeight="15" customHeight="1" x14ac:dyDescent="0.25"/>
  <cols>
    <col min="1" max="1" width="10.7109375" customWidth="1"/>
    <col min="2" max="2" width="3.85546875" customWidth="1"/>
    <col min="3" max="3" width="7.28515625" customWidth="1"/>
    <col min="4" max="4" width="7" customWidth="1"/>
    <col min="5" max="5" width="46.28515625" customWidth="1"/>
    <col min="6" max="6" width="12" customWidth="1"/>
    <col min="7" max="7" width="24.7109375" customWidth="1"/>
    <col min="8" max="8" width="8.85546875" customWidth="1"/>
    <col min="9" max="9" width="14.85546875" customWidth="1"/>
    <col min="10" max="10" width="15.7109375" customWidth="1"/>
    <col min="11" max="11" width="12.42578125" customWidth="1"/>
    <col min="12" max="12" width="103.140625" customWidth="1"/>
    <col min="13" max="14" width="10.7109375" customWidth="1"/>
    <col min="15" max="15" width="14.85546875" customWidth="1"/>
    <col min="16" max="16" width="12.28515625" customWidth="1"/>
    <col min="17" max="27" width="10.7109375" customWidth="1"/>
  </cols>
  <sheetData>
    <row r="1" spans="1:16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2</v>
      </c>
    </row>
    <row r="2" spans="1:16" ht="15.7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3</v>
      </c>
    </row>
    <row r="3" spans="1:16" ht="15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7</v>
      </c>
    </row>
    <row r="4" spans="1:16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5" t="s">
        <v>11</v>
      </c>
    </row>
    <row r="5" spans="1:16" ht="15.75" x14ac:dyDescent="0.25">
      <c r="A5" s="6" t="s">
        <v>17</v>
      </c>
      <c r="B5" s="7" t="s">
        <v>20</v>
      </c>
      <c r="C5" s="7" t="s">
        <v>19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28</v>
      </c>
      <c r="K5" s="7" t="s">
        <v>29</v>
      </c>
      <c r="L5" s="7" t="s">
        <v>30</v>
      </c>
      <c r="M5" s="6" t="s">
        <v>31</v>
      </c>
      <c r="N5" s="7" t="s">
        <v>32</v>
      </c>
      <c r="O5" s="6" t="s">
        <v>33</v>
      </c>
      <c r="P5" s="6" t="s">
        <v>34</v>
      </c>
    </row>
    <row r="6" spans="1:16" ht="15" customHeight="1" x14ac:dyDescent="0.25">
      <c r="A6" s="1" t="str">
        <f t="shared" ref="A6:A326" si="0">D6&amp;N6</f>
        <v>600125</v>
      </c>
      <c r="B6" s="1">
        <v>1</v>
      </c>
      <c r="C6" s="1">
        <v>13</v>
      </c>
      <c r="D6" s="1">
        <v>6001</v>
      </c>
      <c r="E6" s="1" t="s">
        <v>27</v>
      </c>
      <c r="F6" s="1" t="s">
        <v>36</v>
      </c>
      <c r="G6" s="1" t="s">
        <v>37</v>
      </c>
      <c r="H6" s="1" t="s">
        <v>39</v>
      </c>
      <c r="I6" s="1" t="s">
        <v>40</v>
      </c>
      <c r="J6" s="1" t="s">
        <v>40</v>
      </c>
      <c r="K6" s="1">
        <v>12</v>
      </c>
      <c r="L6" s="1" t="s">
        <v>41</v>
      </c>
      <c r="M6" s="1" t="str">
        <f>VLOOKUP(D6,HORARIOS!B:H,7,0)</f>
        <v>Dia 5</v>
      </c>
      <c r="N6" s="1">
        <f>VLOOKUP(D6,HORARIOS!B:I,8,0)</f>
        <v>25</v>
      </c>
      <c r="O6" s="9" t="str">
        <f>VLOOKUP(A6,HORARIOS!A:D,4,0)</f>
        <v>08:00 hrs</v>
      </c>
      <c r="P6" s="9" t="str">
        <f>VLOOKUP(A6,HORARIOS!A:E,5,0)</f>
        <v>12:00 hrs</v>
      </c>
    </row>
    <row r="7" spans="1:16" ht="15" customHeight="1" x14ac:dyDescent="0.25">
      <c r="A7" s="1" t="str">
        <f t="shared" si="0"/>
        <v>600125</v>
      </c>
      <c r="B7" s="1">
        <v>2</v>
      </c>
      <c r="C7" s="1">
        <v>13</v>
      </c>
      <c r="D7" s="1">
        <v>6001</v>
      </c>
      <c r="E7" s="1" t="s">
        <v>27</v>
      </c>
      <c r="F7" s="1" t="s">
        <v>36</v>
      </c>
      <c r="G7" s="1" t="s">
        <v>51</v>
      </c>
      <c r="H7" s="1" t="s">
        <v>52</v>
      </c>
      <c r="I7" s="1" t="s">
        <v>53</v>
      </c>
      <c r="J7" s="1" t="s">
        <v>54</v>
      </c>
      <c r="K7" s="1">
        <v>12</v>
      </c>
      <c r="M7" s="1" t="str">
        <f>VLOOKUP(D7,HORARIOS!B:H,7,0)</f>
        <v>Dia 5</v>
      </c>
      <c r="N7" s="1">
        <f>VLOOKUP(D7,HORARIOS!B:I,8,0)</f>
        <v>25</v>
      </c>
      <c r="O7" s="9" t="str">
        <f>VLOOKUP(A7,HORARIOS!A:D,4,0)</f>
        <v>08:00 hrs</v>
      </c>
      <c r="P7" s="9" t="str">
        <f>VLOOKUP(A7,HORARIOS!A:E,5,0)</f>
        <v>12:00 hrs</v>
      </c>
    </row>
    <row r="8" spans="1:16" ht="15" customHeight="1" x14ac:dyDescent="0.25">
      <c r="A8" s="1" t="str">
        <f t="shared" si="0"/>
        <v>600125</v>
      </c>
      <c r="B8" s="1">
        <v>3</v>
      </c>
      <c r="C8" s="1">
        <v>13</v>
      </c>
      <c r="D8" s="1">
        <v>6001</v>
      </c>
      <c r="E8" s="1" t="s">
        <v>27</v>
      </c>
      <c r="F8" s="1" t="s">
        <v>36</v>
      </c>
      <c r="G8" s="1" t="s">
        <v>61</v>
      </c>
      <c r="H8" s="1" t="s">
        <v>62</v>
      </c>
      <c r="I8" s="1" t="s">
        <v>63</v>
      </c>
      <c r="J8" s="1" t="s">
        <v>63</v>
      </c>
      <c r="K8" s="1">
        <v>12</v>
      </c>
      <c r="L8" s="1" t="s">
        <v>64</v>
      </c>
      <c r="M8" s="1" t="str">
        <f>VLOOKUP(D8,HORARIOS!B:H,7,0)</f>
        <v>Dia 5</v>
      </c>
      <c r="N8" s="1">
        <f>VLOOKUP(D8,HORARIOS!B:I,8,0)</f>
        <v>25</v>
      </c>
      <c r="O8" s="9" t="str">
        <f>VLOOKUP(A8,HORARIOS!A:D,4,0)</f>
        <v>08:00 hrs</v>
      </c>
      <c r="P8" s="9" t="str">
        <f>VLOOKUP(A8,HORARIOS!A:E,5,0)</f>
        <v>12:00 hrs</v>
      </c>
    </row>
    <row r="9" spans="1:16" ht="15" customHeight="1" x14ac:dyDescent="0.25">
      <c r="A9" s="1" t="str">
        <f t="shared" si="0"/>
        <v>600125</v>
      </c>
      <c r="B9" s="1">
        <v>4</v>
      </c>
      <c r="C9" s="1">
        <v>13</v>
      </c>
      <c r="D9" s="1">
        <v>6001</v>
      </c>
      <c r="E9" s="1" t="s">
        <v>27</v>
      </c>
      <c r="F9" s="1" t="s">
        <v>36</v>
      </c>
      <c r="G9" s="1" t="s">
        <v>72</v>
      </c>
      <c r="H9" s="1" t="s">
        <v>73</v>
      </c>
      <c r="I9" s="1" t="s">
        <v>74</v>
      </c>
      <c r="J9" s="1" t="s">
        <v>74</v>
      </c>
      <c r="K9" s="1">
        <v>12</v>
      </c>
      <c r="M9" s="1" t="str">
        <f>VLOOKUP(D9,HORARIOS!B:H,7,0)</f>
        <v>Dia 5</v>
      </c>
      <c r="N9" s="1">
        <f>VLOOKUP(D9,HORARIOS!B:I,8,0)</f>
        <v>25</v>
      </c>
      <c r="O9" s="9" t="str">
        <f>VLOOKUP(A9,HORARIOS!A:D,4,0)</f>
        <v>08:00 hrs</v>
      </c>
      <c r="P9" s="9" t="str">
        <f>VLOOKUP(A9,HORARIOS!A:E,5,0)</f>
        <v>12:00 hrs</v>
      </c>
    </row>
    <row r="10" spans="1:16" ht="15" customHeight="1" x14ac:dyDescent="0.25">
      <c r="A10" s="1" t="str">
        <f t="shared" si="0"/>
        <v>600125</v>
      </c>
      <c r="B10" s="1">
        <v>5</v>
      </c>
      <c r="C10" s="1">
        <v>13</v>
      </c>
      <c r="D10" s="1">
        <v>6001</v>
      </c>
      <c r="E10" s="1" t="s">
        <v>27</v>
      </c>
      <c r="F10" s="1" t="s">
        <v>36</v>
      </c>
      <c r="G10" s="1" t="s">
        <v>88</v>
      </c>
      <c r="H10" s="1" t="s">
        <v>90</v>
      </c>
      <c r="I10" s="1" t="s">
        <v>92</v>
      </c>
      <c r="J10" s="1" t="s">
        <v>93</v>
      </c>
      <c r="K10" s="1">
        <v>12</v>
      </c>
      <c r="M10" s="1" t="str">
        <f>VLOOKUP(D10,HORARIOS!B:H,7,0)</f>
        <v>Dia 5</v>
      </c>
      <c r="N10" s="1">
        <f>VLOOKUP(D10,HORARIOS!B:I,8,0)</f>
        <v>25</v>
      </c>
      <c r="O10" s="9" t="str">
        <f>VLOOKUP(A10,HORARIOS!A:D,4,0)</f>
        <v>08:00 hrs</v>
      </c>
      <c r="P10" s="9" t="str">
        <f>VLOOKUP(A10,HORARIOS!A:E,5,0)</f>
        <v>12:00 hrs</v>
      </c>
    </row>
    <row r="11" spans="1:16" ht="15" customHeight="1" x14ac:dyDescent="0.25">
      <c r="A11" s="1" t="str">
        <f t="shared" si="0"/>
        <v>600125</v>
      </c>
      <c r="B11" s="1">
        <v>6</v>
      </c>
      <c r="C11" s="1">
        <v>13</v>
      </c>
      <c r="D11" s="1">
        <v>6001</v>
      </c>
      <c r="E11" s="1" t="s">
        <v>27</v>
      </c>
      <c r="F11" s="1" t="s">
        <v>36</v>
      </c>
      <c r="G11" s="1" t="s">
        <v>96</v>
      </c>
      <c r="H11" s="1" t="s">
        <v>62</v>
      </c>
      <c r="I11" s="1" t="s">
        <v>97</v>
      </c>
      <c r="J11" s="1" t="s">
        <v>97</v>
      </c>
      <c r="K11" s="1">
        <v>12</v>
      </c>
      <c r="M11" s="1" t="str">
        <f>VLOOKUP(D11,HORARIOS!B:H,7,0)</f>
        <v>Dia 5</v>
      </c>
      <c r="N11" s="1">
        <f>VLOOKUP(D11,HORARIOS!B:I,8,0)</f>
        <v>25</v>
      </c>
      <c r="O11" s="9" t="str">
        <f>VLOOKUP(A11,HORARIOS!A:D,4,0)</f>
        <v>08:00 hrs</v>
      </c>
      <c r="P11" s="9" t="str">
        <f>VLOOKUP(A11,HORARIOS!A:E,5,0)</f>
        <v>12:00 hrs</v>
      </c>
    </row>
    <row r="12" spans="1:16" ht="15" customHeight="1" x14ac:dyDescent="0.25">
      <c r="A12" s="1" t="str">
        <f t="shared" si="0"/>
        <v>600125</v>
      </c>
      <c r="B12" s="1">
        <v>7</v>
      </c>
      <c r="C12" s="1">
        <v>13</v>
      </c>
      <c r="D12" s="1">
        <v>6001</v>
      </c>
      <c r="E12" s="1" t="s">
        <v>27</v>
      </c>
      <c r="F12" s="1" t="s">
        <v>36</v>
      </c>
      <c r="G12" s="1" t="s">
        <v>98</v>
      </c>
      <c r="H12" s="1" t="s">
        <v>99</v>
      </c>
      <c r="I12" s="1" t="s">
        <v>100</v>
      </c>
      <c r="J12" s="1" t="s">
        <v>100</v>
      </c>
      <c r="K12" s="1">
        <v>12</v>
      </c>
      <c r="L12" s="1" t="s">
        <v>101</v>
      </c>
      <c r="M12" s="1" t="str">
        <f>VLOOKUP(D12,HORARIOS!B:H,7,0)</f>
        <v>Dia 5</v>
      </c>
      <c r="N12" s="1">
        <f>VLOOKUP(D12,HORARIOS!B:I,8,0)</f>
        <v>25</v>
      </c>
      <c r="O12" s="9" t="str">
        <f>VLOOKUP(A12,HORARIOS!A:D,4,0)</f>
        <v>08:00 hrs</v>
      </c>
      <c r="P12" s="9" t="str">
        <f>VLOOKUP(A12,HORARIOS!A:E,5,0)</f>
        <v>12:00 hrs</v>
      </c>
    </row>
    <row r="13" spans="1:16" ht="15" customHeight="1" x14ac:dyDescent="0.25">
      <c r="A13" s="1" t="str">
        <f t="shared" si="0"/>
        <v>600125</v>
      </c>
      <c r="B13" s="1">
        <v>8</v>
      </c>
      <c r="C13" s="1">
        <v>13</v>
      </c>
      <c r="D13" s="1">
        <v>6001</v>
      </c>
      <c r="E13" s="1" t="s">
        <v>27</v>
      </c>
      <c r="F13" s="1" t="s">
        <v>36</v>
      </c>
      <c r="G13" s="1" t="s">
        <v>98</v>
      </c>
      <c r="H13" s="1" t="s">
        <v>99</v>
      </c>
      <c r="I13" s="1" t="s">
        <v>102</v>
      </c>
      <c r="J13" s="1" t="s">
        <v>102</v>
      </c>
      <c r="K13" s="1">
        <v>12</v>
      </c>
      <c r="L13" s="1" t="s">
        <v>101</v>
      </c>
      <c r="M13" s="1" t="str">
        <f>VLOOKUP(D13,HORARIOS!B:H,7,0)</f>
        <v>Dia 5</v>
      </c>
      <c r="N13" s="1">
        <f>VLOOKUP(D13,HORARIOS!B:I,8,0)</f>
        <v>25</v>
      </c>
      <c r="O13" s="9" t="str">
        <f>VLOOKUP(A13,HORARIOS!A:D,4,0)</f>
        <v>08:00 hrs</v>
      </c>
      <c r="P13" s="9" t="str">
        <f>VLOOKUP(A13,HORARIOS!A:E,5,0)</f>
        <v>12:00 hrs</v>
      </c>
    </row>
    <row r="14" spans="1:16" ht="15" customHeight="1" x14ac:dyDescent="0.25">
      <c r="A14" s="1" t="str">
        <f t="shared" si="0"/>
        <v>600125</v>
      </c>
      <c r="B14" s="1">
        <v>9</v>
      </c>
      <c r="C14" s="1">
        <v>13</v>
      </c>
      <c r="D14" s="1">
        <v>6001</v>
      </c>
      <c r="E14" s="1" t="s">
        <v>27</v>
      </c>
      <c r="F14" s="1" t="s">
        <v>36</v>
      </c>
      <c r="G14" s="1" t="s">
        <v>98</v>
      </c>
      <c r="H14" s="1" t="s">
        <v>99</v>
      </c>
      <c r="I14" s="1" t="s">
        <v>103</v>
      </c>
      <c r="J14" s="1" t="s">
        <v>103</v>
      </c>
      <c r="K14" s="1">
        <v>12</v>
      </c>
      <c r="L14" s="1" t="s">
        <v>101</v>
      </c>
      <c r="M14" s="1" t="str">
        <f>VLOOKUP(D14,HORARIOS!B:H,7,0)</f>
        <v>Dia 5</v>
      </c>
      <c r="N14" s="1">
        <f>VLOOKUP(D14,HORARIOS!B:I,8,0)</f>
        <v>25</v>
      </c>
      <c r="O14" s="9" t="str">
        <f>VLOOKUP(A14,HORARIOS!A:D,4,0)</f>
        <v>08:00 hrs</v>
      </c>
      <c r="P14" s="9" t="str">
        <f>VLOOKUP(A14,HORARIOS!A:E,5,0)</f>
        <v>12:00 hrs</v>
      </c>
    </row>
    <row r="15" spans="1:16" ht="15" customHeight="1" x14ac:dyDescent="0.25">
      <c r="A15" s="1" t="str">
        <f t="shared" si="0"/>
        <v>600125</v>
      </c>
      <c r="B15" s="1">
        <v>10</v>
      </c>
      <c r="C15" s="1">
        <v>13</v>
      </c>
      <c r="D15" s="1">
        <v>6001</v>
      </c>
      <c r="E15" s="1" t="s">
        <v>27</v>
      </c>
      <c r="F15" s="1" t="s">
        <v>36</v>
      </c>
      <c r="G15" s="1" t="s">
        <v>114</v>
      </c>
      <c r="H15" s="1" t="s">
        <v>39</v>
      </c>
      <c r="I15" s="1" t="s">
        <v>52</v>
      </c>
      <c r="J15" s="1" t="s">
        <v>52</v>
      </c>
      <c r="K15" s="1">
        <v>2</v>
      </c>
      <c r="L15" s="1" t="s">
        <v>115</v>
      </c>
      <c r="M15" s="1" t="str">
        <f>VLOOKUP(D15,HORARIOS!B:H,7,0)</f>
        <v>Dia 5</v>
      </c>
      <c r="N15" s="1">
        <f>VLOOKUP(D15,HORARIOS!B:I,8,0)</f>
        <v>25</v>
      </c>
      <c r="O15" s="9" t="str">
        <f>VLOOKUP(A15,HORARIOS!A:D,4,0)</f>
        <v>08:00 hrs</v>
      </c>
      <c r="P15" s="9" t="str">
        <f>VLOOKUP(A15,HORARIOS!A:E,5,0)</f>
        <v>12:00 hrs</v>
      </c>
    </row>
    <row r="16" spans="1:16" ht="15" customHeight="1" x14ac:dyDescent="0.25">
      <c r="A16" s="1" t="str">
        <f t="shared" si="0"/>
        <v>600125</v>
      </c>
      <c r="B16" s="1">
        <v>14</v>
      </c>
      <c r="C16" s="1">
        <v>13</v>
      </c>
      <c r="D16" s="1">
        <v>6001</v>
      </c>
      <c r="E16" s="1" t="s">
        <v>27</v>
      </c>
      <c r="F16" s="1" t="s">
        <v>36</v>
      </c>
      <c r="G16" s="1" t="s">
        <v>134</v>
      </c>
      <c r="H16" s="1" t="s">
        <v>135</v>
      </c>
      <c r="I16" s="1" t="s">
        <v>136</v>
      </c>
      <c r="J16" s="1" t="s">
        <v>137</v>
      </c>
      <c r="K16" s="1">
        <v>12</v>
      </c>
      <c r="L16" s="1" t="s">
        <v>138</v>
      </c>
      <c r="M16" s="1" t="str">
        <f>VLOOKUP(D16,HORARIOS!B:H,7,0)</f>
        <v>Dia 5</v>
      </c>
      <c r="N16" s="1">
        <f>VLOOKUP(D16,HORARIOS!B:I,8,0)</f>
        <v>25</v>
      </c>
      <c r="O16" s="9" t="str">
        <f>VLOOKUP(A16,HORARIOS!A:D,4,0)</f>
        <v>08:00 hrs</v>
      </c>
      <c r="P16" s="9" t="str">
        <f>VLOOKUP(A16,HORARIOS!A:E,5,0)</f>
        <v>12:00 hrs</v>
      </c>
    </row>
    <row r="17" spans="1:16" ht="15" customHeight="1" x14ac:dyDescent="0.25">
      <c r="A17" s="1" t="str">
        <f t="shared" si="0"/>
        <v>600125</v>
      </c>
      <c r="B17" s="1">
        <v>15</v>
      </c>
      <c r="C17" s="1">
        <v>13</v>
      </c>
      <c r="D17" s="1">
        <v>6001</v>
      </c>
      <c r="E17" s="1" t="s">
        <v>27</v>
      </c>
      <c r="F17" s="1" t="s">
        <v>36</v>
      </c>
      <c r="G17" s="1" t="s">
        <v>145</v>
      </c>
      <c r="H17" s="1" t="s">
        <v>52</v>
      </c>
      <c r="I17" s="1" t="s">
        <v>146</v>
      </c>
      <c r="J17" s="1" t="s">
        <v>147</v>
      </c>
      <c r="K17" s="1">
        <v>12</v>
      </c>
      <c r="M17" s="1" t="str">
        <f>VLOOKUP(D17,HORARIOS!B:H,7,0)</f>
        <v>Dia 5</v>
      </c>
      <c r="N17" s="1">
        <f>VLOOKUP(D17,HORARIOS!B:I,8,0)</f>
        <v>25</v>
      </c>
      <c r="O17" s="9" t="str">
        <f>VLOOKUP(A17,HORARIOS!A:D,4,0)</f>
        <v>08:00 hrs</v>
      </c>
      <c r="P17" s="9" t="str">
        <f>VLOOKUP(A17,HORARIOS!A:E,5,0)</f>
        <v>12:00 hrs</v>
      </c>
    </row>
    <row r="18" spans="1:16" ht="15" customHeight="1" x14ac:dyDescent="0.25">
      <c r="A18" s="1" t="str">
        <f t="shared" si="0"/>
        <v>600125</v>
      </c>
      <c r="B18" s="1">
        <v>16</v>
      </c>
      <c r="C18" s="1">
        <v>13</v>
      </c>
      <c r="D18" s="1">
        <v>6001</v>
      </c>
      <c r="E18" s="1" t="s">
        <v>27</v>
      </c>
      <c r="F18" s="1" t="s">
        <v>36</v>
      </c>
      <c r="G18" s="1" t="s">
        <v>159</v>
      </c>
      <c r="H18" s="1" t="s">
        <v>160</v>
      </c>
      <c r="I18" s="1" t="s">
        <v>162</v>
      </c>
      <c r="J18" s="1" t="s">
        <v>163</v>
      </c>
      <c r="K18" s="1">
        <v>12</v>
      </c>
      <c r="M18" s="1" t="str">
        <f>VLOOKUP(D18,HORARIOS!B:H,7,0)</f>
        <v>Dia 5</v>
      </c>
      <c r="N18" s="1">
        <f>VLOOKUP(D18,HORARIOS!B:I,8,0)</f>
        <v>25</v>
      </c>
      <c r="O18" s="9" t="str">
        <f>VLOOKUP(A18,HORARIOS!A:D,4,0)</f>
        <v>08:00 hrs</v>
      </c>
      <c r="P18" s="9" t="str">
        <f>VLOOKUP(A18,HORARIOS!A:E,5,0)</f>
        <v>12:00 hrs</v>
      </c>
    </row>
    <row r="19" spans="1:16" ht="15" customHeight="1" x14ac:dyDescent="0.25">
      <c r="A19" s="1" t="str">
        <f t="shared" si="0"/>
        <v>600212</v>
      </c>
      <c r="B19" s="1">
        <v>17</v>
      </c>
      <c r="C19" s="1">
        <v>12</v>
      </c>
      <c r="D19" s="1">
        <v>6002</v>
      </c>
      <c r="E19" s="1" t="s">
        <v>76</v>
      </c>
      <c r="F19" s="1" t="s">
        <v>36</v>
      </c>
      <c r="G19" s="1" t="s">
        <v>37</v>
      </c>
      <c r="H19" s="1" t="s">
        <v>39</v>
      </c>
      <c r="K19" s="1">
        <v>0</v>
      </c>
      <c r="L19" s="1" t="s">
        <v>171</v>
      </c>
      <c r="M19" s="1" t="str">
        <f>VLOOKUP(D19,HORARIOS!B:H,7,0)</f>
        <v>Día 2</v>
      </c>
      <c r="N19" s="1">
        <f>VLOOKUP(D19,HORARIOS!B:I,8,0)</f>
        <v>12</v>
      </c>
      <c r="O19" s="1" t="str">
        <f>VLOOKUP(A19,HORARIOS!A:D,4,0)</f>
        <v>14:30 hrs</v>
      </c>
      <c r="P19" s="12" t="str">
        <f>VLOOKUP(A19,HORARIOS!A:E,5,0)</f>
        <v>16:30 hrs</v>
      </c>
    </row>
    <row r="20" spans="1:16" x14ac:dyDescent="0.25">
      <c r="A20" s="1" t="str">
        <f t="shared" si="0"/>
        <v>600212</v>
      </c>
      <c r="B20" s="1">
        <v>18</v>
      </c>
      <c r="C20" s="1">
        <v>12</v>
      </c>
      <c r="D20" s="1">
        <v>6002</v>
      </c>
      <c r="E20" s="1" t="s">
        <v>76</v>
      </c>
      <c r="F20" s="1" t="s">
        <v>36</v>
      </c>
      <c r="G20" s="1" t="s">
        <v>51</v>
      </c>
      <c r="H20" s="1" t="s">
        <v>52</v>
      </c>
      <c r="I20" s="1" t="s">
        <v>179</v>
      </c>
      <c r="J20" s="1" t="s">
        <v>179</v>
      </c>
      <c r="K20" s="1">
        <v>12</v>
      </c>
      <c r="M20" s="1" t="str">
        <f>VLOOKUP(D20,HORARIOS!B:H,7,0)</f>
        <v>Día 2</v>
      </c>
      <c r="N20" s="1">
        <f>VLOOKUP(D20,HORARIOS!B:I,8,0)</f>
        <v>12</v>
      </c>
      <c r="O20" s="1" t="str">
        <f>VLOOKUP(A20,HORARIOS!A:D,4,0)</f>
        <v>14:30 hrs</v>
      </c>
      <c r="P20" s="12" t="str">
        <f>VLOOKUP(A20,HORARIOS!A:E,5,0)</f>
        <v>16:30 hrs</v>
      </c>
    </row>
    <row r="21" spans="1:16" ht="15.75" customHeight="1" x14ac:dyDescent="0.25">
      <c r="A21" s="1" t="str">
        <f t="shared" si="0"/>
        <v>600212</v>
      </c>
      <c r="B21" s="1">
        <v>19</v>
      </c>
      <c r="C21" s="1">
        <v>12</v>
      </c>
      <c r="D21" s="1">
        <v>6002</v>
      </c>
      <c r="E21" s="1" t="s">
        <v>76</v>
      </c>
      <c r="F21" s="1" t="s">
        <v>36</v>
      </c>
      <c r="G21" s="1" t="s">
        <v>61</v>
      </c>
      <c r="H21" s="1" t="s">
        <v>62</v>
      </c>
      <c r="I21" s="1" t="s">
        <v>182</v>
      </c>
      <c r="J21" s="1" t="s">
        <v>183</v>
      </c>
      <c r="K21" s="1">
        <v>12</v>
      </c>
      <c r="M21" s="1" t="str">
        <f>VLOOKUP(D21,HORARIOS!B:H,7,0)</f>
        <v>Día 2</v>
      </c>
      <c r="N21" s="1">
        <f>VLOOKUP(D21,HORARIOS!B:I,8,0)</f>
        <v>12</v>
      </c>
      <c r="O21" s="1" t="str">
        <f>VLOOKUP(A21,HORARIOS!A:D,4,0)</f>
        <v>14:30 hrs</v>
      </c>
      <c r="P21" s="12" t="str">
        <f>VLOOKUP(A21,HORARIOS!A:E,5,0)</f>
        <v>16:30 hrs</v>
      </c>
    </row>
    <row r="22" spans="1:16" ht="15.75" customHeight="1" x14ac:dyDescent="0.25">
      <c r="A22" s="1" t="str">
        <f t="shared" si="0"/>
        <v>600212</v>
      </c>
      <c r="B22" s="1">
        <v>20</v>
      </c>
      <c r="C22" s="1">
        <v>12</v>
      </c>
      <c r="D22" s="1">
        <v>6002</v>
      </c>
      <c r="E22" s="1" t="s">
        <v>76</v>
      </c>
      <c r="F22" s="1" t="s">
        <v>36</v>
      </c>
      <c r="G22" s="1" t="s">
        <v>72</v>
      </c>
      <c r="H22" s="1" t="s">
        <v>73</v>
      </c>
      <c r="I22" s="1" t="s">
        <v>184</v>
      </c>
      <c r="J22" s="1" t="s">
        <v>185</v>
      </c>
      <c r="K22" s="1">
        <v>12</v>
      </c>
      <c r="M22" s="1" t="str">
        <f>VLOOKUP(D22,HORARIOS!B:H,7,0)</f>
        <v>Día 2</v>
      </c>
      <c r="N22" s="1">
        <f>VLOOKUP(D22,HORARIOS!B:I,8,0)</f>
        <v>12</v>
      </c>
      <c r="O22" s="1" t="str">
        <f>VLOOKUP(A22,HORARIOS!A:D,4,0)</f>
        <v>14:30 hrs</v>
      </c>
      <c r="P22" s="12" t="str">
        <f>VLOOKUP(A22,HORARIOS!A:E,5,0)</f>
        <v>16:30 hrs</v>
      </c>
    </row>
    <row r="23" spans="1:16" ht="15.75" customHeight="1" x14ac:dyDescent="0.25">
      <c r="A23" s="1" t="str">
        <f t="shared" si="0"/>
        <v>600212</v>
      </c>
      <c r="B23" s="1">
        <v>21</v>
      </c>
      <c r="C23" s="1">
        <v>12</v>
      </c>
      <c r="D23" s="1">
        <v>6002</v>
      </c>
      <c r="E23" s="1" t="s">
        <v>76</v>
      </c>
      <c r="F23" s="1" t="s">
        <v>36</v>
      </c>
      <c r="G23" s="1" t="s">
        <v>88</v>
      </c>
      <c r="H23" s="1" t="s">
        <v>90</v>
      </c>
      <c r="I23" s="1" t="s">
        <v>186</v>
      </c>
      <c r="J23" s="1" t="s">
        <v>186</v>
      </c>
      <c r="K23" s="1">
        <v>12</v>
      </c>
      <c r="M23" s="1" t="str">
        <f>VLOOKUP(D23,HORARIOS!B:H,7,0)</f>
        <v>Día 2</v>
      </c>
      <c r="N23" s="1">
        <f>VLOOKUP(D23,HORARIOS!B:I,8,0)</f>
        <v>12</v>
      </c>
      <c r="O23" s="1" t="str">
        <f>VLOOKUP(A23,HORARIOS!A:D,4,0)</f>
        <v>14:30 hrs</v>
      </c>
      <c r="P23" s="12" t="str">
        <f>VLOOKUP(A23,HORARIOS!A:E,5,0)</f>
        <v>16:30 hrs</v>
      </c>
    </row>
    <row r="24" spans="1:16" ht="15.75" customHeight="1" x14ac:dyDescent="0.25">
      <c r="A24" s="1" t="str">
        <f t="shared" si="0"/>
        <v>600212</v>
      </c>
      <c r="B24" s="1">
        <v>22</v>
      </c>
      <c r="C24" s="1">
        <v>12</v>
      </c>
      <c r="D24" s="1">
        <v>6002</v>
      </c>
      <c r="E24" s="1" t="s">
        <v>76</v>
      </c>
      <c r="F24" s="1" t="s">
        <v>36</v>
      </c>
      <c r="G24" s="1" t="s">
        <v>96</v>
      </c>
      <c r="H24" s="1" t="s">
        <v>62</v>
      </c>
      <c r="I24" s="1" t="s">
        <v>187</v>
      </c>
      <c r="J24" s="1" t="s">
        <v>188</v>
      </c>
      <c r="K24" s="1">
        <v>12</v>
      </c>
      <c r="M24" s="1" t="str">
        <f>VLOOKUP(D24,HORARIOS!B:H,7,0)</f>
        <v>Día 2</v>
      </c>
      <c r="N24" s="1">
        <f>VLOOKUP(D24,HORARIOS!B:I,8,0)</f>
        <v>12</v>
      </c>
      <c r="O24" s="1" t="str">
        <f>VLOOKUP(A24,HORARIOS!A:D,4,0)</f>
        <v>14:30 hrs</v>
      </c>
      <c r="P24" s="12" t="str">
        <f>VLOOKUP(A24,HORARIOS!A:E,5,0)</f>
        <v>16:30 hrs</v>
      </c>
    </row>
    <row r="25" spans="1:16" ht="15.75" customHeight="1" x14ac:dyDescent="0.25">
      <c r="A25" s="1" t="str">
        <f t="shared" si="0"/>
        <v>600212</v>
      </c>
      <c r="B25" s="1">
        <v>23</v>
      </c>
      <c r="C25" s="1">
        <v>12</v>
      </c>
      <c r="D25" s="1">
        <v>6002</v>
      </c>
      <c r="E25" s="1" t="s">
        <v>76</v>
      </c>
      <c r="F25" s="1" t="s">
        <v>36</v>
      </c>
      <c r="G25" s="1" t="s">
        <v>98</v>
      </c>
      <c r="H25" s="1" t="s">
        <v>99</v>
      </c>
      <c r="I25" s="1" t="s">
        <v>189</v>
      </c>
      <c r="J25" s="1" t="s">
        <v>189</v>
      </c>
      <c r="K25" s="1">
        <v>12</v>
      </c>
      <c r="L25" s="1" t="s">
        <v>101</v>
      </c>
      <c r="M25" s="1" t="str">
        <f>VLOOKUP(D25,HORARIOS!B:H,7,0)</f>
        <v>Día 2</v>
      </c>
      <c r="N25" s="1">
        <f>VLOOKUP(D25,HORARIOS!B:I,8,0)</f>
        <v>12</v>
      </c>
      <c r="O25" s="1" t="str">
        <f>VLOOKUP(A25,HORARIOS!A:D,4,0)</f>
        <v>14:30 hrs</v>
      </c>
      <c r="P25" s="12" t="str">
        <f>VLOOKUP(A25,HORARIOS!A:E,5,0)</f>
        <v>16:30 hrs</v>
      </c>
    </row>
    <row r="26" spans="1:16" ht="15.75" customHeight="1" x14ac:dyDescent="0.25">
      <c r="A26" s="1" t="str">
        <f t="shared" si="0"/>
        <v>600212</v>
      </c>
      <c r="B26" s="1">
        <v>24</v>
      </c>
      <c r="C26" s="1">
        <v>12</v>
      </c>
      <c r="D26" s="1">
        <v>6002</v>
      </c>
      <c r="E26" s="1" t="s">
        <v>76</v>
      </c>
      <c r="F26" s="1" t="s">
        <v>36</v>
      </c>
      <c r="G26" s="1" t="s">
        <v>98</v>
      </c>
      <c r="H26" s="1" t="s">
        <v>99</v>
      </c>
      <c r="I26" s="1" t="s">
        <v>190</v>
      </c>
      <c r="J26" s="1" t="s">
        <v>190</v>
      </c>
      <c r="K26" s="1">
        <v>12</v>
      </c>
      <c r="L26" s="1" t="s">
        <v>101</v>
      </c>
      <c r="M26" s="1" t="str">
        <f>VLOOKUP(D26,HORARIOS!B:H,7,0)</f>
        <v>Día 2</v>
      </c>
      <c r="N26" s="1">
        <f>VLOOKUP(D26,HORARIOS!B:I,8,0)</f>
        <v>12</v>
      </c>
      <c r="O26" s="1" t="str">
        <f>VLOOKUP(A26,HORARIOS!A:D,4,0)</f>
        <v>14:30 hrs</v>
      </c>
      <c r="P26" s="12" t="str">
        <f>VLOOKUP(A26,HORARIOS!A:E,5,0)</f>
        <v>16:30 hrs</v>
      </c>
    </row>
    <row r="27" spans="1:16" ht="15.75" customHeight="1" x14ac:dyDescent="0.25">
      <c r="A27" s="1" t="str">
        <f t="shared" si="0"/>
        <v>600212</v>
      </c>
      <c r="B27" s="1">
        <v>25</v>
      </c>
      <c r="C27" s="1">
        <v>12</v>
      </c>
      <c r="D27" s="1">
        <v>6002</v>
      </c>
      <c r="E27" s="1" t="s">
        <v>76</v>
      </c>
      <c r="F27" s="1" t="s">
        <v>36</v>
      </c>
      <c r="G27" s="1" t="s">
        <v>114</v>
      </c>
      <c r="H27" s="1" t="s">
        <v>39</v>
      </c>
      <c r="I27" s="1" t="s">
        <v>52</v>
      </c>
      <c r="J27" s="1" t="s">
        <v>52</v>
      </c>
      <c r="K27" s="1">
        <v>2</v>
      </c>
      <c r="L27" s="1" t="s">
        <v>115</v>
      </c>
      <c r="M27" s="1" t="str">
        <f>VLOOKUP(D27,HORARIOS!B:H,7,0)</f>
        <v>Día 2</v>
      </c>
      <c r="N27" s="1">
        <f>VLOOKUP(D27,HORARIOS!B:I,8,0)</f>
        <v>12</v>
      </c>
      <c r="O27" s="1" t="str">
        <f>VLOOKUP(A27,HORARIOS!A:D,4,0)</f>
        <v>14:30 hrs</v>
      </c>
      <c r="P27" s="12" t="str">
        <f>VLOOKUP(A27,HORARIOS!A:E,5,0)</f>
        <v>16:30 hrs</v>
      </c>
    </row>
    <row r="28" spans="1:16" ht="15.75" customHeight="1" x14ac:dyDescent="0.25">
      <c r="A28" s="1" t="str">
        <f t="shared" si="0"/>
        <v>600212</v>
      </c>
      <c r="B28" s="1">
        <v>26</v>
      </c>
      <c r="C28" s="1">
        <v>12</v>
      </c>
      <c r="D28" s="1">
        <v>6002</v>
      </c>
      <c r="E28" s="1" t="s">
        <v>76</v>
      </c>
      <c r="F28" s="1" t="s">
        <v>36</v>
      </c>
      <c r="G28" s="1" t="s">
        <v>134</v>
      </c>
      <c r="H28" s="1" t="s">
        <v>135</v>
      </c>
      <c r="I28" s="1" t="s">
        <v>191</v>
      </c>
      <c r="J28" s="1" t="s">
        <v>192</v>
      </c>
      <c r="K28" s="1">
        <v>12</v>
      </c>
      <c r="L28" s="1" t="s">
        <v>138</v>
      </c>
      <c r="M28" s="1" t="str">
        <f>VLOOKUP(D28,HORARIOS!B:H,7,0)</f>
        <v>Día 2</v>
      </c>
      <c r="N28" s="1">
        <f>VLOOKUP(D28,HORARIOS!B:I,8,0)</f>
        <v>12</v>
      </c>
      <c r="O28" s="1" t="str">
        <f>VLOOKUP(A28,HORARIOS!A:D,4,0)</f>
        <v>14:30 hrs</v>
      </c>
      <c r="P28" s="12" t="str">
        <f>VLOOKUP(A28,HORARIOS!A:E,5,0)</f>
        <v>16:30 hrs</v>
      </c>
    </row>
    <row r="29" spans="1:16" ht="15.75" customHeight="1" x14ac:dyDescent="0.25">
      <c r="A29" s="1" t="str">
        <f t="shared" si="0"/>
        <v>600212</v>
      </c>
      <c r="B29" s="1">
        <v>27</v>
      </c>
      <c r="C29" s="1">
        <v>12</v>
      </c>
      <c r="D29" s="1">
        <v>6002</v>
      </c>
      <c r="E29" s="1" t="s">
        <v>76</v>
      </c>
      <c r="F29" s="1" t="s">
        <v>36</v>
      </c>
      <c r="G29" s="1" t="s">
        <v>145</v>
      </c>
      <c r="H29" s="1" t="s">
        <v>52</v>
      </c>
      <c r="I29" s="1" t="s">
        <v>193</v>
      </c>
      <c r="J29" s="1" t="s">
        <v>193</v>
      </c>
      <c r="K29" s="1">
        <v>12</v>
      </c>
      <c r="M29" s="1" t="str">
        <f>VLOOKUP(D29,HORARIOS!B:H,7,0)</f>
        <v>Día 2</v>
      </c>
      <c r="N29" s="1">
        <f>VLOOKUP(D29,HORARIOS!B:I,8,0)</f>
        <v>12</v>
      </c>
      <c r="O29" s="1" t="str">
        <f>VLOOKUP(A29,HORARIOS!A:D,4,0)</f>
        <v>14:30 hrs</v>
      </c>
      <c r="P29" s="12" t="str">
        <f>VLOOKUP(A29,HORARIOS!A:E,5,0)</f>
        <v>16:30 hrs</v>
      </c>
    </row>
    <row r="30" spans="1:16" ht="15.75" customHeight="1" x14ac:dyDescent="0.25">
      <c r="A30" s="1" t="str">
        <f t="shared" si="0"/>
        <v>600212</v>
      </c>
      <c r="B30" s="1">
        <v>28</v>
      </c>
      <c r="C30" s="1">
        <v>12</v>
      </c>
      <c r="D30" s="1">
        <v>6002</v>
      </c>
      <c r="E30" s="1" t="s">
        <v>76</v>
      </c>
      <c r="F30" s="1" t="s">
        <v>36</v>
      </c>
      <c r="G30" s="1" t="s">
        <v>159</v>
      </c>
      <c r="H30" s="1" t="s">
        <v>160</v>
      </c>
      <c r="I30" s="1" t="s">
        <v>194</v>
      </c>
      <c r="J30" s="1" t="s">
        <v>194</v>
      </c>
      <c r="K30" s="1">
        <v>12</v>
      </c>
      <c r="M30" s="1" t="str">
        <f>VLOOKUP(D30,HORARIOS!B:H,7,0)</f>
        <v>Día 2</v>
      </c>
      <c r="N30" s="1">
        <f>VLOOKUP(D30,HORARIOS!B:I,8,0)</f>
        <v>12</v>
      </c>
      <c r="O30" s="1" t="str">
        <f>VLOOKUP(A30,HORARIOS!A:D,4,0)</f>
        <v>14:30 hrs</v>
      </c>
      <c r="P30" s="12" t="str">
        <f>VLOOKUP(A30,HORARIOS!A:E,5,0)</f>
        <v>16:30 hrs</v>
      </c>
    </row>
    <row r="31" spans="1:16" ht="15.75" customHeight="1" x14ac:dyDescent="0.25">
      <c r="A31" s="1" t="str">
        <f t="shared" si="0"/>
        <v>60032</v>
      </c>
      <c r="B31" s="1">
        <v>29</v>
      </c>
      <c r="C31" s="1">
        <v>17</v>
      </c>
      <c r="D31" s="1">
        <v>6003</v>
      </c>
      <c r="E31" s="1" t="s">
        <v>38</v>
      </c>
      <c r="F31" s="1" t="s">
        <v>36</v>
      </c>
      <c r="G31" s="1" t="s">
        <v>37</v>
      </c>
      <c r="H31" s="1" t="s">
        <v>39</v>
      </c>
      <c r="I31" s="1" t="s">
        <v>195</v>
      </c>
      <c r="J31" s="1" t="s">
        <v>195</v>
      </c>
      <c r="K31" s="1">
        <v>12</v>
      </c>
      <c r="L31" s="1" t="s">
        <v>41</v>
      </c>
      <c r="M31" s="1" t="str">
        <f>VLOOKUP(D31,HORARIOS!B:H,7,0)</f>
        <v>Día 1</v>
      </c>
      <c r="N31" s="1">
        <f>VLOOKUP(D31,HORARIOS!B:I,8,0)</f>
        <v>2</v>
      </c>
      <c r="O31" s="1" t="str">
        <f>VLOOKUP(A31,HORARIOS!A:D,4,0)</f>
        <v>10:30 hrs</v>
      </c>
      <c r="P31" s="9" t="str">
        <f>VLOOKUP(A31,HORARIOS!A:E,5,0)</f>
        <v>14:00 hrs</v>
      </c>
    </row>
    <row r="32" spans="1:16" ht="15.75" customHeight="1" x14ac:dyDescent="0.25">
      <c r="A32" s="1" t="str">
        <f t="shared" si="0"/>
        <v>60032</v>
      </c>
      <c r="B32" s="1">
        <v>30</v>
      </c>
      <c r="C32" s="1">
        <v>17</v>
      </c>
      <c r="D32" s="1">
        <v>6003</v>
      </c>
      <c r="E32" s="1" t="s">
        <v>38</v>
      </c>
      <c r="F32" s="1" t="s">
        <v>36</v>
      </c>
      <c r="G32" s="1" t="s">
        <v>51</v>
      </c>
      <c r="H32" s="1" t="s">
        <v>52</v>
      </c>
      <c r="I32" s="1" t="s">
        <v>196</v>
      </c>
      <c r="J32" s="1" t="s">
        <v>196</v>
      </c>
      <c r="K32" s="1">
        <v>12</v>
      </c>
      <c r="M32" s="1" t="str">
        <f>VLOOKUP(D32,HORARIOS!B:H,7,0)</f>
        <v>Día 1</v>
      </c>
      <c r="N32" s="1">
        <f>VLOOKUP(D32,HORARIOS!B:I,8,0)</f>
        <v>2</v>
      </c>
      <c r="O32" s="1" t="str">
        <f>VLOOKUP(A32,HORARIOS!A:D,4,0)</f>
        <v>10:30 hrs</v>
      </c>
      <c r="P32" s="9" t="str">
        <f>VLOOKUP(A32,HORARIOS!A:E,5,0)</f>
        <v>14:00 hrs</v>
      </c>
    </row>
    <row r="33" spans="1:16" ht="15.75" customHeight="1" x14ac:dyDescent="0.25">
      <c r="A33" s="1" t="str">
        <f t="shared" si="0"/>
        <v>60032</v>
      </c>
      <c r="B33" s="1">
        <v>31</v>
      </c>
      <c r="C33" s="1">
        <v>17</v>
      </c>
      <c r="D33" s="1">
        <v>6003</v>
      </c>
      <c r="E33" s="1" t="s">
        <v>38</v>
      </c>
      <c r="F33" s="1" t="s">
        <v>36</v>
      </c>
      <c r="G33" s="1" t="s">
        <v>61</v>
      </c>
      <c r="H33" s="1" t="s">
        <v>62</v>
      </c>
      <c r="I33" s="1" t="s">
        <v>197</v>
      </c>
      <c r="J33" s="1" t="s">
        <v>197</v>
      </c>
      <c r="K33" s="1">
        <v>12</v>
      </c>
      <c r="L33" s="1" t="s">
        <v>64</v>
      </c>
      <c r="M33" s="1" t="str">
        <f>VLOOKUP(D33,HORARIOS!B:H,7,0)</f>
        <v>Día 1</v>
      </c>
      <c r="N33" s="1">
        <f>VLOOKUP(D33,HORARIOS!B:I,8,0)</f>
        <v>2</v>
      </c>
      <c r="O33" s="1" t="str">
        <f>VLOOKUP(A33,HORARIOS!A:D,4,0)</f>
        <v>10:30 hrs</v>
      </c>
      <c r="P33" s="9" t="str">
        <f>VLOOKUP(A33,HORARIOS!A:E,5,0)</f>
        <v>14:00 hrs</v>
      </c>
    </row>
    <row r="34" spans="1:16" ht="15.75" customHeight="1" x14ac:dyDescent="0.25">
      <c r="A34" s="1" t="str">
        <f t="shared" si="0"/>
        <v>60032</v>
      </c>
      <c r="B34" s="1">
        <v>32</v>
      </c>
      <c r="C34" s="1">
        <v>17</v>
      </c>
      <c r="D34" s="1">
        <v>6003</v>
      </c>
      <c r="E34" s="1" t="s">
        <v>38</v>
      </c>
      <c r="F34" s="1" t="s">
        <v>36</v>
      </c>
      <c r="G34" s="1" t="s">
        <v>72</v>
      </c>
      <c r="H34" s="1" t="s">
        <v>73</v>
      </c>
      <c r="I34" s="1" t="s">
        <v>198</v>
      </c>
      <c r="J34" s="1" t="s">
        <v>198</v>
      </c>
      <c r="K34" s="1">
        <v>12</v>
      </c>
      <c r="M34" s="1" t="str">
        <f>VLOOKUP(D34,HORARIOS!B:H,7,0)</f>
        <v>Día 1</v>
      </c>
      <c r="N34" s="1">
        <f>VLOOKUP(D34,HORARIOS!B:I,8,0)</f>
        <v>2</v>
      </c>
      <c r="O34" s="1" t="str">
        <f>VLOOKUP(A34,HORARIOS!A:D,4,0)</f>
        <v>10:30 hrs</v>
      </c>
      <c r="P34" s="9" t="str">
        <f>VLOOKUP(A34,HORARIOS!A:E,5,0)</f>
        <v>14:00 hrs</v>
      </c>
    </row>
    <row r="35" spans="1:16" ht="15.75" customHeight="1" x14ac:dyDescent="0.25">
      <c r="A35" s="1" t="str">
        <f t="shared" si="0"/>
        <v>60032</v>
      </c>
      <c r="B35" s="1">
        <v>33</v>
      </c>
      <c r="C35" s="1">
        <v>17</v>
      </c>
      <c r="D35" s="1">
        <v>6003</v>
      </c>
      <c r="E35" s="1" t="s">
        <v>38</v>
      </c>
      <c r="F35" s="1" t="s">
        <v>36</v>
      </c>
      <c r="G35" s="1" t="s">
        <v>88</v>
      </c>
      <c r="H35" s="1" t="s">
        <v>90</v>
      </c>
      <c r="I35" s="1" t="s">
        <v>199</v>
      </c>
      <c r="J35" s="1" t="s">
        <v>199</v>
      </c>
      <c r="K35" s="1">
        <v>12</v>
      </c>
      <c r="M35" s="1" t="str">
        <f>VLOOKUP(D35,HORARIOS!B:H,7,0)</f>
        <v>Día 1</v>
      </c>
      <c r="N35" s="1">
        <f>VLOOKUP(D35,HORARIOS!B:I,8,0)</f>
        <v>2</v>
      </c>
      <c r="O35" s="1" t="str">
        <f>VLOOKUP(A35,HORARIOS!A:D,4,0)</f>
        <v>10:30 hrs</v>
      </c>
      <c r="P35" s="9" t="str">
        <f>VLOOKUP(A35,HORARIOS!A:E,5,0)</f>
        <v>14:00 hrs</v>
      </c>
    </row>
    <row r="36" spans="1:16" ht="15.75" customHeight="1" x14ac:dyDescent="0.25">
      <c r="A36" s="1" t="str">
        <f t="shared" si="0"/>
        <v>60032</v>
      </c>
      <c r="B36" s="1">
        <v>35</v>
      </c>
      <c r="C36" s="1">
        <v>17</v>
      </c>
      <c r="D36" s="1">
        <v>6003</v>
      </c>
      <c r="E36" s="1" t="s">
        <v>38</v>
      </c>
      <c r="F36" s="1" t="s">
        <v>36</v>
      </c>
      <c r="G36" s="1" t="s">
        <v>96</v>
      </c>
      <c r="H36" s="1" t="s">
        <v>62</v>
      </c>
      <c r="I36" s="1" t="s">
        <v>200</v>
      </c>
      <c r="J36" s="1" t="s">
        <v>200</v>
      </c>
      <c r="K36" s="1">
        <v>12</v>
      </c>
      <c r="M36" s="1" t="str">
        <f>VLOOKUP(D36,HORARIOS!B:H,7,0)</f>
        <v>Día 1</v>
      </c>
      <c r="N36" s="1">
        <f>VLOOKUP(D36,HORARIOS!B:I,8,0)</f>
        <v>2</v>
      </c>
      <c r="O36" s="1" t="str">
        <f>VLOOKUP(A36,HORARIOS!A:D,4,0)</f>
        <v>10:30 hrs</v>
      </c>
      <c r="P36" s="9" t="str">
        <f>VLOOKUP(A36,HORARIOS!A:E,5,0)</f>
        <v>14:00 hrs</v>
      </c>
    </row>
    <row r="37" spans="1:16" ht="15.75" customHeight="1" x14ac:dyDescent="0.25">
      <c r="A37" s="1" t="str">
        <f t="shared" si="0"/>
        <v>60032</v>
      </c>
      <c r="B37" s="1">
        <v>36</v>
      </c>
      <c r="C37" s="1">
        <v>17</v>
      </c>
      <c r="D37" s="1">
        <v>6003</v>
      </c>
      <c r="E37" s="1" t="s">
        <v>38</v>
      </c>
      <c r="F37" s="1" t="s">
        <v>36</v>
      </c>
      <c r="G37" s="1" t="s">
        <v>98</v>
      </c>
      <c r="H37" s="1" t="s">
        <v>99</v>
      </c>
      <c r="I37" s="1" t="s">
        <v>201</v>
      </c>
      <c r="J37" s="1" t="s">
        <v>201</v>
      </c>
      <c r="K37" s="1">
        <v>12</v>
      </c>
      <c r="L37" s="1" t="s">
        <v>101</v>
      </c>
      <c r="M37" s="1" t="str">
        <f>VLOOKUP(D37,HORARIOS!B:H,7,0)</f>
        <v>Día 1</v>
      </c>
      <c r="N37" s="1">
        <f>VLOOKUP(D37,HORARIOS!B:I,8,0)</f>
        <v>2</v>
      </c>
      <c r="O37" s="1" t="str">
        <f>VLOOKUP(A37,HORARIOS!A:D,4,0)</f>
        <v>10:30 hrs</v>
      </c>
      <c r="P37" s="9" t="str">
        <f>VLOOKUP(A37,HORARIOS!A:E,5,0)</f>
        <v>14:00 hrs</v>
      </c>
    </row>
    <row r="38" spans="1:16" ht="15.75" customHeight="1" x14ac:dyDescent="0.25">
      <c r="A38" s="1" t="str">
        <f t="shared" si="0"/>
        <v>60032</v>
      </c>
      <c r="B38" s="1">
        <v>37</v>
      </c>
      <c r="C38" s="1">
        <v>17</v>
      </c>
      <c r="D38" s="1">
        <v>6003</v>
      </c>
      <c r="E38" s="1" t="s">
        <v>38</v>
      </c>
      <c r="F38" s="1" t="s">
        <v>36</v>
      </c>
      <c r="G38" s="1" t="s">
        <v>98</v>
      </c>
      <c r="H38" s="1" t="s">
        <v>99</v>
      </c>
      <c r="I38" s="1" t="s">
        <v>202</v>
      </c>
      <c r="J38" s="1" t="s">
        <v>202</v>
      </c>
      <c r="K38" s="1">
        <v>12</v>
      </c>
      <c r="L38" s="1" t="s">
        <v>101</v>
      </c>
      <c r="M38" s="1" t="str">
        <f>VLOOKUP(D38,HORARIOS!B:H,7,0)</f>
        <v>Día 1</v>
      </c>
      <c r="N38" s="1">
        <f>VLOOKUP(D38,HORARIOS!B:I,8,0)</f>
        <v>2</v>
      </c>
      <c r="O38" s="1" t="str">
        <f>VLOOKUP(A38,HORARIOS!A:D,4,0)</f>
        <v>10:30 hrs</v>
      </c>
      <c r="P38" s="9" t="str">
        <f>VLOOKUP(A38,HORARIOS!A:E,5,0)</f>
        <v>14:00 hrs</v>
      </c>
    </row>
    <row r="39" spans="1:16" ht="15.75" customHeight="1" x14ac:dyDescent="0.25">
      <c r="A39" s="1" t="str">
        <f t="shared" si="0"/>
        <v>60032</v>
      </c>
      <c r="B39" s="1">
        <v>38</v>
      </c>
      <c r="C39" s="1">
        <v>17</v>
      </c>
      <c r="D39" s="1">
        <v>6003</v>
      </c>
      <c r="E39" s="1" t="s">
        <v>38</v>
      </c>
      <c r="F39" s="1" t="s">
        <v>36</v>
      </c>
      <c r="G39" s="1" t="s">
        <v>98</v>
      </c>
      <c r="H39" s="1" t="s">
        <v>99</v>
      </c>
      <c r="I39" s="1" t="s">
        <v>203</v>
      </c>
      <c r="J39" s="1" t="s">
        <v>203</v>
      </c>
      <c r="K39" s="1">
        <v>12</v>
      </c>
      <c r="L39" s="1" t="s">
        <v>101</v>
      </c>
      <c r="M39" s="1" t="str">
        <f>VLOOKUP(D39,HORARIOS!B:H,7,0)</f>
        <v>Día 1</v>
      </c>
      <c r="N39" s="1">
        <f>VLOOKUP(D39,HORARIOS!B:I,8,0)</f>
        <v>2</v>
      </c>
      <c r="O39" s="1" t="str">
        <f>VLOOKUP(A39,HORARIOS!A:D,4,0)</f>
        <v>10:30 hrs</v>
      </c>
      <c r="P39" s="9" t="str">
        <f>VLOOKUP(A39,HORARIOS!A:E,5,0)</f>
        <v>14:00 hrs</v>
      </c>
    </row>
    <row r="40" spans="1:16" ht="15.75" customHeight="1" x14ac:dyDescent="0.25">
      <c r="A40" s="1" t="str">
        <f t="shared" si="0"/>
        <v>60032</v>
      </c>
      <c r="B40" s="1">
        <v>40</v>
      </c>
      <c r="C40" s="1">
        <v>17</v>
      </c>
      <c r="D40" s="1">
        <v>6003</v>
      </c>
      <c r="E40" s="1" t="s">
        <v>38</v>
      </c>
      <c r="F40" s="1" t="s">
        <v>36</v>
      </c>
      <c r="G40" s="1" t="s">
        <v>98</v>
      </c>
      <c r="H40" s="1" t="s">
        <v>99</v>
      </c>
      <c r="I40" s="1" t="s">
        <v>204</v>
      </c>
      <c r="J40" s="1" t="s">
        <v>204</v>
      </c>
      <c r="K40" s="1">
        <v>12</v>
      </c>
      <c r="L40" s="1" t="s">
        <v>101</v>
      </c>
      <c r="M40" s="1" t="str">
        <f>VLOOKUP(D40,HORARIOS!B:H,7,0)</f>
        <v>Día 1</v>
      </c>
      <c r="N40" s="1">
        <f>VLOOKUP(D40,HORARIOS!B:I,8,0)</f>
        <v>2</v>
      </c>
      <c r="O40" s="1" t="str">
        <f>VLOOKUP(A40,HORARIOS!A:D,4,0)</f>
        <v>10:30 hrs</v>
      </c>
      <c r="P40" s="9" t="str">
        <f>VLOOKUP(A40,HORARIOS!A:E,5,0)</f>
        <v>14:00 hrs</v>
      </c>
    </row>
    <row r="41" spans="1:16" ht="15.75" customHeight="1" x14ac:dyDescent="0.25">
      <c r="A41" s="1" t="str">
        <f t="shared" si="0"/>
        <v>60032</v>
      </c>
      <c r="B41" s="1">
        <v>41</v>
      </c>
      <c r="C41" s="1">
        <v>17</v>
      </c>
      <c r="D41" s="1">
        <v>6003</v>
      </c>
      <c r="E41" s="1" t="s">
        <v>38</v>
      </c>
      <c r="F41" s="1" t="s">
        <v>36</v>
      </c>
      <c r="G41" s="1" t="s">
        <v>98</v>
      </c>
      <c r="H41" s="1" t="s">
        <v>99</v>
      </c>
      <c r="I41" s="1" t="s">
        <v>205</v>
      </c>
      <c r="J41" s="1" t="s">
        <v>205</v>
      </c>
      <c r="K41" s="1">
        <v>12</v>
      </c>
      <c r="L41" s="1" t="s">
        <v>101</v>
      </c>
      <c r="M41" s="1" t="str">
        <f>VLOOKUP(D41,HORARIOS!B:H,7,0)</f>
        <v>Día 1</v>
      </c>
      <c r="N41" s="1">
        <f>VLOOKUP(D41,HORARIOS!B:I,8,0)</f>
        <v>2</v>
      </c>
      <c r="O41" s="1" t="str">
        <f>VLOOKUP(A41,HORARIOS!A:D,4,0)</f>
        <v>10:30 hrs</v>
      </c>
      <c r="P41" s="9" t="str">
        <f>VLOOKUP(A41,HORARIOS!A:E,5,0)</f>
        <v>14:00 hrs</v>
      </c>
    </row>
    <row r="42" spans="1:16" ht="15.75" customHeight="1" x14ac:dyDescent="0.25">
      <c r="A42" s="1" t="str">
        <f t="shared" si="0"/>
        <v>60032</v>
      </c>
      <c r="B42" s="1">
        <v>42</v>
      </c>
      <c r="C42" s="1">
        <v>17</v>
      </c>
      <c r="D42" s="1">
        <v>6003</v>
      </c>
      <c r="E42" s="1" t="s">
        <v>38</v>
      </c>
      <c r="F42" s="1" t="s">
        <v>36</v>
      </c>
      <c r="G42" s="1" t="s">
        <v>98</v>
      </c>
      <c r="H42" s="1" t="s">
        <v>99</v>
      </c>
      <c r="I42" s="1" t="s">
        <v>206</v>
      </c>
      <c r="J42" s="1" t="s">
        <v>206</v>
      </c>
      <c r="K42" s="1">
        <v>12</v>
      </c>
      <c r="L42" s="1" t="s">
        <v>101</v>
      </c>
      <c r="M42" s="1" t="str">
        <f>VLOOKUP(D42,HORARIOS!B:H,7,0)</f>
        <v>Día 1</v>
      </c>
      <c r="N42" s="1">
        <f>VLOOKUP(D42,HORARIOS!B:I,8,0)</f>
        <v>2</v>
      </c>
      <c r="O42" s="1" t="str">
        <f>VLOOKUP(A42,HORARIOS!A:D,4,0)</f>
        <v>10:30 hrs</v>
      </c>
      <c r="P42" s="9" t="str">
        <f>VLOOKUP(A42,HORARIOS!A:E,5,0)</f>
        <v>14:00 hrs</v>
      </c>
    </row>
    <row r="43" spans="1:16" ht="15.75" customHeight="1" x14ac:dyDescent="0.25">
      <c r="A43" s="1" t="str">
        <f t="shared" si="0"/>
        <v>60032</v>
      </c>
      <c r="B43" s="1">
        <v>43</v>
      </c>
      <c r="C43" s="1">
        <v>17</v>
      </c>
      <c r="D43" s="1">
        <v>6003</v>
      </c>
      <c r="E43" s="1" t="s">
        <v>38</v>
      </c>
      <c r="F43" s="1" t="s">
        <v>36</v>
      </c>
      <c r="G43" s="1" t="s">
        <v>98</v>
      </c>
      <c r="H43" s="1" t="s">
        <v>99</v>
      </c>
      <c r="I43" s="1" t="s">
        <v>207</v>
      </c>
      <c r="J43" s="1" t="s">
        <v>207</v>
      </c>
      <c r="K43" s="1">
        <v>12</v>
      </c>
      <c r="L43" s="1" t="s">
        <v>101</v>
      </c>
      <c r="M43" s="1" t="str">
        <f>VLOOKUP(D43,HORARIOS!B:H,7,0)</f>
        <v>Día 1</v>
      </c>
      <c r="N43" s="1">
        <f>VLOOKUP(D43,HORARIOS!B:I,8,0)</f>
        <v>2</v>
      </c>
      <c r="O43" s="1" t="str">
        <f>VLOOKUP(A43,HORARIOS!A:D,4,0)</f>
        <v>10:30 hrs</v>
      </c>
      <c r="P43" s="9" t="str">
        <f>VLOOKUP(A43,HORARIOS!A:E,5,0)</f>
        <v>14:00 hrs</v>
      </c>
    </row>
    <row r="44" spans="1:16" ht="15.75" customHeight="1" x14ac:dyDescent="0.25">
      <c r="A44" s="1" t="str">
        <f t="shared" si="0"/>
        <v>60032</v>
      </c>
      <c r="B44" s="1">
        <v>44</v>
      </c>
      <c r="C44" s="1">
        <v>17</v>
      </c>
      <c r="D44" s="1">
        <v>6003</v>
      </c>
      <c r="E44" s="1" t="s">
        <v>38</v>
      </c>
      <c r="F44" s="1" t="s">
        <v>36</v>
      </c>
      <c r="G44" s="1" t="s">
        <v>114</v>
      </c>
      <c r="H44" s="1" t="s">
        <v>39</v>
      </c>
      <c r="I44" s="1" t="s">
        <v>52</v>
      </c>
      <c r="J44" s="1" t="s">
        <v>52</v>
      </c>
      <c r="K44" s="1">
        <v>2</v>
      </c>
      <c r="L44" s="1" t="s">
        <v>115</v>
      </c>
      <c r="M44" s="1" t="str">
        <f>VLOOKUP(D44,HORARIOS!B:H,7,0)</f>
        <v>Día 1</v>
      </c>
      <c r="N44" s="1">
        <f>VLOOKUP(D44,HORARIOS!B:I,8,0)</f>
        <v>2</v>
      </c>
      <c r="O44" s="1" t="str">
        <f>VLOOKUP(A44,HORARIOS!A:D,4,0)</f>
        <v>10:30 hrs</v>
      </c>
      <c r="P44" s="9" t="str">
        <f>VLOOKUP(A44,HORARIOS!A:E,5,0)</f>
        <v>14:00 hrs</v>
      </c>
    </row>
    <row r="45" spans="1:16" ht="15.75" customHeight="1" x14ac:dyDescent="0.25">
      <c r="A45" s="1" t="str">
        <f t="shared" si="0"/>
        <v>60032</v>
      </c>
      <c r="B45" s="1">
        <v>45</v>
      </c>
      <c r="C45" s="1">
        <v>17</v>
      </c>
      <c r="D45" s="1">
        <v>6003</v>
      </c>
      <c r="E45" s="1" t="s">
        <v>38</v>
      </c>
      <c r="F45" s="1" t="s">
        <v>36</v>
      </c>
      <c r="G45" s="1" t="s">
        <v>134</v>
      </c>
      <c r="H45" s="1" t="s">
        <v>135</v>
      </c>
      <c r="I45" s="1" t="s">
        <v>208</v>
      </c>
      <c r="J45" s="1" t="s">
        <v>209</v>
      </c>
      <c r="K45" s="1">
        <v>12</v>
      </c>
      <c r="L45" s="1" t="s">
        <v>138</v>
      </c>
      <c r="M45" s="1" t="str">
        <f>VLOOKUP(D45,HORARIOS!B:H,7,0)</f>
        <v>Día 1</v>
      </c>
      <c r="N45" s="1">
        <f>VLOOKUP(D45,HORARIOS!B:I,8,0)</f>
        <v>2</v>
      </c>
      <c r="O45" s="1" t="str">
        <f>VLOOKUP(A45,HORARIOS!A:D,4,0)</f>
        <v>10:30 hrs</v>
      </c>
      <c r="P45" s="9" t="str">
        <f>VLOOKUP(A45,HORARIOS!A:E,5,0)</f>
        <v>14:00 hrs</v>
      </c>
    </row>
    <row r="46" spans="1:16" ht="15.75" customHeight="1" x14ac:dyDescent="0.25">
      <c r="A46" s="1" t="str">
        <f t="shared" si="0"/>
        <v>60032</v>
      </c>
      <c r="B46" s="1">
        <v>46</v>
      </c>
      <c r="C46" s="1">
        <v>17</v>
      </c>
      <c r="D46" s="1">
        <v>6003</v>
      </c>
      <c r="E46" s="1" t="s">
        <v>38</v>
      </c>
      <c r="F46" s="1" t="s">
        <v>36</v>
      </c>
      <c r="G46" s="1" t="s">
        <v>145</v>
      </c>
      <c r="H46" s="1" t="s">
        <v>52</v>
      </c>
      <c r="I46" s="1" t="s">
        <v>210</v>
      </c>
      <c r="J46" s="1" t="s">
        <v>210</v>
      </c>
      <c r="K46" s="1">
        <v>12</v>
      </c>
      <c r="M46" s="1" t="str">
        <f>VLOOKUP(D46,HORARIOS!B:H,7,0)</f>
        <v>Día 1</v>
      </c>
      <c r="N46" s="1">
        <f>VLOOKUP(D46,HORARIOS!B:I,8,0)</f>
        <v>2</v>
      </c>
      <c r="O46" s="1" t="str">
        <f>VLOOKUP(A46,HORARIOS!A:D,4,0)</f>
        <v>10:30 hrs</v>
      </c>
      <c r="P46" s="9" t="str">
        <f>VLOOKUP(A46,HORARIOS!A:E,5,0)</f>
        <v>14:00 hrs</v>
      </c>
    </row>
    <row r="47" spans="1:16" ht="15.75" customHeight="1" x14ac:dyDescent="0.25">
      <c r="A47" s="1" t="str">
        <f t="shared" si="0"/>
        <v>60032</v>
      </c>
      <c r="B47" s="1">
        <v>48</v>
      </c>
      <c r="C47" s="1">
        <v>17</v>
      </c>
      <c r="D47" s="1">
        <v>6003</v>
      </c>
      <c r="E47" s="1" t="s">
        <v>38</v>
      </c>
      <c r="F47" s="1" t="s">
        <v>36</v>
      </c>
      <c r="G47" s="1" t="s">
        <v>159</v>
      </c>
      <c r="H47" s="1" t="s">
        <v>160</v>
      </c>
      <c r="I47" s="1" t="s">
        <v>211</v>
      </c>
      <c r="J47" s="1" t="s">
        <v>211</v>
      </c>
      <c r="K47" s="1">
        <v>12</v>
      </c>
      <c r="M47" s="1" t="str">
        <f>VLOOKUP(D47,HORARIOS!B:H,7,0)</f>
        <v>Día 1</v>
      </c>
      <c r="N47" s="1">
        <f>VLOOKUP(D47,HORARIOS!B:I,8,0)</f>
        <v>2</v>
      </c>
      <c r="O47" s="1" t="str">
        <f>VLOOKUP(A47,HORARIOS!A:D,4,0)</f>
        <v>10:30 hrs</v>
      </c>
      <c r="P47" s="9" t="str">
        <f>VLOOKUP(A47,HORARIOS!A:E,5,0)</f>
        <v>14:00 hrs</v>
      </c>
    </row>
    <row r="48" spans="1:16" ht="15.75" customHeight="1" x14ac:dyDescent="0.25">
      <c r="A48" s="1" t="str">
        <f t="shared" si="0"/>
        <v>600424</v>
      </c>
      <c r="B48" s="1">
        <v>49</v>
      </c>
      <c r="C48" s="1">
        <v>12</v>
      </c>
      <c r="D48" s="1">
        <v>6004</v>
      </c>
      <c r="E48" s="1" t="s">
        <v>42</v>
      </c>
      <c r="F48" s="1" t="s">
        <v>36</v>
      </c>
      <c r="G48" s="1" t="s">
        <v>37</v>
      </c>
      <c r="H48" s="1" t="s">
        <v>39</v>
      </c>
      <c r="I48" s="1" t="s">
        <v>212</v>
      </c>
      <c r="J48" s="1" t="s">
        <v>212</v>
      </c>
      <c r="K48" s="1">
        <v>12</v>
      </c>
      <c r="L48" s="1" t="s">
        <v>41</v>
      </c>
      <c r="M48" s="1" t="str">
        <f>VLOOKUP(D48,HORARIOS!B:H,7,0)</f>
        <v>Día 4</v>
      </c>
      <c r="N48" s="1">
        <f>VLOOKUP(D48,HORARIOS!B:I,8,0)</f>
        <v>24</v>
      </c>
      <c r="O48" s="1" t="str">
        <f>VLOOKUP(A48,HORARIOS!A:D,4,0)</f>
        <v>14:00 hrs</v>
      </c>
      <c r="P48" s="9" t="str">
        <f>VLOOKUP(A48,HORARIOS!A:E,5,0)</f>
        <v>17:00 hrs</v>
      </c>
    </row>
    <row r="49" spans="1:16" ht="15.75" customHeight="1" x14ac:dyDescent="0.25">
      <c r="A49" s="1" t="str">
        <f t="shared" si="0"/>
        <v>600424</v>
      </c>
      <c r="B49" s="1">
        <v>50</v>
      </c>
      <c r="C49" s="1">
        <v>12</v>
      </c>
      <c r="D49" s="1">
        <v>6004</v>
      </c>
      <c r="E49" s="1" t="s">
        <v>42</v>
      </c>
      <c r="F49" s="1" t="s">
        <v>36</v>
      </c>
      <c r="G49" s="1" t="s">
        <v>51</v>
      </c>
      <c r="H49" s="1" t="s">
        <v>52</v>
      </c>
      <c r="I49" s="1" t="s">
        <v>213</v>
      </c>
      <c r="J49" s="1" t="s">
        <v>213</v>
      </c>
      <c r="K49" s="1">
        <v>12</v>
      </c>
      <c r="M49" s="1" t="str">
        <f>VLOOKUP(D49,HORARIOS!B:H,7,0)</f>
        <v>Día 4</v>
      </c>
      <c r="N49" s="1">
        <f>VLOOKUP(D49,HORARIOS!B:I,8,0)</f>
        <v>24</v>
      </c>
      <c r="O49" s="1" t="str">
        <f>VLOOKUP(A49,HORARIOS!A:D,4,0)</f>
        <v>14:00 hrs</v>
      </c>
      <c r="P49" s="9" t="str">
        <f>VLOOKUP(A49,HORARIOS!A:E,5,0)</f>
        <v>17:00 hrs</v>
      </c>
    </row>
    <row r="50" spans="1:16" ht="15.75" customHeight="1" x14ac:dyDescent="0.25">
      <c r="A50" s="1" t="str">
        <f t="shared" si="0"/>
        <v>600424</v>
      </c>
      <c r="B50" s="1">
        <v>51</v>
      </c>
      <c r="C50" s="1">
        <v>12</v>
      </c>
      <c r="D50" s="1">
        <v>6004</v>
      </c>
      <c r="E50" s="1" t="s">
        <v>42</v>
      </c>
      <c r="F50" s="1" t="s">
        <v>36</v>
      </c>
      <c r="G50" s="1" t="s">
        <v>61</v>
      </c>
      <c r="H50" s="1" t="s">
        <v>62</v>
      </c>
      <c r="I50" s="1" t="s">
        <v>214</v>
      </c>
      <c r="J50" s="1" t="s">
        <v>215</v>
      </c>
      <c r="K50" s="1">
        <v>12</v>
      </c>
      <c r="L50" s="1" t="s">
        <v>64</v>
      </c>
      <c r="M50" s="1" t="str">
        <f>VLOOKUP(D50,HORARIOS!B:H,7,0)</f>
        <v>Día 4</v>
      </c>
      <c r="N50" s="1">
        <f>VLOOKUP(D50,HORARIOS!B:I,8,0)</f>
        <v>24</v>
      </c>
      <c r="O50" s="1" t="str">
        <f>VLOOKUP(A50,HORARIOS!A:D,4,0)</f>
        <v>14:00 hrs</v>
      </c>
      <c r="P50" s="9" t="str">
        <f>VLOOKUP(A50,HORARIOS!A:E,5,0)</f>
        <v>17:00 hrs</v>
      </c>
    </row>
    <row r="51" spans="1:16" ht="15.75" customHeight="1" x14ac:dyDescent="0.25">
      <c r="A51" s="1" t="str">
        <f t="shared" si="0"/>
        <v>600424</v>
      </c>
      <c r="B51" s="1">
        <v>52</v>
      </c>
      <c r="C51" s="1">
        <v>12</v>
      </c>
      <c r="D51" s="1">
        <v>6004</v>
      </c>
      <c r="E51" s="1" t="s">
        <v>42</v>
      </c>
      <c r="F51" s="1" t="s">
        <v>36</v>
      </c>
      <c r="G51" s="1" t="s">
        <v>72</v>
      </c>
      <c r="H51" s="1" t="s">
        <v>73</v>
      </c>
      <c r="I51" s="1" t="s">
        <v>216</v>
      </c>
      <c r="J51" s="1" t="s">
        <v>216</v>
      </c>
      <c r="K51" s="1">
        <v>12</v>
      </c>
      <c r="M51" s="1" t="str">
        <f>VLOOKUP(D51,HORARIOS!B:H,7,0)</f>
        <v>Día 4</v>
      </c>
      <c r="N51" s="1">
        <f>VLOOKUP(D51,HORARIOS!B:I,8,0)</f>
        <v>24</v>
      </c>
      <c r="O51" s="1" t="str">
        <f>VLOOKUP(A51,HORARIOS!A:D,4,0)</f>
        <v>14:00 hrs</v>
      </c>
      <c r="P51" s="9" t="str">
        <f>VLOOKUP(A51,HORARIOS!A:E,5,0)</f>
        <v>17:00 hrs</v>
      </c>
    </row>
    <row r="52" spans="1:16" ht="15.75" customHeight="1" x14ac:dyDescent="0.25">
      <c r="A52" s="1" t="str">
        <f t="shared" si="0"/>
        <v>600424</v>
      </c>
      <c r="B52" s="1">
        <v>53</v>
      </c>
      <c r="C52" s="1">
        <v>12</v>
      </c>
      <c r="D52" s="1">
        <v>6004</v>
      </c>
      <c r="E52" s="1" t="s">
        <v>42</v>
      </c>
      <c r="F52" s="1" t="s">
        <v>36</v>
      </c>
      <c r="G52" s="1" t="s">
        <v>88</v>
      </c>
      <c r="H52" s="1" t="s">
        <v>90</v>
      </c>
      <c r="I52" s="1" t="s">
        <v>217</v>
      </c>
      <c r="J52" s="1" t="s">
        <v>217</v>
      </c>
      <c r="K52" s="1">
        <v>12</v>
      </c>
      <c r="M52" s="1" t="str">
        <f>VLOOKUP(D52,HORARIOS!B:H,7,0)</f>
        <v>Día 4</v>
      </c>
      <c r="N52" s="1">
        <f>VLOOKUP(D52,HORARIOS!B:I,8,0)</f>
        <v>24</v>
      </c>
      <c r="O52" s="1" t="str">
        <f>VLOOKUP(A52,HORARIOS!A:D,4,0)</f>
        <v>14:00 hrs</v>
      </c>
      <c r="P52" s="9" t="str">
        <f>VLOOKUP(A52,HORARIOS!A:E,5,0)</f>
        <v>17:00 hrs</v>
      </c>
    </row>
    <row r="53" spans="1:16" ht="15.75" customHeight="1" x14ac:dyDescent="0.25">
      <c r="A53" s="1" t="str">
        <f t="shared" si="0"/>
        <v>600424</v>
      </c>
      <c r="B53" s="1">
        <v>54</v>
      </c>
      <c r="C53" s="1">
        <v>12</v>
      </c>
      <c r="D53" s="1">
        <v>6004</v>
      </c>
      <c r="E53" s="1" t="s">
        <v>42</v>
      </c>
      <c r="F53" s="1" t="s">
        <v>36</v>
      </c>
      <c r="G53" s="1" t="s">
        <v>96</v>
      </c>
      <c r="H53" s="1" t="s">
        <v>62</v>
      </c>
      <c r="I53" s="1" t="s">
        <v>218</v>
      </c>
      <c r="J53" s="1" t="s">
        <v>219</v>
      </c>
      <c r="K53" s="1">
        <v>12</v>
      </c>
      <c r="M53" s="1" t="str">
        <f>VLOOKUP(D53,HORARIOS!B:H,7,0)</f>
        <v>Día 4</v>
      </c>
      <c r="N53" s="1">
        <f>VLOOKUP(D53,HORARIOS!B:I,8,0)</f>
        <v>24</v>
      </c>
      <c r="O53" s="1" t="str">
        <f>VLOOKUP(A53,HORARIOS!A:D,4,0)</f>
        <v>14:00 hrs</v>
      </c>
      <c r="P53" s="9" t="str">
        <f>VLOOKUP(A53,HORARIOS!A:E,5,0)</f>
        <v>17:00 hrs</v>
      </c>
    </row>
    <row r="54" spans="1:16" ht="15.75" customHeight="1" x14ac:dyDescent="0.25">
      <c r="A54" s="1" t="str">
        <f t="shared" si="0"/>
        <v>600424</v>
      </c>
      <c r="B54" s="1">
        <v>55</v>
      </c>
      <c r="C54" s="1">
        <v>12</v>
      </c>
      <c r="D54" s="1">
        <v>6004</v>
      </c>
      <c r="E54" s="1" t="s">
        <v>42</v>
      </c>
      <c r="F54" s="1" t="s">
        <v>36</v>
      </c>
      <c r="G54" s="1" t="s">
        <v>98</v>
      </c>
      <c r="H54" s="1" t="s">
        <v>99</v>
      </c>
      <c r="I54" s="1" t="s">
        <v>220</v>
      </c>
      <c r="J54" s="1" t="s">
        <v>220</v>
      </c>
      <c r="K54" s="1">
        <v>12</v>
      </c>
      <c r="L54" s="1" t="s">
        <v>101</v>
      </c>
      <c r="M54" s="1" t="str">
        <f>VLOOKUP(D54,HORARIOS!B:H,7,0)</f>
        <v>Día 4</v>
      </c>
      <c r="N54" s="1">
        <f>VLOOKUP(D54,HORARIOS!B:I,8,0)</f>
        <v>24</v>
      </c>
      <c r="O54" s="1" t="str">
        <f>VLOOKUP(A54,HORARIOS!A:D,4,0)</f>
        <v>14:00 hrs</v>
      </c>
      <c r="P54" s="9" t="str">
        <f>VLOOKUP(A54,HORARIOS!A:E,5,0)</f>
        <v>17:00 hrs</v>
      </c>
    </row>
    <row r="55" spans="1:16" ht="15.75" customHeight="1" x14ac:dyDescent="0.25">
      <c r="A55" s="1" t="str">
        <f t="shared" si="0"/>
        <v>600424</v>
      </c>
      <c r="B55" s="1">
        <v>57</v>
      </c>
      <c r="C55" s="1">
        <v>12</v>
      </c>
      <c r="D55" s="1">
        <v>6004</v>
      </c>
      <c r="E55" s="1" t="s">
        <v>42</v>
      </c>
      <c r="F55" s="1" t="s">
        <v>36</v>
      </c>
      <c r="G55" s="1" t="s">
        <v>98</v>
      </c>
      <c r="H55" s="1" t="s">
        <v>99</v>
      </c>
      <c r="I55" s="1" t="s">
        <v>221</v>
      </c>
      <c r="J55" s="1" t="s">
        <v>221</v>
      </c>
      <c r="K55" s="1">
        <v>12</v>
      </c>
      <c r="L55" s="1" t="s">
        <v>101</v>
      </c>
      <c r="M55" s="1" t="str">
        <f>VLOOKUP(D55,HORARIOS!B:H,7,0)</f>
        <v>Día 4</v>
      </c>
      <c r="N55" s="1">
        <f>VLOOKUP(D55,HORARIOS!B:I,8,0)</f>
        <v>24</v>
      </c>
      <c r="O55" s="1" t="str">
        <f>VLOOKUP(A55,HORARIOS!A:D,4,0)</f>
        <v>14:00 hrs</v>
      </c>
      <c r="P55" s="9" t="str">
        <f>VLOOKUP(A55,HORARIOS!A:E,5,0)</f>
        <v>17:00 hrs</v>
      </c>
    </row>
    <row r="56" spans="1:16" ht="15.75" customHeight="1" x14ac:dyDescent="0.25">
      <c r="A56" s="1" t="str">
        <f t="shared" si="0"/>
        <v>600424</v>
      </c>
      <c r="B56" s="1">
        <v>58</v>
      </c>
      <c r="C56" s="1">
        <v>12</v>
      </c>
      <c r="D56" s="1">
        <v>6004</v>
      </c>
      <c r="E56" s="1" t="s">
        <v>42</v>
      </c>
      <c r="F56" s="1" t="s">
        <v>36</v>
      </c>
      <c r="G56" s="1" t="s">
        <v>114</v>
      </c>
      <c r="H56" s="1" t="s">
        <v>39</v>
      </c>
      <c r="I56" s="1" t="s">
        <v>52</v>
      </c>
      <c r="J56" s="1" t="s">
        <v>52</v>
      </c>
      <c r="K56" s="1">
        <v>2</v>
      </c>
      <c r="L56" s="1" t="s">
        <v>115</v>
      </c>
      <c r="M56" s="1" t="str">
        <f>VLOOKUP(D56,HORARIOS!B:H,7,0)</f>
        <v>Día 4</v>
      </c>
      <c r="N56" s="1">
        <f>VLOOKUP(D56,HORARIOS!B:I,8,0)</f>
        <v>24</v>
      </c>
      <c r="O56" s="1" t="str">
        <f>VLOOKUP(A56,HORARIOS!A:D,4,0)</f>
        <v>14:00 hrs</v>
      </c>
      <c r="P56" s="9" t="str">
        <f>VLOOKUP(A56,HORARIOS!A:E,5,0)</f>
        <v>17:00 hrs</v>
      </c>
    </row>
    <row r="57" spans="1:16" ht="15.75" customHeight="1" x14ac:dyDescent="0.25">
      <c r="A57" s="1" t="str">
        <f t="shared" si="0"/>
        <v>600424</v>
      </c>
      <c r="B57" s="1">
        <v>59</v>
      </c>
      <c r="C57" s="1">
        <v>12</v>
      </c>
      <c r="D57" s="1">
        <v>6004</v>
      </c>
      <c r="E57" s="1" t="s">
        <v>42</v>
      </c>
      <c r="F57" s="1" t="s">
        <v>36</v>
      </c>
      <c r="G57" s="1" t="s">
        <v>134</v>
      </c>
      <c r="H57" s="1" t="s">
        <v>135</v>
      </c>
      <c r="I57" s="1" t="s">
        <v>222</v>
      </c>
      <c r="J57" s="1" t="s">
        <v>222</v>
      </c>
      <c r="K57" s="1">
        <v>12</v>
      </c>
      <c r="L57" s="1" t="s">
        <v>223</v>
      </c>
      <c r="M57" s="1" t="str">
        <f>VLOOKUP(D57,HORARIOS!B:H,7,0)</f>
        <v>Día 4</v>
      </c>
      <c r="N57" s="1">
        <f>VLOOKUP(D57,HORARIOS!B:I,8,0)</f>
        <v>24</v>
      </c>
      <c r="O57" s="1" t="str">
        <f>VLOOKUP(A57,HORARIOS!A:D,4,0)</f>
        <v>14:00 hrs</v>
      </c>
      <c r="P57" s="9" t="str">
        <f>VLOOKUP(A57,HORARIOS!A:E,5,0)</f>
        <v>17:00 hrs</v>
      </c>
    </row>
    <row r="58" spans="1:16" ht="15.75" customHeight="1" x14ac:dyDescent="0.25">
      <c r="A58" s="1" t="str">
        <f t="shared" si="0"/>
        <v>600424</v>
      </c>
      <c r="B58" s="1">
        <v>60</v>
      </c>
      <c r="C58" s="1">
        <v>12</v>
      </c>
      <c r="D58" s="1">
        <v>6004</v>
      </c>
      <c r="E58" s="1" t="s">
        <v>42</v>
      </c>
      <c r="F58" s="1" t="s">
        <v>36</v>
      </c>
      <c r="G58" s="1" t="s">
        <v>145</v>
      </c>
      <c r="H58" s="1" t="s">
        <v>52</v>
      </c>
      <c r="I58" s="1" t="s">
        <v>224</v>
      </c>
      <c r="J58" s="1" t="s">
        <v>224</v>
      </c>
      <c r="K58" s="1">
        <v>12</v>
      </c>
      <c r="M58" s="1" t="str">
        <f>VLOOKUP(D58,HORARIOS!B:H,7,0)</f>
        <v>Día 4</v>
      </c>
      <c r="N58" s="1">
        <f>VLOOKUP(D58,HORARIOS!B:I,8,0)</f>
        <v>24</v>
      </c>
      <c r="O58" s="1" t="str">
        <f>VLOOKUP(A58,HORARIOS!A:D,4,0)</f>
        <v>14:00 hrs</v>
      </c>
      <c r="P58" s="9" t="str">
        <f>VLOOKUP(A58,HORARIOS!A:E,5,0)</f>
        <v>17:00 hrs</v>
      </c>
    </row>
    <row r="59" spans="1:16" ht="15.75" customHeight="1" x14ac:dyDescent="0.25">
      <c r="A59" s="1" t="str">
        <f t="shared" si="0"/>
        <v>600424</v>
      </c>
      <c r="B59" s="1">
        <v>61</v>
      </c>
      <c r="C59" s="1">
        <v>12</v>
      </c>
      <c r="D59" s="1">
        <v>6004</v>
      </c>
      <c r="E59" s="1" t="s">
        <v>42</v>
      </c>
      <c r="F59" s="1" t="s">
        <v>36</v>
      </c>
      <c r="G59" s="1" t="s">
        <v>159</v>
      </c>
      <c r="H59" s="1" t="s">
        <v>160</v>
      </c>
      <c r="I59" s="1" t="s">
        <v>225</v>
      </c>
      <c r="J59" s="1" t="s">
        <v>225</v>
      </c>
      <c r="K59" s="1">
        <v>12</v>
      </c>
      <c r="M59" s="1" t="str">
        <f>VLOOKUP(D59,HORARIOS!B:H,7,0)</f>
        <v>Día 4</v>
      </c>
      <c r="N59" s="1">
        <f>VLOOKUP(D59,HORARIOS!B:I,8,0)</f>
        <v>24</v>
      </c>
      <c r="O59" s="1" t="str">
        <f>VLOOKUP(A59,HORARIOS!A:D,4,0)</f>
        <v>14:00 hrs</v>
      </c>
      <c r="P59" s="9" t="str">
        <f>VLOOKUP(A59,HORARIOS!A:E,5,0)</f>
        <v>17:00 hrs</v>
      </c>
    </row>
    <row r="60" spans="1:16" ht="15.75" customHeight="1" x14ac:dyDescent="0.25">
      <c r="A60" s="1" t="str">
        <f t="shared" si="0"/>
        <v>60053</v>
      </c>
      <c r="B60" s="1">
        <v>62</v>
      </c>
      <c r="C60" s="1">
        <v>13</v>
      </c>
      <c r="D60" s="1">
        <v>6005</v>
      </c>
      <c r="E60" s="1" t="s">
        <v>43</v>
      </c>
      <c r="F60" s="1" t="s">
        <v>36</v>
      </c>
      <c r="G60" s="1" t="s">
        <v>37</v>
      </c>
      <c r="H60" s="1" t="s">
        <v>39</v>
      </c>
      <c r="I60" s="1" t="s">
        <v>226</v>
      </c>
      <c r="J60" s="1" t="s">
        <v>226</v>
      </c>
      <c r="K60" s="1">
        <v>12</v>
      </c>
      <c r="L60" s="1" t="s">
        <v>41</v>
      </c>
      <c r="M60" s="1" t="str">
        <f>VLOOKUP(D60,HORARIOS!B:H,7,0)</f>
        <v>Día 1</v>
      </c>
      <c r="N60" s="1">
        <f>VLOOKUP(D60,HORARIOS!B:I,8,0)</f>
        <v>3</v>
      </c>
      <c r="O60" s="1" t="str">
        <f>VLOOKUP(A60,HORARIOS!A:D,4,0)</f>
        <v>11:30 hrs</v>
      </c>
      <c r="P60" s="9" t="str">
        <f>VLOOKUP(A60,HORARIOS!A:E,5,0)</f>
        <v>15:00 hrs</v>
      </c>
    </row>
    <row r="61" spans="1:16" ht="15.75" customHeight="1" x14ac:dyDescent="0.25">
      <c r="A61" s="1" t="str">
        <f t="shared" si="0"/>
        <v>60053</v>
      </c>
      <c r="B61" s="1">
        <v>63</v>
      </c>
      <c r="C61" s="1">
        <v>13</v>
      </c>
      <c r="D61" s="1">
        <v>6005</v>
      </c>
      <c r="E61" s="1" t="s">
        <v>43</v>
      </c>
      <c r="F61" s="1" t="s">
        <v>36</v>
      </c>
      <c r="G61" s="1" t="s">
        <v>51</v>
      </c>
      <c r="H61" s="1" t="s">
        <v>52</v>
      </c>
      <c r="I61" s="1" t="s">
        <v>227</v>
      </c>
      <c r="J61" s="1" t="s">
        <v>227</v>
      </c>
      <c r="K61" s="1">
        <v>12</v>
      </c>
      <c r="M61" s="1" t="str">
        <f>VLOOKUP(D61,HORARIOS!B:H,7,0)</f>
        <v>Día 1</v>
      </c>
      <c r="N61" s="1">
        <f>VLOOKUP(D61,HORARIOS!B:I,8,0)</f>
        <v>3</v>
      </c>
      <c r="O61" s="1" t="str">
        <f>VLOOKUP(A61,HORARIOS!A:D,4,0)</f>
        <v>11:30 hrs</v>
      </c>
      <c r="P61" s="9" t="str">
        <f>VLOOKUP(A61,HORARIOS!A:E,5,0)</f>
        <v>15:00 hrs</v>
      </c>
    </row>
    <row r="62" spans="1:16" ht="15.75" customHeight="1" x14ac:dyDescent="0.25">
      <c r="A62" s="1" t="str">
        <f t="shared" si="0"/>
        <v>60053</v>
      </c>
      <c r="B62" s="1">
        <v>65</v>
      </c>
      <c r="C62" s="1">
        <v>13</v>
      </c>
      <c r="D62" s="1">
        <v>6005</v>
      </c>
      <c r="E62" s="1" t="s">
        <v>43</v>
      </c>
      <c r="F62" s="1" t="s">
        <v>36</v>
      </c>
      <c r="G62" s="1" t="s">
        <v>61</v>
      </c>
      <c r="H62" s="1" t="s">
        <v>62</v>
      </c>
      <c r="I62" s="1" t="s">
        <v>228</v>
      </c>
      <c r="J62" s="1" t="s">
        <v>229</v>
      </c>
      <c r="K62" s="1">
        <v>12</v>
      </c>
      <c r="L62" s="1" t="s">
        <v>64</v>
      </c>
      <c r="M62" s="1" t="str">
        <f>VLOOKUP(D62,HORARIOS!B:H,7,0)</f>
        <v>Día 1</v>
      </c>
      <c r="N62" s="1">
        <f>VLOOKUP(D62,HORARIOS!B:I,8,0)</f>
        <v>3</v>
      </c>
      <c r="O62" s="1" t="str">
        <f>VLOOKUP(A62,HORARIOS!A:D,4,0)</f>
        <v>11:30 hrs</v>
      </c>
      <c r="P62" s="9" t="str">
        <f>VLOOKUP(A62,HORARIOS!A:E,5,0)</f>
        <v>15:00 hrs</v>
      </c>
    </row>
    <row r="63" spans="1:16" ht="15.75" customHeight="1" x14ac:dyDescent="0.25">
      <c r="A63" s="1" t="str">
        <f t="shared" si="0"/>
        <v>60053</v>
      </c>
      <c r="B63" s="1">
        <v>66</v>
      </c>
      <c r="C63" s="1">
        <v>13</v>
      </c>
      <c r="D63" s="1">
        <v>6005</v>
      </c>
      <c r="E63" s="1" t="s">
        <v>43</v>
      </c>
      <c r="F63" s="1" t="s">
        <v>36</v>
      </c>
      <c r="G63" s="1" t="s">
        <v>72</v>
      </c>
      <c r="H63" s="1" t="s">
        <v>73</v>
      </c>
      <c r="I63" s="1" t="s">
        <v>230</v>
      </c>
      <c r="J63" s="1" t="s">
        <v>230</v>
      </c>
      <c r="K63" s="1">
        <v>12</v>
      </c>
      <c r="M63" s="1" t="str">
        <f>VLOOKUP(D63,HORARIOS!B:H,7,0)</f>
        <v>Día 1</v>
      </c>
      <c r="N63" s="1">
        <f>VLOOKUP(D63,HORARIOS!B:I,8,0)</f>
        <v>3</v>
      </c>
      <c r="O63" s="1" t="str">
        <f>VLOOKUP(A63,HORARIOS!A:D,4,0)</f>
        <v>11:30 hrs</v>
      </c>
      <c r="P63" s="9" t="str">
        <f>VLOOKUP(A63,HORARIOS!A:E,5,0)</f>
        <v>15:00 hrs</v>
      </c>
    </row>
    <row r="64" spans="1:16" ht="15.75" customHeight="1" x14ac:dyDescent="0.25">
      <c r="A64" s="1" t="str">
        <f t="shared" si="0"/>
        <v>60053</v>
      </c>
      <c r="B64" s="1">
        <v>67</v>
      </c>
      <c r="C64" s="1">
        <v>13</v>
      </c>
      <c r="D64" s="1">
        <v>6005</v>
      </c>
      <c r="E64" s="1" t="s">
        <v>43</v>
      </c>
      <c r="F64" s="1" t="s">
        <v>36</v>
      </c>
      <c r="G64" s="1" t="s">
        <v>88</v>
      </c>
      <c r="H64" s="1" t="s">
        <v>90</v>
      </c>
      <c r="I64" s="1" t="s">
        <v>231</v>
      </c>
      <c r="J64" s="1" t="s">
        <v>231</v>
      </c>
      <c r="K64" s="1">
        <v>12</v>
      </c>
      <c r="M64" s="1" t="str">
        <f>VLOOKUP(D64,HORARIOS!B:H,7,0)</f>
        <v>Día 1</v>
      </c>
      <c r="N64" s="1">
        <f>VLOOKUP(D64,HORARIOS!B:I,8,0)</f>
        <v>3</v>
      </c>
      <c r="O64" s="1" t="str">
        <f>VLOOKUP(A64,HORARIOS!A:D,4,0)</f>
        <v>11:30 hrs</v>
      </c>
      <c r="P64" s="9" t="str">
        <f>VLOOKUP(A64,HORARIOS!A:E,5,0)</f>
        <v>15:00 hrs</v>
      </c>
    </row>
    <row r="65" spans="1:16" ht="15.75" customHeight="1" x14ac:dyDescent="0.25">
      <c r="A65" s="1" t="str">
        <f t="shared" si="0"/>
        <v>60053</v>
      </c>
      <c r="B65" s="1">
        <v>68</v>
      </c>
      <c r="C65" s="1">
        <v>13</v>
      </c>
      <c r="D65" s="1">
        <v>6005</v>
      </c>
      <c r="E65" s="1" t="s">
        <v>43</v>
      </c>
      <c r="F65" s="1" t="s">
        <v>36</v>
      </c>
      <c r="G65" s="1" t="s">
        <v>96</v>
      </c>
      <c r="H65" s="1" t="s">
        <v>62</v>
      </c>
      <c r="I65" s="1" t="s">
        <v>232</v>
      </c>
      <c r="J65" s="1" t="s">
        <v>233</v>
      </c>
      <c r="K65" s="1">
        <v>12</v>
      </c>
      <c r="M65" s="1" t="str">
        <f>VLOOKUP(D65,HORARIOS!B:H,7,0)</f>
        <v>Día 1</v>
      </c>
      <c r="N65" s="1">
        <f>VLOOKUP(D65,HORARIOS!B:I,8,0)</f>
        <v>3</v>
      </c>
      <c r="O65" s="1" t="str">
        <f>VLOOKUP(A65,HORARIOS!A:D,4,0)</f>
        <v>11:30 hrs</v>
      </c>
      <c r="P65" s="9" t="str">
        <f>VLOOKUP(A65,HORARIOS!A:E,5,0)</f>
        <v>15:00 hrs</v>
      </c>
    </row>
    <row r="66" spans="1:16" ht="15.75" customHeight="1" x14ac:dyDescent="0.25">
      <c r="A66" s="1" t="str">
        <f t="shared" si="0"/>
        <v>60053</v>
      </c>
      <c r="B66" s="1">
        <v>69</v>
      </c>
      <c r="C66" s="1">
        <v>13</v>
      </c>
      <c r="D66" s="1">
        <v>6005</v>
      </c>
      <c r="E66" s="1" t="s">
        <v>43</v>
      </c>
      <c r="F66" s="1" t="s">
        <v>36</v>
      </c>
      <c r="G66" s="1" t="s">
        <v>98</v>
      </c>
      <c r="H66" s="1" t="s">
        <v>99</v>
      </c>
      <c r="I66" s="1" t="s">
        <v>234</v>
      </c>
      <c r="J66" s="1" t="s">
        <v>234</v>
      </c>
      <c r="K66" s="1">
        <v>12</v>
      </c>
      <c r="L66" s="1" t="s">
        <v>101</v>
      </c>
      <c r="M66" s="1" t="str">
        <f>VLOOKUP(D66,HORARIOS!B:H,7,0)</f>
        <v>Día 1</v>
      </c>
      <c r="N66" s="1">
        <f>VLOOKUP(D66,HORARIOS!B:I,8,0)</f>
        <v>3</v>
      </c>
      <c r="O66" s="1" t="str">
        <f>VLOOKUP(A66,HORARIOS!A:D,4,0)</f>
        <v>11:30 hrs</v>
      </c>
      <c r="P66" s="9" t="str">
        <f>VLOOKUP(A66,HORARIOS!A:E,5,0)</f>
        <v>15:00 hrs</v>
      </c>
    </row>
    <row r="67" spans="1:16" ht="15.75" customHeight="1" x14ac:dyDescent="0.25">
      <c r="A67" s="1" t="str">
        <f t="shared" si="0"/>
        <v>60053</v>
      </c>
      <c r="B67" s="1">
        <v>70</v>
      </c>
      <c r="C67" s="1">
        <v>13</v>
      </c>
      <c r="D67" s="1">
        <v>6005</v>
      </c>
      <c r="E67" s="1" t="s">
        <v>43</v>
      </c>
      <c r="F67" s="1" t="s">
        <v>36</v>
      </c>
      <c r="G67" s="1" t="s">
        <v>98</v>
      </c>
      <c r="H67" s="1" t="s">
        <v>99</v>
      </c>
      <c r="I67" s="1" t="s">
        <v>235</v>
      </c>
      <c r="J67" s="1" t="s">
        <v>235</v>
      </c>
      <c r="K67" s="1">
        <v>12</v>
      </c>
      <c r="L67" s="1" t="s">
        <v>101</v>
      </c>
      <c r="M67" s="1" t="str">
        <f>VLOOKUP(D67,HORARIOS!B:H,7,0)</f>
        <v>Día 1</v>
      </c>
      <c r="N67" s="1">
        <f>VLOOKUP(D67,HORARIOS!B:I,8,0)</f>
        <v>3</v>
      </c>
      <c r="O67" s="1" t="str">
        <f>VLOOKUP(A67,HORARIOS!A:D,4,0)</f>
        <v>11:30 hrs</v>
      </c>
      <c r="P67" s="9" t="str">
        <f>VLOOKUP(A67,HORARIOS!A:E,5,0)</f>
        <v>15:00 hrs</v>
      </c>
    </row>
    <row r="68" spans="1:16" ht="15.75" customHeight="1" x14ac:dyDescent="0.25">
      <c r="A68" s="1" t="str">
        <f t="shared" si="0"/>
        <v>60053</v>
      </c>
      <c r="B68" s="1">
        <v>71</v>
      </c>
      <c r="C68" s="1">
        <v>13</v>
      </c>
      <c r="D68" s="1">
        <v>6005</v>
      </c>
      <c r="E68" s="1" t="s">
        <v>43</v>
      </c>
      <c r="F68" s="1" t="s">
        <v>36</v>
      </c>
      <c r="G68" s="1" t="s">
        <v>98</v>
      </c>
      <c r="H68" s="1" t="s">
        <v>99</v>
      </c>
      <c r="I68" s="1" t="s">
        <v>236</v>
      </c>
      <c r="J68" s="1" t="s">
        <v>236</v>
      </c>
      <c r="K68" s="1">
        <v>12</v>
      </c>
      <c r="L68" s="1" t="s">
        <v>101</v>
      </c>
      <c r="M68" s="1" t="str">
        <f>VLOOKUP(D68,HORARIOS!B:H,7,0)</f>
        <v>Día 1</v>
      </c>
      <c r="N68" s="1">
        <f>VLOOKUP(D68,HORARIOS!B:I,8,0)</f>
        <v>3</v>
      </c>
      <c r="O68" s="1" t="str">
        <f>VLOOKUP(A68,HORARIOS!A:D,4,0)</f>
        <v>11:30 hrs</v>
      </c>
      <c r="P68" s="9" t="str">
        <f>VLOOKUP(A68,HORARIOS!A:E,5,0)</f>
        <v>15:00 hrs</v>
      </c>
    </row>
    <row r="69" spans="1:16" ht="15.75" customHeight="1" x14ac:dyDescent="0.25">
      <c r="A69" s="1" t="str">
        <f t="shared" si="0"/>
        <v>60053</v>
      </c>
      <c r="B69" s="1">
        <v>72</v>
      </c>
      <c r="C69" s="1">
        <v>13</v>
      </c>
      <c r="D69" s="1">
        <v>6005</v>
      </c>
      <c r="E69" s="1" t="s">
        <v>43</v>
      </c>
      <c r="F69" s="1" t="s">
        <v>36</v>
      </c>
      <c r="G69" s="1" t="s">
        <v>114</v>
      </c>
      <c r="H69" s="1" t="s">
        <v>39</v>
      </c>
      <c r="I69" s="1" t="s">
        <v>52</v>
      </c>
      <c r="J69" s="1" t="s">
        <v>52</v>
      </c>
      <c r="K69" s="1">
        <v>2</v>
      </c>
      <c r="L69" s="1" t="s">
        <v>115</v>
      </c>
      <c r="M69" s="1" t="str">
        <f>VLOOKUP(D69,HORARIOS!B:H,7,0)</f>
        <v>Día 1</v>
      </c>
      <c r="N69" s="1">
        <f>VLOOKUP(D69,HORARIOS!B:I,8,0)</f>
        <v>3</v>
      </c>
      <c r="O69" s="1" t="str">
        <f>VLOOKUP(A69,HORARIOS!A:D,4,0)</f>
        <v>11:30 hrs</v>
      </c>
      <c r="P69" s="9" t="str">
        <f>VLOOKUP(A69,HORARIOS!A:E,5,0)</f>
        <v>15:00 hrs</v>
      </c>
    </row>
    <row r="70" spans="1:16" ht="15.75" customHeight="1" x14ac:dyDescent="0.25">
      <c r="A70" s="1" t="str">
        <f t="shared" si="0"/>
        <v>60053</v>
      </c>
      <c r="B70" s="1">
        <v>74</v>
      </c>
      <c r="C70" s="1">
        <v>13</v>
      </c>
      <c r="D70" s="1">
        <v>6005</v>
      </c>
      <c r="E70" s="1" t="s">
        <v>43</v>
      </c>
      <c r="F70" s="1" t="s">
        <v>36</v>
      </c>
      <c r="G70" s="1" t="s">
        <v>134</v>
      </c>
      <c r="H70" s="1" t="s">
        <v>135</v>
      </c>
      <c r="I70" s="1" t="s">
        <v>237</v>
      </c>
      <c r="J70" s="1" t="s">
        <v>237</v>
      </c>
      <c r="K70" s="1">
        <v>12</v>
      </c>
      <c r="L70" s="1" t="s">
        <v>138</v>
      </c>
      <c r="M70" s="1" t="str">
        <f>VLOOKUP(D70,HORARIOS!B:H,7,0)</f>
        <v>Día 1</v>
      </c>
      <c r="N70" s="1">
        <f>VLOOKUP(D70,HORARIOS!B:I,8,0)</f>
        <v>3</v>
      </c>
      <c r="O70" s="1" t="str">
        <f>VLOOKUP(A70,HORARIOS!A:D,4,0)</f>
        <v>11:30 hrs</v>
      </c>
      <c r="P70" s="9" t="str">
        <f>VLOOKUP(A70,HORARIOS!A:E,5,0)</f>
        <v>15:00 hrs</v>
      </c>
    </row>
    <row r="71" spans="1:16" ht="15.75" customHeight="1" x14ac:dyDescent="0.25">
      <c r="A71" s="1" t="str">
        <f t="shared" si="0"/>
        <v>60053</v>
      </c>
      <c r="B71" s="1">
        <v>75</v>
      </c>
      <c r="C71" s="1">
        <v>13</v>
      </c>
      <c r="D71" s="1">
        <v>6005</v>
      </c>
      <c r="E71" s="1" t="s">
        <v>43</v>
      </c>
      <c r="F71" s="1" t="s">
        <v>36</v>
      </c>
      <c r="G71" s="1" t="s">
        <v>145</v>
      </c>
      <c r="H71" s="1" t="s">
        <v>52</v>
      </c>
      <c r="I71" s="1" t="s">
        <v>238</v>
      </c>
      <c r="J71" s="1" t="s">
        <v>238</v>
      </c>
      <c r="K71" s="1">
        <v>12</v>
      </c>
      <c r="M71" s="1" t="str">
        <f>VLOOKUP(D71,HORARIOS!B:H,7,0)</f>
        <v>Día 1</v>
      </c>
      <c r="N71" s="1">
        <f>VLOOKUP(D71,HORARIOS!B:I,8,0)</f>
        <v>3</v>
      </c>
      <c r="O71" s="1" t="str">
        <f>VLOOKUP(A71,HORARIOS!A:D,4,0)</f>
        <v>11:30 hrs</v>
      </c>
      <c r="P71" s="9" t="str">
        <f>VLOOKUP(A71,HORARIOS!A:E,5,0)</f>
        <v>15:00 hrs</v>
      </c>
    </row>
    <row r="72" spans="1:16" ht="15.75" customHeight="1" x14ac:dyDescent="0.25">
      <c r="A72" s="1" t="str">
        <f t="shared" si="0"/>
        <v>60053</v>
      </c>
      <c r="B72" s="1">
        <v>76</v>
      </c>
      <c r="C72" s="1">
        <v>13</v>
      </c>
      <c r="D72" s="1">
        <v>6005</v>
      </c>
      <c r="E72" s="1" t="s">
        <v>43</v>
      </c>
      <c r="F72" s="1" t="s">
        <v>36</v>
      </c>
      <c r="G72" s="1" t="s">
        <v>159</v>
      </c>
      <c r="H72" s="1" t="s">
        <v>160</v>
      </c>
      <c r="I72" s="1" t="s">
        <v>239</v>
      </c>
      <c r="J72" s="1" t="s">
        <v>239</v>
      </c>
      <c r="K72" s="1">
        <v>12</v>
      </c>
      <c r="M72" s="1" t="str">
        <f>VLOOKUP(D72,HORARIOS!B:H,7,0)</f>
        <v>Día 1</v>
      </c>
      <c r="N72" s="1">
        <f>VLOOKUP(D72,HORARIOS!B:I,8,0)</f>
        <v>3</v>
      </c>
      <c r="O72" s="1" t="str">
        <f>VLOOKUP(A72,HORARIOS!A:D,4,0)</f>
        <v>11:30 hrs</v>
      </c>
      <c r="P72" s="9" t="str">
        <f>VLOOKUP(A72,HORARIOS!A:E,5,0)</f>
        <v>15:00 hrs</v>
      </c>
    </row>
    <row r="73" spans="1:16" ht="15.75" customHeight="1" x14ac:dyDescent="0.25">
      <c r="A73" s="1" t="str">
        <f t="shared" si="0"/>
        <v>60067</v>
      </c>
      <c r="B73" s="1">
        <v>77</v>
      </c>
      <c r="C73" s="1">
        <v>13</v>
      </c>
      <c r="D73" s="1">
        <v>6006</v>
      </c>
      <c r="E73" s="1" t="s">
        <v>44</v>
      </c>
      <c r="F73" s="1" t="s">
        <v>36</v>
      </c>
      <c r="G73" s="1" t="s">
        <v>37</v>
      </c>
      <c r="H73" s="1" t="s">
        <v>39</v>
      </c>
      <c r="I73" s="1" t="s">
        <v>240</v>
      </c>
      <c r="J73" s="1" t="s">
        <v>240</v>
      </c>
      <c r="K73" s="1">
        <v>12</v>
      </c>
      <c r="L73" s="1" t="s">
        <v>41</v>
      </c>
      <c r="M73" s="1" t="str">
        <f>VLOOKUP(D73,HORARIOS!B:H,7,0)</f>
        <v>Día 2</v>
      </c>
      <c r="N73" s="1">
        <f>VLOOKUP(D73,HORARIOS!B:I,8,0)</f>
        <v>7</v>
      </c>
      <c r="O73" s="1" t="str">
        <f>VLOOKUP(A73,HORARIOS!A:D,4,0)</f>
        <v>08:00 hrs</v>
      </c>
      <c r="P73" s="9" t="str">
        <f>VLOOKUP(A73,HORARIOS!A:E,5,0)</f>
        <v>12:00 hrs</v>
      </c>
    </row>
    <row r="74" spans="1:16" ht="15.75" customHeight="1" x14ac:dyDescent="0.25">
      <c r="A74" s="1" t="str">
        <f t="shared" si="0"/>
        <v>60067</v>
      </c>
      <c r="B74" s="1">
        <v>78</v>
      </c>
      <c r="C74" s="1">
        <v>13</v>
      </c>
      <c r="D74" s="1">
        <v>6006</v>
      </c>
      <c r="E74" s="1" t="s">
        <v>44</v>
      </c>
      <c r="F74" s="1" t="s">
        <v>36</v>
      </c>
      <c r="G74" s="1" t="s">
        <v>51</v>
      </c>
      <c r="H74" s="1" t="s">
        <v>52</v>
      </c>
      <c r="I74" s="1" t="s">
        <v>241</v>
      </c>
      <c r="J74" s="1" t="s">
        <v>241</v>
      </c>
      <c r="K74" s="1">
        <v>12</v>
      </c>
      <c r="M74" s="1" t="str">
        <f>VLOOKUP(D74,HORARIOS!B:H,7,0)</f>
        <v>Día 2</v>
      </c>
      <c r="N74" s="1">
        <f>VLOOKUP(D74,HORARIOS!B:I,8,0)</f>
        <v>7</v>
      </c>
      <c r="O74" s="1" t="str">
        <f>VLOOKUP(A74,HORARIOS!A:D,4,0)</f>
        <v>08:00 hrs</v>
      </c>
      <c r="P74" s="9" t="str">
        <f>VLOOKUP(A74,HORARIOS!A:E,5,0)</f>
        <v>12:00 hrs</v>
      </c>
    </row>
    <row r="75" spans="1:16" ht="15.75" customHeight="1" x14ac:dyDescent="0.25">
      <c r="A75" s="1" t="str">
        <f t="shared" si="0"/>
        <v>60067</v>
      </c>
      <c r="B75" s="1">
        <v>79</v>
      </c>
      <c r="C75" s="1">
        <v>13</v>
      </c>
      <c r="D75" s="1">
        <v>6006</v>
      </c>
      <c r="E75" s="1" t="s">
        <v>44</v>
      </c>
      <c r="F75" s="1" t="s">
        <v>36</v>
      </c>
      <c r="G75" s="1" t="s">
        <v>61</v>
      </c>
      <c r="H75" s="1" t="s">
        <v>62</v>
      </c>
      <c r="I75" s="1" t="s">
        <v>242</v>
      </c>
      <c r="J75" s="1" t="s">
        <v>243</v>
      </c>
      <c r="K75" s="1">
        <v>12</v>
      </c>
      <c r="L75" s="1" t="s">
        <v>64</v>
      </c>
      <c r="M75" s="1" t="str">
        <f>VLOOKUP(D75,HORARIOS!B:H,7,0)</f>
        <v>Día 2</v>
      </c>
      <c r="N75" s="1">
        <f>VLOOKUP(D75,HORARIOS!B:I,8,0)</f>
        <v>7</v>
      </c>
      <c r="O75" s="1" t="str">
        <f>VLOOKUP(A75,HORARIOS!A:D,4,0)</f>
        <v>08:00 hrs</v>
      </c>
      <c r="P75" s="9" t="str">
        <f>VLOOKUP(A75,HORARIOS!A:E,5,0)</f>
        <v>12:00 hrs</v>
      </c>
    </row>
    <row r="76" spans="1:16" ht="15.75" customHeight="1" x14ac:dyDescent="0.25">
      <c r="A76" s="1" t="str">
        <f t="shared" si="0"/>
        <v>60067</v>
      </c>
      <c r="B76" s="1">
        <v>80</v>
      </c>
      <c r="C76" s="1">
        <v>13</v>
      </c>
      <c r="D76" s="1">
        <v>6006</v>
      </c>
      <c r="E76" s="1" t="s">
        <v>44</v>
      </c>
      <c r="F76" s="1" t="s">
        <v>36</v>
      </c>
      <c r="G76" s="1" t="s">
        <v>72</v>
      </c>
      <c r="H76" s="1" t="s">
        <v>73</v>
      </c>
      <c r="I76" s="1" t="s">
        <v>244</v>
      </c>
      <c r="J76" s="1" t="s">
        <v>245</v>
      </c>
      <c r="K76" s="1">
        <v>12</v>
      </c>
      <c r="M76" s="1" t="str">
        <f>VLOOKUP(D76,HORARIOS!B:H,7,0)</f>
        <v>Día 2</v>
      </c>
      <c r="N76" s="1">
        <f>VLOOKUP(D76,HORARIOS!B:I,8,0)</f>
        <v>7</v>
      </c>
      <c r="O76" s="1" t="str">
        <f>VLOOKUP(A76,HORARIOS!A:D,4,0)</f>
        <v>08:00 hrs</v>
      </c>
      <c r="P76" s="9" t="str">
        <f>VLOOKUP(A76,HORARIOS!A:E,5,0)</f>
        <v>12:00 hrs</v>
      </c>
    </row>
    <row r="77" spans="1:16" ht="15.75" customHeight="1" x14ac:dyDescent="0.25">
      <c r="A77" s="1" t="str">
        <f t="shared" si="0"/>
        <v>60067</v>
      </c>
      <c r="B77" s="1">
        <v>82</v>
      </c>
      <c r="C77" s="1">
        <v>13</v>
      </c>
      <c r="D77" s="1">
        <v>6006</v>
      </c>
      <c r="E77" s="1" t="s">
        <v>44</v>
      </c>
      <c r="F77" s="1" t="s">
        <v>36</v>
      </c>
      <c r="G77" s="1" t="s">
        <v>88</v>
      </c>
      <c r="H77" s="1" t="s">
        <v>90</v>
      </c>
      <c r="I77" s="1" t="s">
        <v>246</v>
      </c>
      <c r="J77" s="1" t="s">
        <v>247</v>
      </c>
      <c r="K77" s="1">
        <v>12</v>
      </c>
      <c r="M77" s="1" t="str">
        <f>VLOOKUP(D77,HORARIOS!B:H,7,0)</f>
        <v>Día 2</v>
      </c>
      <c r="N77" s="1">
        <f>VLOOKUP(D77,HORARIOS!B:I,8,0)</f>
        <v>7</v>
      </c>
      <c r="O77" s="1" t="str">
        <f>VLOOKUP(A77,HORARIOS!A:D,4,0)</f>
        <v>08:00 hrs</v>
      </c>
      <c r="P77" s="9" t="str">
        <f>VLOOKUP(A77,HORARIOS!A:E,5,0)</f>
        <v>12:00 hrs</v>
      </c>
    </row>
    <row r="78" spans="1:16" ht="15.75" customHeight="1" x14ac:dyDescent="0.25">
      <c r="A78" s="1" t="str">
        <f t="shared" si="0"/>
        <v>60067</v>
      </c>
      <c r="B78" s="1">
        <v>83</v>
      </c>
      <c r="C78" s="1">
        <v>13</v>
      </c>
      <c r="D78" s="1">
        <v>6006</v>
      </c>
      <c r="E78" s="1" t="s">
        <v>44</v>
      </c>
      <c r="F78" s="1" t="s">
        <v>36</v>
      </c>
      <c r="G78" s="1" t="s">
        <v>96</v>
      </c>
      <c r="H78" s="1" t="s">
        <v>62</v>
      </c>
      <c r="I78" s="1" t="s">
        <v>248</v>
      </c>
      <c r="J78" s="1" t="s">
        <v>249</v>
      </c>
      <c r="K78" s="1">
        <v>12</v>
      </c>
      <c r="M78" s="1" t="str">
        <f>VLOOKUP(D78,HORARIOS!B:H,7,0)</f>
        <v>Día 2</v>
      </c>
      <c r="N78" s="1">
        <f>VLOOKUP(D78,HORARIOS!B:I,8,0)</f>
        <v>7</v>
      </c>
      <c r="O78" s="1" t="str">
        <f>VLOOKUP(A78,HORARIOS!A:D,4,0)</f>
        <v>08:00 hrs</v>
      </c>
      <c r="P78" s="9" t="str">
        <f>VLOOKUP(A78,HORARIOS!A:E,5,0)</f>
        <v>12:00 hrs</v>
      </c>
    </row>
    <row r="79" spans="1:16" ht="15.75" customHeight="1" x14ac:dyDescent="0.25">
      <c r="A79" s="1" t="str">
        <f t="shared" si="0"/>
        <v>60067</v>
      </c>
      <c r="B79" s="1">
        <v>84</v>
      </c>
      <c r="C79" s="1">
        <v>13</v>
      </c>
      <c r="D79" s="1">
        <v>6006</v>
      </c>
      <c r="E79" s="1" t="s">
        <v>44</v>
      </c>
      <c r="F79" s="1" t="s">
        <v>36</v>
      </c>
      <c r="G79" s="1" t="s">
        <v>98</v>
      </c>
      <c r="H79" s="1" t="s">
        <v>99</v>
      </c>
      <c r="I79" s="1" t="s">
        <v>250</v>
      </c>
      <c r="J79" s="1" t="s">
        <v>250</v>
      </c>
      <c r="K79" s="1">
        <v>12</v>
      </c>
      <c r="L79" s="1" t="s">
        <v>101</v>
      </c>
      <c r="M79" s="1" t="str">
        <f>VLOOKUP(D79,HORARIOS!B:H,7,0)</f>
        <v>Día 2</v>
      </c>
      <c r="N79" s="1">
        <f>VLOOKUP(D79,HORARIOS!B:I,8,0)</f>
        <v>7</v>
      </c>
      <c r="O79" s="1" t="str">
        <f>VLOOKUP(A79,HORARIOS!A:D,4,0)</f>
        <v>08:00 hrs</v>
      </c>
      <c r="P79" s="9" t="str">
        <f>VLOOKUP(A79,HORARIOS!A:E,5,0)</f>
        <v>12:00 hrs</v>
      </c>
    </row>
    <row r="80" spans="1:16" ht="15.75" customHeight="1" x14ac:dyDescent="0.25">
      <c r="A80" s="1" t="str">
        <f t="shared" si="0"/>
        <v>60067</v>
      </c>
      <c r="B80" s="1">
        <v>85</v>
      </c>
      <c r="C80" s="1">
        <v>13</v>
      </c>
      <c r="D80" s="1">
        <v>6006</v>
      </c>
      <c r="E80" s="1" t="s">
        <v>44</v>
      </c>
      <c r="F80" s="1" t="s">
        <v>36</v>
      </c>
      <c r="G80" s="1" t="s">
        <v>98</v>
      </c>
      <c r="H80" s="1" t="s">
        <v>99</v>
      </c>
      <c r="I80" s="1" t="s">
        <v>251</v>
      </c>
      <c r="J80" s="1" t="s">
        <v>251</v>
      </c>
      <c r="K80" s="1">
        <v>12</v>
      </c>
      <c r="L80" s="1" t="s">
        <v>101</v>
      </c>
      <c r="M80" s="1" t="str">
        <f>VLOOKUP(D80,HORARIOS!B:H,7,0)</f>
        <v>Día 2</v>
      </c>
      <c r="N80" s="1">
        <f>VLOOKUP(D80,HORARIOS!B:I,8,0)</f>
        <v>7</v>
      </c>
      <c r="O80" s="1" t="str">
        <f>VLOOKUP(A80,HORARIOS!A:D,4,0)</f>
        <v>08:00 hrs</v>
      </c>
      <c r="P80" s="9" t="str">
        <f>VLOOKUP(A80,HORARIOS!A:E,5,0)</f>
        <v>12:00 hrs</v>
      </c>
    </row>
    <row r="81" spans="1:16" ht="15.75" customHeight="1" x14ac:dyDescent="0.25">
      <c r="A81" s="1" t="str">
        <f t="shared" si="0"/>
        <v>60067</v>
      </c>
      <c r="B81" s="1">
        <v>86</v>
      </c>
      <c r="C81" s="1">
        <v>13</v>
      </c>
      <c r="D81" s="1">
        <v>6006</v>
      </c>
      <c r="E81" s="1" t="s">
        <v>44</v>
      </c>
      <c r="F81" s="1" t="s">
        <v>36</v>
      </c>
      <c r="G81" s="1" t="s">
        <v>98</v>
      </c>
      <c r="H81" s="1" t="s">
        <v>99</v>
      </c>
      <c r="I81" s="1" t="s">
        <v>252</v>
      </c>
      <c r="J81" s="1" t="s">
        <v>252</v>
      </c>
      <c r="K81" s="1">
        <v>12</v>
      </c>
      <c r="L81" s="1" t="s">
        <v>101</v>
      </c>
      <c r="M81" s="1" t="str">
        <f>VLOOKUP(D81,HORARIOS!B:H,7,0)</f>
        <v>Día 2</v>
      </c>
      <c r="N81" s="1">
        <f>VLOOKUP(D81,HORARIOS!B:I,8,0)</f>
        <v>7</v>
      </c>
      <c r="O81" s="1" t="str">
        <f>VLOOKUP(A81,HORARIOS!A:D,4,0)</f>
        <v>08:00 hrs</v>
      </c>
      <c r="P81" s="9" t="str">
        <f>VLOOKUP(A81,HORARIOS!A:E,5,0)</f>
        <v>12:00 hrs</v>
      </c>
    </row>
    <row r="82" spans="1:16" ht="15.75" customHeight="1" x14ac:dyDescent="0.25">
      <c r="A82" s="1" t="str">
        <f t="shared" si="0"/>
        <v>60067</v>
      </c>
      <c r="B82" s="1">
        <v>87</v>
      </c>
      <c r="C82" s="1">
        <v>13</v>
      </c>
      <c r="D82" s="1">
        <v>6006</v>
      </c>
      <c r="E82" s="1" t="s">
        <v>44</v>
      </c>
      <c r="F82" s="1" t="s">
        <v>36</v>
      </c>
      <c r="G82" s="1" t="s">
        <v>114</v>
      </c>
      <c r="H82" s="1" t="s">
        <v>39</v>
      </c>
      <c r="I82" s="1" t="s">
        <v>52</v>
      </c>
      <c r="J82" s="1" t="s">
        <v>52</v>
      </c>
      <c r="K82" s="1">
        <v>2</v>
      </c>
      <c r="L82" s="1" t="s">
        <v>115</v>
      </c>
      <c r="M82" s="1" t="str">
        <f>VLOOKUP(D82,HORARIOS!B:H,7,0)</f>
        <v>Día 2</v>
      </c>
      <c r="N82" s="1">
        <f>VLOOKUP(D82,HORARIOS!B:I,8,0)</f>
        <v>7</v>
      </c>
      <c r="O82" s="1" t="str">
        <f>VLOOKUP(A82,HORARIOS!A:D,4,0)</f>
        <v>08:00 hrs</v>
      </c>
      <c r="P82" s="9" t="str">
        <f>VLOOKUP(A82,HORARIOS!A:E,5,0)</f>
        <v>12:00 hrs</v>
      </c>
    </row>
    <row r="83" spans="1:16" ht="15.75" customHeight="1" x14ac:dyDescent="0.25">
      <c r="A83" s="1" t="str">
        <f t="shared" si="0"/>
        <v>60067</v>
      </c>
      <c r="B83" s="1">
        <v>88</v>
      </c>
      <c r="C83" s="1">
        <v>13</v>
      </c>
      <c r="D83" s="1">
        <v>6006</v>
      </c>
      <c r="E83" s="1" t="s">
        <v>44</v>
      </c>
      <c r="F83" s="1" t="s">
        <v>36</v>
      </c>
      <c r="G83" s="1" t="s">
        <v>134</v>
      </c>
      <c r="H83" s="1" t="s">
        <v>135</v>
      </c>
      <c r="I83" s="1" t="s">
        <v>253</v>
      </c>
      <c r="J83" s="1" t="s">
        <v>253</v>
      </c>
      <c r="K83" s="1">
        <v>12</v>
      </c>
      <c r="L83" s="1" t="s">
        <v>138</v>
      </c>
      <c r="M83" s="1" t="str">
        <f>VLOOKUP(D83,HORARIOS!B:H,7,0)</f>
        <v>Día 2</v>
      </c>
      <c r="N83" s="1">
        <f>VLOOKUP(D83,HORARIOS!B:I,8,0)</f>
        <v>7</v>
      </c>
      <c r="O83" s="1" t="str">
        <f>VLOOKUP(A83,HORARIOS!A:D,4,0)</f>
        <v>08:00 hrs</v>
      </c>
      <c r="P83" s="9" t="str">
        <f>VLOOKUP(A83,HORARIOS!A:E,5,0)</f>
        <v>12:00 hrs</v>
      </c>
    </row>
    <row r="84" spans="1:16" ht="15.75" customHeight="1" x14ac:dyDescent="0.25">
      <c r="A84" s="1" t="str">
        <f t="shared" si="0"/>
        <v>60067</v>
      </c>
      <c r="B84" s="1">
        <v>89</v>
      </c>
      <c r="C84" s="1">
        <v>13</v>
      </c>
      <c r="D84" s="1">
        <v>6006</v>
      </c>
      <c r="E84" s="1" t="s">
        <v>44</v>
      </c>
      <c r="F84" s="1" t="s">
        <v>36</v>
      </c>
      <c r="G84" s="1" t="s">
        <v>145</v>
      </c>
      <c r="H84" s="1" t="s">
        <v>52</v>
      </c>
      <c r="I84" s="1" t="s">
        <v>254</v>
      </c>
      <c r="J84" s="1" t="s">
        <v>254</v>
      </c>
      <c r="K84" s="1">
        <v>12</v>
      </c>
      <c r="M84" s="1" t="str">
        <f>VLOOKUP(D84,HORARIOS!B:H,7,0)</f>
        <v>Día 2</v>
      </c>
      <c r="N84" s="1">
        <f>VLOOKUP(D84,HORARIOS!B:I,8,0)</f>
        <v>7</v>
      </c>
      <c r="O84" s="1" t="str">
        <f>VLOOKUP(A84,HORARIOS!A:D,4,0)</f>
        <v>08:00 hrs</v>
      </c>
      <c r="P84" s="9" t="str">
        <f>VLOOKUP(A84,HORARIOS!A:E,5,0)</f>
        <v>12:00 hrs</v>
      </c>
    </row>
    <row r="85" spans="1:16" ht="15.75" customHeight="1" x14ac:dyDescent="0.25">
      <c r="A85" s="1" t="str">
        <f t="shared" si="0"/>
        <v>60067</v>
      </c>
      <c r="B85" s="1">
        <v>91</v>
      </c>
      <c r="C85" s="1">
        <v>13</v>
      </c>
      <c r="D85" s="1">
        <v>6006</v>
      </c>
      <c r="E85" s="1" t="s">
        <v>44</v>
      </c>
      <c r="F85" s="1" t="s">
        <v>36</v>
      </c>
      <c r="G85" s="1" t="s">
        <v>159</v>
      </c>
      <c r="H85" s="1" t="s">
        <v>160</v>
      </c>
      <c r="I85" s="1" t="s">
        <v>255</v>
      </c>
      <c r="J85" s="1" t="s">
        <v>255</v>
      </c>
      <c r="K85" s="1">
        <v>12</v>
      </c>
      <c r="M85" s="1" t="str">
        <f>VLOOKUP(D85,HORARIOS!B:H,7,0)</f>
        <v>Día 2</v>
      </c>
      <c r="N85" s="1">
        <f>VLOOKUP(D85,HORARIOS!B:I,8,0)</f>
        <v>7</v>
      </c>
      <c r="O85" s="1" t="str">
        <f>VLOOKUP(A85,HORARIOS!A:D,4,0)</f>
        <v>08:00 hrs</v>
      </c>
      <c r="P85" s="9" t="str">
        <f>VLOOKUP(A85,HORARIOS!A:E,5,0)</f>
        <v>12:00 hrs</v>
      </c>
    </row>
    <row r="86" spans="1:16" ht="15.75" customHeight="1" x14ac:dyDescent="0.25">
      <c r="A86" s="1" t="str">
        <f t="shared" si="0"/>
        <v>600731</v>
      </c>
      <c r="B86" s="1">
        <v>92</v>
      </c>
      <c r="C86" s="1">
        <v>15</v>
      </c>
      <c r="D86" s="1">
        <v>6007</v>
      </c>
      <c r="E86" s="1" t="s">
        <v>45</v>
      </c>
      <c r="F86" s="1" t="s">
        <v>36</v>
      </c>
      <c r="G86" s="1" t="s">
        <v>37</v>
      </c>
      <c r="H86" s="1" t="s">
        <v>39</v>
      </c>
      <c r="I86" s="1" t="s">
        <v>256</v>
      </c>
      <c r="J86" s="1" t="s">
        <v>256</v>
      </c>
      <c r="K86" s="1">
        <v>12</v>
      </c>
      <c r="L86" s="1" t="s">
        <v>41</v>
      </c>
      <c r="M86" s="1" t="str">
        <f>VLOOKUP(D86,HORARIOS!B:H,7,0)</f>
        <v>Dia 5</v>
      </c>
      <c r="N86" s="1">
        <f>VLOOKUP(D86,HORARIOS!B:I,8,0)</f>
        <v>31</v>
      </c>
      <c r="O86" s="1" t="str">
        <f>VLOOKUP(A86,HORARIOS!A:D,4,0)</f>
        <v>15:00 hrs</v>
      </c>
      <c r="P86" s="9" t="str">
        <f>VLOOKUP(A86,HORARIOS!A:E,5,0)</f>
        <v>19:30 hrs</v>
      </c>
    </row>
    <row r="87" spans="1:16" ht="15.75" customHeight="1" x14ac:dyDescent="0.25">
      <c r="A87" s="1" t="str">
        <f t="shared" si="0"/>
        <v>600731</v>
      </c>
      <c r="B87" s="1">
        <v>93</v>
      </c>
      <c r="C87" s="1">
        <v>15</v>
      </c>
      <c r="D87" s="1">
        <v>6007</v>
      </c>
      <c r="E87" s="1" t="s">
        <v>45</v>
      </c>
      <c r="F87" s="1" t="s">
        <v>36</v>
      </c>
      <c r="G87" s="1" t="s">
        <v>51</v>
      </c>
      <c r="H87" s="1" t="s">
        <v>52</v>
      </c>
      <c r="I87" s="1" t="s">
        <v>257</v>
      </c>
      <c r="J87" s="1" t="s">
        <v>257</v>
      </c>
      <c r="K87" s="1">
        <v>12</v>
      </c>
      <c r="M87" s="1" t="str">
        <f>VLOOKUP(D87,HORARIOS!B:H,7,0)</f>
        <v>Dia 5</v>
      </c>
      <c r="N87" s="1">
        <f>VLOOKUP(D87,HORARIOS!B:I,8,0)</f>
        <v>31</v>
      </c>
      <c r="O87" s="1" t="str">
        <f>VLOOKUP(A87,HORARIOS!A:D,4,0)</f>
        <v>15:00 hrs</v>
      </c>
      <c r="P87" s="9" t="str">
        <f>VLOOKUP(A87,HORARIOS!A:E,5,0)</f>
        <v>19:30 hrs</v>
      </c>
    </row>
    <row r="88" spans="1:16" ht="15.75" customHeight="1" x14ac:dyDescent="0.25">
      <c r="A88" s="1" t="str">
        <f t="shared" si="0"/>
        <v>600731</v>
      </c>
      <c r="B88" s="1">
        <v>94</v>
      </c>
      <c r="C88" s="1">
        <v>15</v>
      </c>
      <c r="D88" s="1">
        <v>6007</v>
      </c>
      <c r="E88" s="1" t="s">
        <v>45</v>
      </c>
      <c r="F88" s="1" t="s">
        <v>36</v>
      </c>
      <c r="G88" s="1" t="s">
        <v>61</v>
      </c>
      <c r="H88" s="1" t="s">
        <v>62</v>
      </c>
      <c r="I88" s="1" t="s">
        <v>258</v>
      </c>
      <c r="J88" s="1" t="s">
        <v>259</v>
      </c>
      <c r="K88" s="1">
        <v>12</v>
      </c>
      <c r="L88" s="1" t="s">
        <v>64</v>
      </c>
      <c r="M88" s="1" t="str">
        <f>VLOOKUP(D88,HORARIOS!B:H,7,0)</f>
        <v>Dia 5</v>
      </c>
      <c r="N88" s="1">
        <f>VLOOKUP(D88,HORARIOS!B:I,8,0)</f>
        <v>31</v>
      </c>
      <c r="O88" s="1" t="str">
        <f>VLOOKUP(A88,HORARIOS!A:D,4,0)</f>
        <v>15:00 hrs</v>
      </c>
      <c r="P88" s="9" t="str">
        <f>VLOOKUP(A88,HORARIOS!A:E,5,0)</f>
        <v>19:30 hrs</v>
      </c>
    </row>
    <row r="89" spans="1:16" ht="15.75" customHeight="1" x14ac:dyDescent="0.25">
      <c r="A89" s="1" t="str">
        <f t="shared" si="0"/>
        <v>600731</v>
      </c>
      <c r="B89" s="1">
        <v>95</v>
      </c>
      <c r="C89" s="1">
        <v>15</v>
      </c>
      <c r="D89" s="1">
        <v>6007</v>
      </c>
      <c r="E89" s="1" t="s">
        <v>45</v>
      </c>
      <c r="F89" s="1" t="s">
        <v>36</v>
      </c>
      <c r="G89" s="1" t="s">
        <v>72</v>
      </c>
      <c r="H89" s="1" t="s">
        <v>73</v>
      </c>
      <c r="I89" s="1" t="s">
        <v>260</v>
      </c>
      <c r="J89" s="1" t="s">
        <v>260</v>
      </c>
      <c r="K89" s="1">
        <v>12</v>
      </c>
      <c r="M89" s="1" t="str">
        <f>VLOOKUP(D89,HORARIOS!B:H,7,0)</f>
        <v>Dia 5</v>
      </c>
      <c r="N89" s="1">
        <f>VLOOKUP(D89,HORARIOS!B:I,8,0)</f>
        <v>31</v>
      </c>
      <c r="O89" s="1" t="str">
        <f>VLOOKUP(A89,HORARIOS!A:D,4,0)</f>
        <v>15:00 hrs</v>
      </c>
      <c r="P89" s="9" t="str">
        <f>VLOOKUP(A89,HORARIOS!A:E,5,0)</f>
        <v>19:30 hrs</v>
      </c>
    </row>
    <row r="90" spans="1:16" ht="15.75" customHeight="1" x14ac:dyDescent="0.25">
      <c r="A90" s="1" t="str">
        <f t="shared" si="0"/>
        <v>600731</v>
      </c>
      <c r="B90" s="1">
        <v>96</v>
      </c>
      <c r="C90" s="1">
        <v>15</v>
      </c>
      <c r="D90" s="1">
        <v>6007</v>
      </c>
      <c r="E90" s="1" t="s">
        <v>45</v>
      </c>
      <c r="F90" s="1" t="s">
        <v>36</v>
      </c>
      <c r="G90" s="1" t="s">
        <v>88</v>
      </c>
      <c r="H90" s="1" t="s">
        <v>90</v>
      </c>
      <c r="I90" s="1" t="s">
        <v>261</v>
      </c>
      <c r="J90" s="1" t="s">
        <v>261</v>
      </c>
      <c r="K90" s="1">
        <v>12</v>
      </c>
      <c r="M90" s="1" t="str">
        <f>VLOOKUP(D90,HORARIOS!B:H,7,0)</f>
        <v>Dia 5</v>
      </c>
      <c r="N90" s="1">
        <f>VLOOKUP(D90,HORARIOS!B:I,8,0)</f>
        <v>31</v>
      </c>
      <c r="O90" s="1" t="str">
        <f>VLOOKUP(A90,HORARIOS!A:D,4,0)</f>
        <v>15:00 hrs</v>
      </c>
      <c r="P90" s="9" t="str">
        <f>VLOOKUP(A90,HORARIOS!A:E,5,0)</f>
        <v>19:30 hrs</v>
      </c>
    </row>
    <row r="91" spans="1:16" ht="15.75" customHeight="1" x14ac:dyDescent="0.25">
      <c r="A91" s="1" t="str">
        <f t="shared" si="0"/>
        <v>600731</v>
      </c>
      <c r="B91" s="1">
        <v>97</v>
      </c>
      <c r="C91" s="1">
        <v>15</v>
      </c>
      <c r="D91" s="1">
        <v>6007</v>
      </c>
      <c r="E91" s="1" t="s">
        <v>45</v>
      </c>
      <c r="F91" s="1" t="s">
        <v>36</v>
      </c>
      <c r="G91" s="1" t="s">
        <v>96</v>
      </c>
      <c r="H91" s="1" t="s">
        <v>62</v>
      </c>
      <c r="I91" s="1" t="s">
        <v>262</v>
      </c>
      <c r="J91" s="1" t="s">
        <v>263</v>
      </c>
      <c r="K91" s="1">
        <v>12</v>
      </c>
      <c r="M91" s="1" t="str">
        <f>VLOOKUP(D91,HORARIOS!B:H,7,0)</f>
        <v>Dia 5</v>
      </c>
      <c r="N91" s="1">
        <f>VLOOKUP(D91,HORARIOS!B:I,8,0)</f>
        <v>31</v>
      </c>
      <c r="O91" s="1" t="str">
        <f>VLOOKUP(A91,HORARIOS!A:D,4,0)</f>
        <v>15:00 hrs</v>
      </c>
      <c r="P91" s="9" t="str">
        <f>VLOOKUP(A91,HORARIOS!A:E,5,0)</f>
        <v>19:30 hrs</v>
      </c>
    </row>
    <row r="92" spans="1:16" ht="15.75" customHeight="1" x14ac:dyDescent="0.25">
      <c r="A92" s="1" t="str">
        <f t="shared" si="0"/>
        <v>600731</v>
      </c>
      <c r="B92" s="1">
        <v>99</v>
      </c>
      <c r="C92" s="1">
        <v>15</v>
      </c>
      <c r="D92" s="1">
        <v>6007</v>
      </c>
      <c r="E92" s="1" t="s">
        <v>45</v>
      </c>
      <c r="F92" s="1" t="s">
        <v>36</v>
      </c>
      <c r="G92" s="1" t="s">
        <v>98</v>
      </c>
      <c r="H92" s="1" t="s">
        <v>99</v>
      </c>
      <c r="I92" s="1" t="s">
        <v>264</v>
      </c>
      <c r="J92" s="1" t="s">
        <v>264</v>
      </c>
      <c r="K92" s="1">
        <v>12</v>
      </c>
      <c r="L92" s="1" t="s">
        <v>101</v>
      </c>
      <c r="M92" s="1" t="str">
        <f>VLOOKUP(D92,HORARIOS!B:H,7,0)</f>
        <v>Dia 5</v>
      </c>
      <c r="N92" s="1">
        <f>VLOOKUP(D92,HORARIOS!B:I,8,0)</f>
        <v>31</v>
      </c>
      <c r="O92" s="1" t="str">
        <f>VLOOKUP(A92,HORARIOS!A:D,4,0)</f>
        <v>15:00 hrs</v>
      </c>
      <c r="P92" s="9" t="str">
        <f>VLOOKUP(A92,HORARIOS!A:E,5,0)</f>
        <v>19:30 hrs</v>
      </c>
    </row>
    <row r="93" spans="1:16" ht="15.75" customHeight="1" x14ac:dyDescent="0.25">
      <c r="A93" s="1" t="str">
        <f t="shared" si="0"/>
        <v>600731</v>
      </c>
      <c r="B93" s="1">
        <v>100</v>
      </c>
      <c r="C93" s="1">
        <v>15</v>
      </c>
      <c r="D93" s="1">
        <v>6007</v>
      </c>
      <c r="E93" s="1" t="s">
        <v>45</v>
      </c>
      <c r="F93" s="1" t="s">
        <v>36</v>
      </c>
      <c r="G93" s="1" t="s">
        <v>98</v>
      </c>
      <c r="H93" s="1" t="s">
        <v>99</v>
      </c>
      <c r="I93" s="1" t="s">
        <v>265</v>
      </c>
      <c r="J93" s="1" t="s">
        <v>265</v>
      </c>
      <c r="K93" s="1">
        <v>12</v>
      </c>
      <c r="L93" s="1" t="s">
        <v>101</v>
      </c>
      <c r="M93" s="1" t="str">
        <f>VLOOKUP(D93,HORARIOS!B:H,7,0)</f>
        <v>Dia 5</v>
      </c>
      <c r="N93" s="1">
        <f>VLOOKUP(D93,HORARIOS!B:I,8,0)</f>
        <v>31</v>
      </c>
      <c r="O93" s="1" t="str">
        <f>VLOOKUP(A93,HORARIOS!A:D,4,0)</f>
        <v>15:00 hrs</v>
      </c>
      <c r="P93" s="9" t="str">
        <f>VLOOKUP(A93,HORARIOS!A:E,5,0)</f>
        <v>19:30 hrs</v>
      </c>
    </row>
    <row r="94" spans="1:16" ht="15.75" customHeight="1" x14ac:dyDescent="0.25">
      <c r="A94" s="1" t="str">
        <f t="shared" si="0"/>
        <v>600731</v>
      </c>
      <c r="B94" s="1">
        <v>101</v>
      </c>
      <c r="C94" s="1">
        <v>15</v>
      </c>
      <c r="D94" s="1">
        <v>6007</v>
      </c>
      <c r="E94" s="1" t="s">
        <v>45</v>
      </c>
      <c r="F94" s="1" t="s">
        <v>36</v>
      </c>
      <c r="G94" s="1" t="s">
        <v>98</v>
      </c>
      <c r="H94" s="1" t="s">
        <v>99</v>
      </c>
      <c r="I94" s="1" t="s">
        <v>266</v>
      </c>
      <c r="J94" s="1" t="s">
        <v>266</v>
      </c>
      <c r="K94" s="1">
        <v>12</v>
      </c>
      <c r="L94" s="1" t="s">
        <v>101</v>
      </c>
      <c r="M94" s="1" t="str">
        <f>VLOOKUP(D94,HORARIOS!B:H,7,0)</f>
        <v>Dia 5</v>
      </c>
      <c r="N94" s="1">
        <f>VLOOKUP(D94,HORARIOS!B:I,8,0)</f>
        <v>31</v>
      </c>
      <c r="O94" s="1" t="str">
        <f>VLOOKUP(A94,HORARIOS!A:D,4,0)</f>
        <v>15:00 hrs</v>
      </c>
      <c r="P94" s="9" t="str">
        <f>VLOOKUP(A94,HORARIOS!A:E,5,0)</f>
        <v>19:30 hrs</v>
      </c>
    </row>
    <row r="95" spans="1:16" ht="15.75" customHeight="1" x14ac:dyDescent="0.25">
      <c r="A95" s="1" t="str">
        <f t="shared" si="0"/>
        <v>600731</v>
      </c>
      <c r="B95" s="1">
        <v>102</v>
      </c>
      <c r="C95" s="1">
        <v>15</v>
      </c>
      <c r="D95" s="1">
        <v>6007</v>
      </c>
      <c r="E95" s="1" t="s">
        <v>45</v>
      </c>
      <c r="F95" s="1" t="s">
        <v>36</v>
      </c>
      <c r="G95" s="1" t="s">
        <v>98</v>
      </c>
      <c r="H95" s="1" t="s">
        <v>99</v>
      </c>
      <c r="I95" s="1" t="s">
        <v>267</v>
      </c>
      <c r="J95" s="1" t="s">
        <v>267</v>
      </c>
      <c r="K95" s="1">
        <v>12</v>
      </c>
      <c r="L95" s="1" t="s">
        <v>101</v>
      </c>
      <c r="M95" s="1" t="str">
        <f>VLOOKUP(D95,HORARIOS!B:H,7,0)</f>
        <v>Dia 5</v>
      </c>
      <c r="N95" s="1">
        <f>VLOOKUP(D95,HORARIOS!B:I,8,0)</f>
        <v>31</v>
      </c>
      <c r="O95" s="1" t="str">
        <f>VLOOKUP(A95,HORARIOS!A:D,4,0)</f>
        <v>15:00 hrs</v>
      </c>
      <c r="P95" s="9" t="str">
        <f>VLOOKUP(A95,HORARIOS!A:E,5,0)</f>
        <v>19:30 hrs</v>
      </c>
    </row>
    <row r="96" spans="1:16" ht="15.75" customHeight="1" x14ac:dyDescent="0.25">
      <c r="A96" s="1" t="str">
        <f t="shared" si="0"/>
        <v>600731</v>
      </c>
      <c r="B96" s="1">
        <v>103</v>
      </c>
      <c r="C96" s="1">
        <v>15</v>
      </c>
      <c r="D96" s="1">
        <v>6007</v>
      </c>
      <c r="E96" s="1" t="s">
        <v>45</v>
      </c>
      <c r="F96" s="1" t="s">
        <v>36</v>
      </c>
      <c r="G96" s="1" t="s">
        <v>98</v>
      </c>
      <c r="H96" s="1" t="s">
        <v>99</v>
      </c>
      <c r="I96" s="1" t="s">
        <v>268</v>
      </c>
      <c r="J96" s="1" t="s">
        <v>268</v>
      </c>
      <c r="K96" s="1">
        <v>12</v>
      </c>
      <c r="L96" s="1" t="s">
        <v>101</v>
      </c>
      <c r="M96" s="1" t="str">
        <f>VLOOKUP(D96,HORARIOS!B:H,7,0)</f>
        <v>Dia 5</v>
      </c>
      <c r="N96" s="1">
        <f>VLOOKUP(D96,HORARIOS!B:I,8,0)</f>
        <v>31</v>
      </c>
      <c r="O96" s="1" t="str">
        <f>VLOOKUP(A96,HORARIOS!A:D,4,0)</f>
        <v>15:00 hrs</v>
      </c>
      <c r="P96" s="9" t="str">
        <f>VLOOKUP(A96,HORARIOS!A:E,5,0)</f>
        <v>19:30 hrs</v>
      </c>
    </row>
    <row r="97" spans="1:16" ht="15.75" customHeight="1" x14ac:dyDescent="0.25">
      <c r="A97" s="1" t="str">
        <f t="shared" si="0"/>
        <v>600731</v>
      </c>
      <c r="B97" s="1">
        <v>104</v>
      </c>
      <c r="C97" s="1">
        <v>15</v>
      </c>
      <c r="D97" s="1">
        <v>6007</v>
      </c>
      <c r="E97" s="1" t="s">
        <v>45</v>
      </c>
      <c r="F97" s="1" t="s">
        <v>36</v>
      </c>
      <c r="G97" s="1" t="s">
        <v>114</v>
      </c>
      <c r="H97" s="1" t="s">
        <v>39</v>
      </c>
      <c r="I97" s="1" t="s">
        <v>52</v>
      </c>
      <c r="J97" s="1" t="s">
        <v>52</v>
      </c>
      <c r="K97" s="1">
        <v>2</v>
      </c>
      <c r="L97" s="1" t="s">
        <v>115</v>
      </c>
      <c r="M97" s="1" t="str">
        <f>VLOOKUP(D97,HORARIOS!B:H,7,0)</f>
        <v>Dia 5</v>
      </c>
      <c r="N97" s="1">
        <f>VLOOKUP(D97,HORARIOS!B:I,8,0)</f>
        <v>31</v>
      </c>
      <c r="O97" s="1" t="str">
        <f>VLOOKUP(A97,HORARIOS!A:D,4,0)</f>
        <v>15:00 hrs</v>
      </c>
      <c r="P97" s="9" t="str">
        <f>VLOOKUP(A97,HORARIOS!A:E,5,0)</f>
        <v>19:30 hrs</v>
      </c>
    </row>
    <row r="98" spans="1:16" ht="15.75" customHeight="1" x14ac:dyDescent="0.25">
      <c r="A98" s="1" t="str">
        <f t="shared" si="0"/>
        <v>600731</v>
      </c>
      <c r="B98" s="1">
        <v>105</v>
      </c>
      <c r="C98" s="1">
        <v>15</v>
      </c>
      <c r="D98" s="1">
        <v>6007</v>
      </c>
      <c r="E98" s="1" t="s">
        <v>45</v>
      </c>
      <c r="F98" s="1" t="s">
        <v>36</v>
      </c>
      <c r="G98" s="1" t="s">
        <v>134</v>
      </c>
      <c r="H98" s="1" t="s">
        <v>135</v>
      </c>
      <c r="I98" s="1" t="s">
        <v>269</v>
      </c>
      <c r="J98" s="1" t="s">
        <v>269</v>
      </c>
      <c r="K98" s="1">
        <v>12</v>
      </c>
      <c r="L98" s="1" t="s">
        <v>138</v>
      </c>
      <c r="M98" s="1" t="str">
        <f>VLOOKUP(D98,HORARIOS!B:H,7,0)</f>
        <v>Dia 5</v>
      </c>
      <c r="N98" s="1">
        <f>VLOOKUP(D98,HORARIOS!B:I,8,0)</f>
        <v>31</v>
      </c>
      <c r="O98" s="1" t="str">
        <f>VLOOKUP(A98,HORARIOS!A:D,4,0)</f>
        <v>15:00 hrs</v>
      </c>
      <c r="P98" s="9" t="str">
        <f>VLOOKUP(A98,HORARIOS!A:E,5,0)</f>
        <v>19:30 hrs</v>
      </c>
    </row>
    <row r="99" spans="1:16" ht="15.75" customHeight="1" x14ac:dyDescent="0.25">
      <c r="A99" s="1" t="str">
        <f t="shared" si="0"/>
        <v>600731</v>
      </c>
      <c r="B99" s="1">
        <v>106</v>
      </c>
      <c r="C99" s="1">
        <v>15</v>
      </c>
      <c r="D99" s="1">
        <v>6007</v>
      </c>
      <c r="E99" s="1" t="s">
        <v>45</v>
      </c>
      <c r="F99" s="1" t="s">
        <v>36</v>
      </c>
      <c r="G99" s="1" t="s">
        <v>145</v>
      </c>
      <c r="H99" s="1" t="s">
        <v>52</v>
      </c>
      <c r="I99" s="1" t="s">
        <v>270</v>
      </c>
      <c r="J99" s="1" t="s">
        <v>270</v>
      </c>
      <c r="K99" s="1">
        <v>12</v>
      </c>
      <c r="M99" s="1" t="str">
        <f>VLOOKUP(D99,HORARIOS!B:H,7,0)</f>
        <v>Dia 5</v>
      </c>
      <c r="N99" s="1">
        <f>VLOOKUP(D99,HORARIOS!B:I,8,0)</f>
        <v>31</v>
      </c>
      <c r="O99" s="1" t="str">
        <f>VLOOKUP(A99,HORARIOS!A:D,4,0)</f>
        <v>15:00 hrs</v>
      </c>
      <c r="P99" s="9" t="str">
        <f>VLOOKUP(A99,HORARIOS!A:E,5,0)</f>
        <v>19:30 hrs</v>
      </c>
    </row>
    <row r="100" spans="1:16" ht="15.75" customHeight="1" x14ac:dyDescent="0.25">
      <c r="A100" s="1" t="str">
        <f t="shared" si="0"/>
        <v>600731</v>
      </c>
      <c r="B100" s="1">
        <v>108</v>
      </c>
      <c r="C100" s="1">
        <v>15</v>
      </c>
      <c r="D100" s="1">
        <v>6007</v>
      </c>
      <c r="E100" s="1" t="s">
        <v>45</v>
      </c>
      <c r="F100" s="1" t="s">
        <v>36</v>
      </c>
      <c r="G100" s="1" t="s">
        <v>159</v>
      </c>
      <c r="H100" s="1" t="s">
        <v>160</v>
      </c>
      <c r="I100" s="1" t="s">
        <v>271</v>
      </c>
      <c r="J100" s="1" t="s">
        <v>271</v>
      </c>
      <c r="K100" s="1">
        <v>12</v>
      </c>
      <c r="M100" s="1" t="str">
        <f>VLOOKUP(D100,HORARIOS!B:H,7,0)</f>
        <v>Dia 5</v>
      </c>
      <c r="N100" s="1">
        <f>VLOOKUP(D100,HORARIOS!B:I,8,0)</f>
        <v>31</v>
      </c>
      <c r="O100" s="1" t="str">
        <f>VLOOKUP(A100,HORARIOS!A:D,4,0)</f>
        <v>15:00 hrs</v>
      </c>
      <c r="P100" s="9" t="str">
        <f>VLOOKUP(A100,HORARIOS!A:E,5,0)</f>
        <v>19:30 hrs</v>
      </c>
    </row>
    <row r="101" spans="1:16" ht="15.75" customHeight="1" x14ac:dyDescent="0.25">
      <c r="A101" s="1" t="str">
        <f t="shared" si="0"/>
        <v>600817</v>
      </c>
      <c r="B101" s="1">
        <v>110</v>
      </c>
      <c r="C101" s="1">
        <v>16</v>
      </c>
      <c r="D101" s="1">
        <v>6008</v>
      </c>
      <c r="E101" s="1" t="s">
        <v>44</v>
      </c>
      <c r="F101" s="1" t="s">
        <v>36</v>
      </c>
      <c r="G101" s="1" t="s">
        <v>37</v>
      </c>
      <c r="H101" s="1" t="s">
        <v>39</v>
      </c>
      <c r="I101" s="1" t="s">
        <v>272</v>
      </c>
      <c r="J101" s="1" t="s">
        <v>272</v>
      </c>
      <c r="K101" s="1">
        <v>12</v>
      </c>
      <c r="L101" s="1" t="s">
        <v>41</v>
      </c>
      <c r="M101" s="1" t="str">
        <f>VLOOKUP(D101,HORARIOS!B:H,7,0)</f>
        <v>Día 3</v>
      </c>
      <c r="N101" s="1">
        <f>VLOOKUP(D101,HORARIOS!B:I,8,0)</f>
        <v>17</v>
      </c>
      <c r="O101" s="1" t="str">
        <f>VLOOKUP(A101,HORARIOS!A:D,4,0)</f>
        <v>11:00 hrs</v>
      </c>
      <c r="P101" s="9" t="str">
        <f>VLOOKUP(A101,HORARIOS!A:E,5,0)</f>
        <v>15:00 hrs</v>
      </c>
    </row>
    <row r="102" spans="1:16" ht="15.75" customHeight="1" x14ac:dyDescent="0.25">
      <c r="A102" s="1" t="str">
        <f t="shared" si="0"/>
        <v>600817</v>
      </c>
      <c r="B102" s="1">
        <v>111</v>
      </c>
      <c r="C102" s="1">
        <v>16</v>
      </c>
      <c r="D102" s="1">
        <v>6008</v>
      </c>
      <c r="E102" s="1" t="s">
        <v>44</v>
      </c>
      <c r="F102" s="1" t="s">
        <v>36</v>
      </c>
      <c r="G102" s="1" t="s">
        <v>51</v>
      </c>
      <c r="H102" s="1" t="s">
        <v>52</v>
      </c>
      <c r="I102" s="1" t="s">
        <v>273</v>
      </c>
      <c r="J102" s="1" t="s">
        <v>273</v>
      </c>
      <c r="K102" s="1">
        <v>12</v>
      </c>
      <c r="M102" s="1" t="str">
        <f>VLOOKUP(D102,HORARIOS!B:H,7,0)</f>
        <v>Día 3</v>
      </c>
      <c r="N102" s="1">
        <f>VLOOKUP(D102,HORARIOS!B:I,8,0)</f>
        <v>17</v>
      </c>
      <c r="O102" s="1" t="str">
        <f>VLOOKUP(A102,HORARIOS!A:D,4,0)</f>
        <v>11:00 hrs</v>
      </c>
      <c r="P102" s="9" t="str">
        <f>VLOOKUP(A102,HORARIOS!A:E,5,0)</f>
        <v>15:00 hrs</v>
      </c>
    </row>
    <row r="103" spans="1:16" ht="15.75" customHeight="1" x14ac:dyDescent="0.25">
      <c r="A103" s="1" t="str">
        <f t="shared" si="0"/>
        <v>600817</v>
      </c>
      <c r="B103" s="1">
        <v>112</v>
      </c>
      <c r="C103" s="1">
        <v>16</v>
      </c>
      <c r="D103" s="1">
        <v>6008</v>
      </c>
      <c r="E103" s="1" t="s">
        <v>44</v>
      </c>
      <c r="F103" s="1" t="s">
        <v>36</v>
      </c>
      <c r="G103" s="1" t="s">
        <v>61</v>
      </c>
      <c r="H103" s="1" t="s">
        <v>62</v>
      </c>
      <c r="I103" s="1" t="s">
        <v>274</v>
      </c>
      <c r="J103" s="1" t="s">
        <v>275</v>
      </c>
      <c r="K103" s="1">
        <v>12</v>
      </c>
      <c r="L103" s="1" t="s">
        <v>64</v>
      </c>
      <c r="M103" s="1" t="str">
        <f>VLOOKUP(D103,HORARIOS!B:H,7,0)</f>
        <v>Día 3</v>
      </c>
      <c r="N103" s="1">
        <f>VLOOKUP(D103,HORARIOS!B:I,8,0)</f>
        <v>17</v>
      </c>
      <c r="O103" s="1" t="str">
        <f>VLOOKUP(A103,HORARIOS!A:D,4,0)</f>
        <v>11:00 hrs</v>
      </c>
      <c r="P103" s="9" t="str">
        <f>VLOOKUP(A103,HORARIOS!A:E,5,0)</f>
        <v>15:00 hrs</v>
      </c>
    </row>
    <row r="104" spans="1:16" ht="15.75" customHeight="1" x14ac:dyDescent="0.25">
      <c r="A104" s="1" t="str">
        <f t="shared" si="0"/>
        <v>600817</v>
      </c>
      <c r="B104" s="1">
        <v>113</v>
      </c>
      <c r="C104" s="1">
        <v>16</v>
      </c>
      <c r="D104" s="1">
        <v>6008</v>
      </c>
      <c r="E104" s="1" t="s">
        <v>44</v>
      </c>
      <c r="F104" s="1" t="s">
        <v>36</v>
      </c>
      <c r="G104" s="1" t="s">
        <v>72</v>
      </c>
      <c r="H104" s="1" t="s">
        <v>73</v>
      </c>
      <c r="I104" s="1" t="s">
        <v>276</v>
      </c>
      <c r="J104" s="1" t="s">
        <v>276</v>
      </c>
      <c r="K104" s="1">
        <v>12</v>
      </c>
      <c r="M104" s="1" t="str">
        <f>VLOOKUP(D104,HORARIOS!B:H,7,0)</f>
        <v>Día 3</v>
      </c>
      <c r="N104" s="1">
        <f>VLOOKUP(D104,HORARIOS!B:I,8,0)</f>
        <v>17</v>
      </c>
      <c r="O104" s="1" t="str">
        <f>VLOOKUP(A104,HORARIOS!A:D,4,0)</f>
        <v>11:00 hrs</v>
      </c>
      <c r="P104" s="9" t="str">
        <f>VLOOKUP(A104,HORARIOS!A:E,5,0)</f>
        <v>15:00 hrs</v>
      </c>
    </row>
    <row r="105" spans="1:16" ht="15.75" customHeight="1" x14ac:dyDescent="0.25">
      <c r="A105" s="1" t="str">
        <f t="shared" si="0"/>
        <v>600817</v>
      </c>
      <c r="B105" s="1">
        <v>114</v>
      </c>
      <c r="C105" s="1">
        <v>16</v>
      </c>
      <c r="D105" s="1">
        <v>6008</v>
      </c>
      <c r="E105" s="1" t="s">
        <v>44</v>
      </c>
      <c r="F105" s="1" t="s">
        <v>36</v>
      </c>
      <c r="G105" s="1" t="s">
        <v>88</v>
      </c>
      <c r="H105" s="1" t="s">
        <v>90</v>
      </c>
      <c r="I105" s="1" t="s">
        <v>277</v>
      </c>
      <c r="J105" s="1" t="s">
        <v>277</v>
      </c>
      <c r="K105" s="1">
        <v>12</v>
      </c>
      <c r="M105" s="1" t="str">
        <f>VLOOKUP(D105,HORARIOS!B:H,7,0)</f>
        <v>Día 3</v>
      </c>
      <c r="N105" s="1">
        <f>VLOOKUP(D105,HORARIOS!B:I,8,0)</f>
        <v>17</v>
      </c>
      <c r="O105" s="1" t="str">
        <f>VLOOKUP(A105,HORARIOS!A:D,4,0)</f>
        <v>11:00 hrs</v>
      </c>
      <c r="P105" s="9" t="str">
        <f>VLOOKUP(A105,HORARIOS!A:E,5,0)</f>
        <v>15:00 hrs</v>
      </c>
    </row>
    <row r="106" spans="1:16" ht="15.75" customHeight="1" x14ac:dyDescent="0.25">
      <c r="A106" s="1" t="str">
        <f t="shared" si="0"/>
        <v>600817</v>
      </c>
      <c r="B106" s="1">
        <v>116</v>
      </c>
      <c r="C106" s="1">
        <v>16</v>
      </c>
      <c r="D106" s="1">
        <v>6008</v>
      </c>
      <c r="E106" s="1" t="s">
        <v>44</v>
      </c>
      <c r="F106" s="1" t="s">
        <v>36</v>
      </c>
      <c r="G106" s="1" t="s">
        <v>96</v>
      </c>
      <c r="H106" s="1" t="s">
        <v>62</v>
      </c>
      <c r="I106" s="1" t="s">
        <v>278</v>
      </c>
      <c r="J106" s="1" t="s">
        <v>279</v>
      </c>
      <c r="K106" s="1">
        <v>12</v>
      </c>
      <c r="M106" s="1" t="str">
        <f>VLOOKUP(D106,HORARIOS!B:H,7,0)</f>
        <v>Día 3</v>
      </c>
      <c r="N106" s="1">
        <f>VLOOKUP(D106,HORARIOS!B:I,8,0)</f>
        <v>17</v>
      </c>
      <c r="O106" s="1" t="str">
        <f>VLOOKUP(A106,HORARIOS!A:D,4,0)</f>
        <v>11:00 hrs</v>
      </c>
      <c r="P106" s="9" t="str">
        <f>VLOOKUP(A106,HORARIOS!A:E,5,0)</f>
        <v>15:00 hrs</v>
      </c>
    </row>
    <row r="107" spans="1:16" ht="15.75" customHeight="1" x14ac:dyDescent="0.25">
      <c r="A107" s="1" t="str">
        <f t="shared" si="0"/>
        <v>600817</v>
      </c>
      <c r="B107" s="1">
        <v>117</v>
      </c>
      <c r="C107" s="1">
        <v>16</v>
      </c>
      <c r="D107" s="1">
        <v>6008</v>
      </c>
      <c r="E107" s="1" t="s">
        <v>44</v>
      </c>
      <c r="F107" s="1" t="s">
        <v>36</v>
      </c>
      <c r="G107" s="1" t="s">
        <v>98</v>
      </c>
      <c r="H107" s="1" t="s">
        <v>99</v>
      </c>
      <c r="I107" s="1" t="s">
        <v>280</v>
      </c>
      <c r="J107" s="1" t="s">
        <v>280</v>
      </c>
      <c r="K107" s="1">
        <v>12</v>
      </c>
      <c r="L107" s="1" t="s">
        <v>101</v>
      </c>
      <c r="M107" s="1" t="str">
        <f>VLOOKUP(D107,HORARIOS!B:H,7,0)</f>
        <v>Día 3</v>
      </c>
      <c r="N107" s="1">
        <f>VLOOKUP(D107,HORARIOS!B:I,8,0)</f>
        <v>17</v>
      </c>
      <c r="O107" s="1" t="str">
        <f>VLOOKUP(A107,HORARIOS!A:D,4,0)</f>
        <v>11:00 hrs</v>
      </c>
      <c r="P107" s="9" t="str">
        <f>VLOOKUP(A107,HORARIOS!A:E,5,0)</f>
        <v>15:00 hrs</v>
      </c>
    </row>
    <row r="108" spans="1:16" ht="15.75" customHeight="1" x14ac:dyDescent="0.25">
      <c r="A108" s="1" t="str">
        <f t="shared" si="0"/>
        <v>600817</v>
      </c>
      <c r="B108" s="1">
        <v>118</v>
      </c>
      <c r="C108" s="1">
        <v>16</v>
      </c>
      <c r="D108" s="1">
        <v>6008</v>
      </c>
      <c r="E108" s="1" t="s">
        <v>44</v>
      </c>
      <c r="F108" s="1" t="s">
        <v>36</v>
      </c>
      <c r="G108" s="1" t="s">
        <v>98</v>
      </c>
      <c r="H108" s="1" t="s">
        <v>99</v>
      </c>
      <c r="I108" s="1" t="s">
        <v>281</v>
      </c>
      <c r="J108" s="1" t="s">
        <v>281</v>
      </c>
      <c r="K108" s="1">
        <v>12</v>
      </c>
      <c r="L108" s="1" t="s">
        <v>101</v>
      </c>
      <c r="M108" s="1" t="str">
        <f>VLOOKUP(D108,HORARIOS!B:H,7,0)</f>
        <v>Día 3</v>
      </c>
      <c r="N108" s="1">
        <f>VLOOKUP(D108,HORARIOS!B:I,8,0)</f>
        <v>17</v>
      </c>
      <c r="O108" s="1" t="str">
        <f>VLOOKUP(A108,HORARIOS!A:D,4,0)</f>
        <v>11:00 hrs</v>
      </c>
      <c r="P108" s="9" t="str">
        <f>VLOOKUP(A108,HORARIOS!A:E,5,0)</f>
        <v>15:00 hrs</v>
      </c>
    </row>
    <row r="109" spans="1:16" ht="15.75" customHeight="1" x14ac:dyDescent="0.25">
      <c r="A109" s="1" t="str">
        <f t="shared" si="0"/>
        <v>600817</v>
      </c>
      <c r="B109" s="1">
        <v>119</v>
      </c>
      <c r="C109" s="1">
        <v>16</v>
      </c>
      <c r="D109" s="1">
        <v>6008</v>
      </c>
      <c r="E109" s="1" t="s">
        <v>44</v>
      </c>
      <c r="F109" s="1" t="s">
        <v>36</v>
      </c>
      <c r="G109" s="1" t="s">
        <v>98</v>
      </c>
      <c r="H109" s="1" t="s">
        <v>99</v>
      </c>
      <c r="I109" s="1" t="s">
        <v>282</v>
      </c>
      <c r="J109" s="1" t="s">
        <v>282</v>
      </c>
      <c r="K109" s="1">
        <v>12</v>
      </c>
      <c r="L109" s="1" t="s">
        <v>101</v>
      </c>
      <c r="M109" s="1" t="str">
        <f>VLOOKUP(D109,HORARIOS!B:H,7,0)</f>
        <v>Día 3</v>
      </c>
      <c r="N109" s="1">
        <f>VLOOKUP(D109,HORARIOS!B:I,8,0)</f>
        <v>17</v>
      </c>
      <c r="O109" s="1" t="str">
        <f>VLOOKUP(A109,HORARIOS!A:D,4,0)</f>
        <v>11:00 hrs</v>
      </c>
      <c r="P109" s="9" t="str">
        <f>VLOOKUP(A109,HORARIOS!A:E,5,0)</f>
        <v>15:00 hrs</v>
      </c>
    </row>
    <row r="110" spans="1:16" ht="15.75" customHeight="1" x14ac:dyDescent="0.25">
      <c r="A110" s="1" t="str">
        <f t="shared" si="0"/>
        <v>600817</v>
      </c>
      <c r="B110" s="1">
        <v>120</v>
      </c>
      <c r="C110" s="1">
        <v>16</v>
      </c>
      <c r="D110" s="1">
        <v>6008</v>
      </c>
      <c r="E110" s="1" t="s">
        <v>44</v>
      </c>
      <c r="F110" s="1" t="s">
        <v>36</v>
      </c>
      <c r="G110" s="1" t="s">
        <v>98</v>
      </c>
      <c r="H110" s="1" t="s">
        <v>99</v>
      </c>
      <c r="I110" s="1" t="s">
        <v>283</v>
      </c>
      <c r="J110" s="1" t="s">
        <v>283</v>
      </c>
      <c r="K110" s="1">
        <v>12</v>
      </c>
      <c r="L110" s="1" t="s">
        <v>101</v>
      </c>
      <c r="M110" s="1" t="str">
        <f>VLOOKUP(D110,HORARIOS!B:H,7,0)</f>
        <v>Día 3</v>
      </c>
      <c r="N110" s="1">
        <f>VLOOKUP(D110,HORARIOS!B:I,8,0)</f>
        <v>17</v>
      </c>
      <c r="O110" s="1" t="str">
        <f>VLOOKUP(A110,HORARIOS!A:D,4,0)</f>
        <v>11:00 hrs</v>
      </c>
      <c r="P110" s="9" t="str">
        <f>VLOOKUP(A110,HORARIOS!A:E,5,0)</f>
        <v>15:00 hrs</v>
      </c>
    </row>
    <row r="111" spans="1:16" ht="15.75" customHeight="1" x14ac:dyDescent="0.25">
      <c r="A111" s="1" t="str">
        <f t="shared" si="0"/>
        <v>600817</v>
      </c>
      <c r="B111" s="1">
        <v>121</v>
      </c>
      <c r="C111" s="1">
        <v>16</v>
      </c>
      <c r="D111" s="1">
        <v>6008</v>
      </c>
      <c r="E111" s="1" t="s">
        <v>44</v>
      </c>
      <c r="F111" s="1" t="s">
        <v>36</v>
      </c>
      <c r="G111" s="1" t="s">
        <v>98</v>
      </c>
      <c r="H111" s="1" t="s">
        <v>99</v>
      </c>
      <c r="I111" s="1" t="s">
        <v>284</v>
      </c>
      <c r="J111" s="1" t="s">
        <v>284</v>
      </c>
      <c r="K111" s="1">
        <v>12</v>
      </c>
      <c r="L111" s="1" t="s">
        <v>101</v>
      </c>
      <c r="M111" s="1" t="str">
        <f>VLOOKUP(D111,HORARIOS!B:H,7,0)</f>
        <v>Día 3</v>
      </c>
      <c r="N111" s="1">
        <f>VLOOKUP(D111,HORARIOS!B:I,8,0)</f>
        <v>17</v>
      </c>
      <c r="O111" s="1" t="str">
        <f>VLOOKUP(A111,HORARIOS!A:D,4,0)</f>
        <v>11:00 hrs</v>
      </c>
      <c r="P111" s="9" t="str">
        <f>VLOOKUP(A111,HORARIOS!A:E,5,0)</f>
        <v>15:00 hrs</v>
      </c>
    </row>
    <row r="112" spans="1:16" ht="15.75" customHeight="1" x14ac:dyDescent="0.25">
      <c r="A112" s="1" t="str">
        <f t="shared" si="0"/>
        <v>600817</v>
      </c>
      <c r="B112" s="1">
        <v>122</v>
      </c>
      <c r="C112" s="1">
        <v>16</v>
      </c>
      <c r="D112" s="1">
        <v>6008</v>
      </c>
      <c r="E112" s="1" t="s">
        <v>44</v>
      </c>
      <c r="F112" s="1" t="s">
        <v>36</v>
      </c>
      <c r="G112" s="1" t="s">
        <v>98</v>
      </c>
      <c r="H112" s="1" t="s">
        <v>99</v>
      </c>
      <c r="I112" s="1" t="s">
        <v>285</v>
      </c>
      <c r="J112" s="1" t="s">
        <v>285</v>
      </c>
      <c r="K112" s="1">
        <v>12</v>
      </c>
      <c r="L112" s="1" t="s">
        <v>101</v>
      </c>
      <c r="M112" s="1" t="str">
        <f>VLOOKUP(D112,HORARIOS!B:H,7,0)</f>
        <v>Día 3</v>
      </c>
      <c r="N112" s="1">
        <f>VLOOKUP(D112,HORARIOS!B:I,8,0)</f>
        <v>17</v>
      </c>
      <c r="O112" s="1" t="str">
        <f>VLOOKUP(A112,HORARIOS!A:D,4,0)</f>
        <v>11:00 hrs</v>
      </c>
      <c r="P112" s="9" t="str">
        <f>VLOOKUP(A112,HORARIOS!A:E,5,0)</f>
        <v>15:00 hrs</v>
      </c>
    </row>
    <row r="113" spans="1:16" ht="15.75" customHeight="1" x14ac:dyDescent="0.25">
      <c r="A113" s="1" t="str">
        <f t="shared" si="0"/>
        <v>600817</v>
      </c>
      <c r="B113" s="1">
        <v>123</v>
      </c>
      <c r="C113" s="1">
        <v>16</v>
      </c>
      <c r="D113" s="1">
        <v>6008</v>
      </c>
      <c r="E113" s="1" t="s">
        <v>44</v>
      </c>
      <c r="F113" s="1" t="s">
        <v>36</v>
      </c>
      <c r="G113" s="1" t="s">
        <v>114</v>
      </c>
      <c r="H113" s="1" t="s">
        <v>39</v>
      </c>
      <c r="I113" s="1" t="s">
        <v>52</v>
      </c>
      <c r="J113" s="1" t="s">
        <v>52</v>
      </c>
      <c r="K113" s="1">
        <v>2</v>
      </c>
      <c r="L113" s="1" t="s">
        <v>115</v>
      </c>
      <c r="M113" s="1" t="str">
        <f>VLOOKUP(D113,HORARIOS!B:H,7,0)</f>
        <v>Día 3</v>
      </c>
      <c r="N113" s="1">
        <f>VLOOKUP(D113,HORARIOS!B:I,8,0)</f>
        <v>17</v>
      </c>
      <c r="O113" s="1" t="str">
        <f>VLOOKUP(A113,HORARIOS!A:D,4,0)</f>
        <v>11:00 hrs</v>
      </c>
      <c r="P113" s="9" t="str">
        <f>VLOOKUP(A113,HORARIOS!A:E,5,0)</f>
        <v>15:00 hrs</v>
      </c>
    </row>
    <row r="114" spans="1:16" ht="15.75" customHeight="1" x14ac:dyDescent="0.25">
      <c r="A114" s="1" t="str">
        <f t="shared" si="0"/>
        <v>600817</v>
      </c>
      <c r="B114" s="1">
        <v>125</v>
      </c>
      <c r="C114" s="1">
        <v>16</v>
      </c>
      <c r="D114" s="1">
        <v>6008</v>
      </c>
      <c r="E114" s="1" t="s">
        <v>44</v>
      </c>
      <c r="F114" s="1" t="s">
        <v>36</v>
      </c>
      <c r="G114" s="1" t="s">
        <v>134</v>
      </c>
      <c r="H114" s="1" t="s">
        <v>135</v>
      </c>
      <c r="I114" s="1" t="s">
        <v>286</v>
      </c>
      <c r="J114" s="1" t="s">
        <v>286</v>
      </c>
      <c r="K114" s="1">
        <v>12</v>
      </c>
      <c r="L114" s="1" t="s">
        <v>138</v>
      </c>
      <c r="M114" s="1" t="str">
        <f>VLOOKUP(D114,HORARIOS!B:H,7,0)</f>
        <v>Día 3</v>
      </c>
      <c r="N114" s="1">
        <f>VLOOKUP(D114,HORARIOS!B:I,8,0)</f>
        <v>17</v>
      </c>
      <c r="O114" s="1" t="str">
        <f>VLOOKUP(A114,HORARIOS!A:D,4,0)</f>
        <v>11:00 hrs</v>
      </c>
      <c r="P114" s="9" t="str">
        <f>VLOOKUP(A114,HORARIOS!A:E,5,0)</f>
        <v>15:00 hrs</v>
      </c>
    </row>
    <row r="115" spans="1:16" ht="15.75" customHeight="1" x14ac:dyDescent="0.25">
      <c r="A115" s="1" t="str">
        <f t="shared" si="0"/>
        <v>600817</v>
      </c>
      <c r="B115" s="1">
        <v>126</v>
      </c>
      <c r="C115" s="1">
        <v>16</v>
      </c>
      <c r="D115" s="1">
        <v>6008</v>
      </c>
      <c r="E115" s="1" t="s">
        <v>44</v>
      </c>
      <c r="F115" s="1" t="s">
        <v>36</v>
      </c>
      <c r="G115" s="1" t="s">
        <v>145</v>
      </c>
      <c r="H115" s="1" t="s">
        <v>52</v>
      </c>
      <c r="I115" s="1" t="s">
        <v>287</v>
      </c>
      <c r="J115" s="1" t="s">
        <v>287</v>
      </c>
      <c r="K115" s="1">
        <v>12</v>
      </c>
      <c r="M115" s="1" t="str">
        <f>VLOOKUP(D115,HORARIOS!B:H,7,0)</f>
        <v>Día 3</v>
      </c>
      <c r="N115" s="1">
        <f>VLOOKUP(D115,HORARIOS!B:I,8,0)</f>
        <v>17</v>
      </c>
      <c r="O115" s="1" t="str">
        <f>VLOOKUP(A115,HORARIOS!A:D,4,0)</f>
        <v>11:00 hrs</v>
      </c>
      <c r="P115" s="9" t="str">
        <f>VLOOKUP(A115,HORARIOS!A:E,5,0)</f>
        <v>15:00 hrs</v>
      </c>
    </row>
    <row r="116" spans="1:16" ht="15.75" customHeight="1" x14ac:dyDescent="0.25">
      <c r="A116" s="1" t="str">
        <f t="shared" si="0"/>
        <v>600817</v>
      </c>
      <c r="B116" s="1">
        <v>127</v>
      </c>
      <c r="C116" s="1">
        <v>16</v>
      </c>
      <c r="D116" s="1">
        <v>6008</v>
      </c>
      <c r="E116" s="1" t="s">
        <v>44</v>
      </c>
      <c r="F116" s="1" t="s">
        <v>36</v>
      </c>
      <c r="G116" s="1" t="s">
        <v>159</v>
      </c>
      <c r="H116" s="1" t="s">
        <v>160</v>
      </c>
      <c r="I116" s="1" t="s">
        <v>288</v>
      </c>
      <c r="J116" s="1" t="s">
        <v>288</v>
      </c>
      <c r="K116" s="1">
        <v>12</v>
      </c>
      <c r="M116" s="1" t="str">
        <f>VLOOKUP(D116,HORARIOS!B:H,7,0)</f>
        <v>Día 3</v>
      </c>
      <c r="N116" s="1">
        <f>VLOOKUP(D116,HORARIOS!B:I,8,0)</f>
        <v>17</v>
      </c>
      <c r="O116" s="1" t="str">
        <f>VLOOKUP(A116,HORARIOS!A:D,4,0)</f>
        <v>11:00 hrs</v>
      </c>
      <c r="P116" s="9" t="str">
        <f>VLOOKUP(A116,HORARIOS!A:E,5,0)</f>
        <v>15:00 hrs</v>
      </c>
    </row>
    <row r="117" spans="1:16" ht="15.75" customHeight="1" x14ac:dyDescent="0.25">
      <c r="A117" s="1" t="str">
        <f t="shared" si="0"/>
        <v>600930</v>
      </c>
      <c r="B117" s="1">
        <v>127</v>
      </c>
      <c r="C117" s="1">
        <v>14</v>
      </c>
      <c r="D117" s="1">
        <v>6009</v>
      </c>
      <c r="E117" s="1" t="s">
        <v>46</v>
      </c>
      <c r="F117" s="1" t="s">
        <v>36</v>
      </c>
      <c r="G117" s="1" t="s">
        <v>37</v>
      </c>
      <c r="H117" s="1" t="s">
        <v>39</v>
      </c>
      <c r="I117" s="1" t="s">
        <v>289</v>
      </c>
      <c r="J117" s="1" t="s">
        <v>289</v>
      </c>
      <c r="K117" s="1">
        <v>12</v>
      </c>
      <c r="L117" s="1" t="s">
        <v>41</v>
      </c>
      <c r="M117" s="1" t="str">
        <f>VLOOKUP(D117,HORARIOS!B:H,7,0)</f>
        <v>Dia 5</v>
      </c>
      <c r="N117" s="1">
        <f>VLOOKUP(D117,HORARIOS!B:I,8,0)</f>
        <v>30</v>
      </c>
      <c r="O117" s="1" t="str">
        <f>VLOOKUP(A117,HORARIOS!A:D,4,0)</f>
        <v>14:00 hrs</v>
      </c>
      <c r="P117" s="9" t="str">
        <f>VLOOKUP(A117,HORARIOS!A:E,5,0)</f>
        <v>17:00 hrs</v>
      </c>
    </row>
    <row r="118" spans="1:16" ht="15.75" customHeight="1" x14ac:dyDescent="0.25">
      <c r="A118" s="1" t="str">
        <f t="shared" si="0"/>
        <v>600930</v>
      </c>
      <c r="B118" s="1">
        <v>129</v>
      </c>
      <c r="C118" s="1">
        <v>14</v>
      </c>
      <c r="D118" s="1">
        <v>6009</v>
      </c>
      <c r="E118" s="1" t="s">
        <v>46</v>
      </c>
      <c r="F118" s="1" t="s">
        <v>36</v>
      </c>
      <c r="G118" s="1" t="s">
        <v>51</v>
      </c>
      <c r="H118" s="1" t="s">
        <v>52</v>
      </c>
      <c r="I118" s="1" t="s">
        <v>290</v>
      </c>
      <c r="J118" s="1" t="s">
        <v>290</v>
      </c>
      <c r="K118" s="1">
        <v>12</v>
      </c>
      <c r="M118" s="1" t="str">
        <f>VLOOKUP(D118,HORARIOS!B:H,7,0)</f>
        <v>Dia 5</v>
      </c>
      <c r="N118" s="1">
        <f>VLOOKUP(D118,HORARIOS!B:I,8,0)</f>
        <v>30</v>
      </c>
      <c r="O118" s="1" t="str">
        <f>VLOOKUP(A118,HORARIOS!A:D,4,0)</f>
        <v>14:00 hrs</v>
      </c>
      <c r="P118" s="9" t="str">
        <f>VLOOKUP(A118,HORARIOS!A:E,5,0)</f>
        <v>17:00 hrs</v>
      </c>
    </row>
    <row r="119" spans="1:16" ht="15.75" customHeight="1" x14ac:dyDescent="0.25">
      <c r="A119" s="1" t="str">
        <f t="shared" si="0"/>
        <v>600930</v>
      </c>
      <c r="B119" s="1">
        <v>130</v>
      </c>
      <c r="C119" s="1">
        <v>14</v>
      </c>
      <c r="D119" s="1">
        <v>6009</v>
      </c>
      <c r="E119" s="1" t="s">
        <v>46</v>
      </c>
      <c r="F119" s="1" t="s">
        <v>36</v>
      </c>
      <c r="G119" s="1" t="s">
        <v>61</v>
      </c>
      <c r="H119" s="1" t="s">
        <v>62</v>
      </c>
      <c r="I119" s="1" t="s">
        <v>291</v>
      </c>
      <c r="J119" s="1" t="s">
        <v>292</v>
      </c>
      <c r="K119" s="1">
        <v>12</v>
      </c>
      <c r="L119" s="1" t="s">
        <v>64</v>
      </c>
      <c r="M119" s="1" t="str">
        <f>VLOOKUP(D119,HORARIOS!B:H,7,0)</f>
        <v>Dia 5</v>
      </c>
      <c r="N119" s="1">
        <f>VLOOKUP(D119,HORARIOS!B:I,8,0)</f>
        <v>30</v>
      </c>
      <c r="O119" s="1" t="str">
        <f>VLOOKUP(A119,HORARIOS!A:D,4,0)</f>
        <v>14:00 hrs</v>
      </c>
      <c r="P119" s="9" t="str">
        <f>VLOOKUP(A119,HORARIOS!A:E,5,0)</f>
        <v>17:00 hrs</v>
      </c>
    </row>
    <row r="120" spans="1:16" ht="15.75" customHeight="1" x14ac:dyDescent="0.25">
      <c r="A120" s="1" t="str">
        <f t="shared" si="0"/>
        <v>600930</v>
      </c>
      <c r="B120" s="1">
        <v>131</v>
      </c>
      <c r="C120" s="1">
        <v>14</v>
      </c>
      <c r="D120" s="1">
        <v>6009</v>
      </c>
      <c r="E120" s="1" t="s">
        <v>46</v>
      </c>
      <c r="F120" s="1" t="s">
        <v>36</v>
      </c>
      <c r="G120" s="1" t="s">
        <v>72</v>
      </c>
      <c r="H120" s="1" t="s">
        <v>73</v>
      </c>
      <c r="I120" s="1" t="s">
        <v>293</v>
      </c>
      <c r="J120" s="1" t="s">
        <v>293</v>
      </c>
      <c r="K120" s="1">
        <v>12</v>
      </c>
      <c r="M120" s="1" t="str">
        <f>VLOOKUP(D120,HORARIOS!B:H,7,0)</f>
        <v>Dia 5</v>
      </c>
      <c r="N120" s="1">
        <f>VLOOKUP(D120,HORARIOS!B:I,8,0)</f>
        <v>30</v>
      </c>
      <c r="O120" s="1" t="str">
        <f>VLOOKUP(A120,HORARIOS!A:D,4,0)</f>
        <v>14:00 hrs</v>
      </c>
      <c r="P120" s="9" t="str">
        <f>VLOOKUP(A120,HORARIOS!A:E,5,0)</f>
        <v>17:00 hrs</v>
      </c>
    </row>
    <row r="121" spans="1:16" ht="15.75" customHeight="1" x14ac:dyDescent="0.25">
      <c r="A121" s="1" t="str">
        <f t="shared" si="0"/>
        <v>600930</v>
      </c>
      <c r="B121" s="1">
        <v>132</v>
      </c>
      <c r="C121" s="1">
        <v>14</v>
      </c>
      <c r="D121" s="1">
        <v>6009</v>
      </c>
      <c r="E121" s="1" t="s">
        <v>46</v>
      </c>
      <c r="F121" s="1" t="s">
        <v>36</v>
      </c>
      <c r="G121" s="1" t="s">
        <v>88</v>
      </c>
      <c r="H121" s="1" t="s">
        <v>90</v>
      </c>
      <c r="I121" s="1" t="s">
        <v>294</v>
      </c>
      <c r="J121" s="1" t="s">
        <v>294</v>
      </c>
      <c r="K121" s="1">
        <v>12</v>
      </c>
      <c r="M121" s="1" t="str">
        <f>VLOOKUP(D121,HORARIOS!B:H,7,0)</f>
        <v>Dia 5</v>
      </c>
      <c r="N121" s="1">
        <f>VLOOKUP(D121,HORARIOS!B:I,8,0)</f>
        <v>30</v>
      </c>
      <c r="O121" s="1" t="str">
        <f>VLOOKUP(A121,HORARIOS!A:D,4,0)</f>
        <v>14:00 hrs</v>
      </c>
      <c r="P121" s="9" t="str">
        <f>VLOOKUP(A121,HORARIOS!A:E,5,0)</f>
        <v>17:00 hrs</v>
      </c>
    </row>
    <row r="122" spans="1:16" ht="15.75" customHeight="1" x14ac:dyDescent="0.25">
      <c r="A122" s="1" t="str">
        <f t="shared" si="0"/>
        <v>600930</v>
      </c>
      <c r="B122" s="1">
        <v>133</v>
      </c>
      <c r="C122" s="1">
        <v>14</v>
      </c>
      <c r="D122" s="1">
        <v>6009</v>
      </c>
      <c r="E122" s="1" t="s">
        <v>46</v>
      </c>
      <c r="F122" s="1" t="s">
        <v>36</v>
      </c>
      <c r="G122" s="1" t="s">
        <v>96</v>
      </c>
      <c r="H122" s="1" t="s">
        <v>62</v>
      </c>
      <c r="I122" s="1" t="s">
        <v>295</v>
      </c>
      <c r="J122" s="1" t="s">
        <v>296</v>
      </c>
      <c r="K122" s="1">
        <v>12</v>
      </c>
      <c r="M122" s="1" t="str">
        <f>VLOOKUP(D122,HORARIOS!B:H,7,0)</f>
        <v>Dia 5</v>
      </c>
      <c r="N122" s="1">
        <f>VLOOKUP(D122,HORARIOS!B:I,8,0)</f>
        <v>30</v>
      </c>
      <c r="O122" s="1" t="str">
        <f>VLOOKUP(A122,HORARIOS!A:D,4,0)</f>
        <v>14:00 hrs</v>
      </c>
      <c r="P122" s="9" t="str">
        <f>VLOOKUP(A122,HORARIOS!A:E,5,0)</f>
        <v>17:00 hrs</v>
      </c>
    </row>
    <row r="123" spans="1:16" ht="15.75" customHeight="1" x14ac:dyDescent="0.25">
      <c r="A123" s="1" t="str">
        <f t="shared" si="0"/>
        <v>600930</v>
      </c>
      <c r="B123" s="1">
        <v>134</v>
      </c>
      <c r="C123" s="1">
        <v>14</v>
      </c>
      <c r="D123" s="1">
        <v>6009</v>
      </c>
      <c r="E123" s="1" t="s">
        <v>46</v>
      </c>
      <c r="F123" s="1" t="s">
        <v>36</v>
      </c>
      <c r="G123" s="1" t="s">
        <v>98</v>
      </c>
      <c r="H123" s="1" t="s">
        <v>99</v>
      </c>
      <c r="I123" s="1" t="s">
        <v>297</v>
      </c>
      <c r="J123" s="1" t="s">
        <v>297</v>
      </c>
      <c r="K123" s="1">
        <v>12</v>
      </c>
      <c r="L123" s="1" t="s">
        <v>101</v>
      </c>
      <c r="M123" s="1" t="str">
        <f>VLOOKUP(D123,HORARIOS!B:H,7,0)</f>
        <v>Dia 5</v>
      </c>
      <c r="N123" s="1">
        <f>VLOOKUP(D123,HORARIOS!B:I,8,0)</f>
        <v>30</v>
      </c>
      <c r="O123" s="1" t="str">
        <f>VLOOKUP(A123,HORARIOS!A:D,4,0)</f>
        <v>14:00 hrs</v>
      </c>
      <c r="P123" s="9" t="str">
        <f>VLOOKUP(A123,HORARIOS!A:E,5,0)</f>
        <v>17:00 hrs</v>
      </c>
    </row>
    <row r="124" spans="1:16" ht="15.75" customHeight="1" x14ac:dyDescent="0.25">
      <c r="A124" s="1" t="str">
        <f t="shared" si="0"/>
        <v>600930</v>
      </c>
      <c r="B124" s="1">
        <v>135</v>
      </c>
      <c r="C124" s="1">
        <v>14</v>
      </c>
      <c r="D124" s="1">
        <v>6009</v>
      </c>
      <c r="E124" s="1" t="s">
        <v>46</v>
      </c>
      <c r="F124" s="1" t="s">
        <v>36</v>
      </c>
      <c r="G124" s="1" t="s">
        <v>98</v>
      </c>
      <c r="H124" s="1" t="s">
        <v>99</v>
      </c>
      <c r="I124" s="1" t="s">
        <v>298</v>
      </c>
      <c r="J124" s="1" t="s">
        <v>298</v>
      </c>
      <c r="K124" s="1">
        <v>12</v>
      </c>
      <c r="L124" s="1" t="s">
        <v>101</v>
      </c>
      <c r="M124" s="1" t="str">
        <f>VLOOKUP(D124,HORARIOS!B:H,7,0)</f>
        <v>Dia 5</v>
      </c>
      <c r="N124" s="1">
        <f>VLOOKUP(D124,HORARIOS!B:I,8,0)</f>
        <v>30</v>
      </c>
      <c r="O124" s="1" t="str">
        <f>VLOOKUP(A124,HORARIOS!A:D,4,0)</f>
        <v>14:00 hrs</v>
      </c>
      <c r="P124" s="9" t="str">
        <f>VLOOKUP(A124,HORARIOS!A:E,5,0)</f>
        <v>17:00 hrs</v>
      </c>
    </row>
    <row r="125" spans="1:16" ht="15.75" customHeight="1" x14ac:dyDescent="0.25">
      <c r="A125" s="1" t="str">
        <f t="shared" si="0"/>
        <v>600930</v>
      </c>
      <c r="B125" s="1">
        <v>137</v>
      </c>
      <c r="C125" s="1">
        <v>14</v>
      </c>
      <c r="D125" s="1">
        <v>6009</v>
      </c>
      <c r="E125" s="1" t="s">
        <v>46</v>
      </c>
      <c r="F125" s="1" t="s">
        <v>36</v>
      </c>
      <c r="G125" s="1" t="s">
        <v>98</v>
      </c>
      <c r="H125" s="1" t="s">
        <v>99</v>
      </c>
      <c r="I125" s="1" t="s">
        <v>299</v>
      </c>
      <c r="J125" s="1" t="s">
        <v>299</v>
      </c>
      <c r="K125" s="1">
        <v>12</v>
      </c>
      <c r="L125" s="1" t="s">
        <v>101</v>
      </c>
      <c r="M125" s="1" t="str">
        <f>VLOOKUP(D125,HORARIOS!B:H,7,0)</f>
        <v>Dia 5</v>
      </c>
      <c r="N125" s="1">
        <f>VLOOKUP(D125,HORARIOS!B:I,8,0)</f>
        <v>30</v>
      </c>
      <c r="O125" s="1" t="str">
        <f>VLOOKUP(A125,HORARIOS!A:D,4,0)</f>
        <v>14:00 hrs</v>
      </c>
      <c r="P125" s="9" t="str">
        <f>VLOOKUP(A125,HORARIOS!A:E,5,0)</f>
        <v>17:00 hrs</v>
      </c>
    </row>
    <row r="126" spans="1:16" ht="15.75" customHeight="1" x14ac:dyDescent="0.25">
      <c r="A126" s="1" t="str">
        <f t="shared" si="0"/>
        <v>600930</v>
      </c>
      <c r="B126" s="1">
        <v>138</v>
      </c>
      <c r="C126" s="1">
        <v>14</v>
      </c>
      <c r="D126" s="1">
        <v>6009</v>
      </c>
      <c r="E126" s="1" t="s">
        <v>46</v>
      </c>
      <c r="F126" s="1" t="s">
        <v>36</v>
      </c>
      <c r="G126" s="1" t="s">
        <v>98</v>
      </c>
      <c r="H126" s="1" t="s">
        <v>99</v>
      </c>
      <c r="I126" s="1" t="s">
        <v>300</v>
      </c>
      <c r="J126" s="1" t="s">
        <v>300</v>
      </c>
      <c r="K126" s="1">
        <v>12</v>
      </c>
      <c r="L126" s="1" t="s">
        <v>101</v>
      </c>
      <c r="M126" s="1" t="str">
        <f>VLOOKUP(D126,HORARIOS!B:H,7,0)</f>
        <v>Dia 5</v>
      </c>
      <c r="N126" s="1">
        <f>VLOOKUP(D126,HORARIOS!B:I,8,0)</f>
        <v>30</v>
      </c>
      <c r="O126" s="1" t="str">
        <f>VLOOKUP(A126,HORARIOS!A:D,4,0)</f>
        <v>14:00 hrs</v>
      </c>
      <c r="P126" s="9" t="str">
        <f>VLOOKUP(A126,HORARIOS!A:E,5,0)</f>
        <v>17:00 hrs</v>
      </c>
    </row>
    <row r="127" spans="1:16" ht="15.75" customHeight="1" x14ac:dyDescent="0.25">
      <c r="A127" s="1" t="str">
        <f t="shared" si="0"/>
        <v>600930</v>
      </c>
      <c r="B127" s="1">
        <v>139</v>
      </c>
      <c r="C127" s="1">
        <v>14</v>
      </c>
      <c r="D127" s="1">
        <v>6009</v>
      </c>
      <c r="E127" s="1" t="s">
        <v>46</v>
      </c>
      <c r="F127" s="1" t="s">
        <v>36</v>
      </c>
      <c r="G127" s="1" t="s">
        <v>114</v>
      </c>
      <c r="H127" s="1" t="s">
        <v>39</v>
      </c>
      <c r="I127" s="1" t="s">
        <v>52</v>
      </c>
      <c r="J127" s="1" t="s">
        <v>52</v>
      </c>
      <c r="K127" s="1">
        <v>2</v>
      </c>
      <c r="L127" s="1" t="s">
        <v>115</v>
      </c>
      <c r="M127" s="1" t="str">
        <f>VLOOKUP(D127,HORARIOS!B:H,7,0)</f>
        <v>Dia 5</v>
      </c>
      <c r="N127" s="1">
        <f>VLOOKUP(D127,HORARIOS!B:I,8,0)</f>
        <v>30</v>
      </c>
      <c r="O127" s="1" t="str">
        <f>VLOOKUP(A127,HORARIOS!A:D,4,0)</f>
        <v>14:00 hrs</v>
      </c>
      <c r="P127" s="9" t="str">
        <f>VLOOKUP(A127,HORARIOS!A:E,5,0)</f>
        <v>17:00 hrs</v>
      </c>
    </row>
    <row r="128" spans="1:16" ht="15.75" customHeight="1" x14ac:dyDescent="0.25">
      <c r="A128" s="1" t="str">
        <f t="shared" si="0"/>
        <v>600930</v>
      </c>
      <c r="B128" s="1">
        <v>140</v>
      </c>
      <c r="C128" s="1">
        <v>14</v>
      </c>
      <c r="D128" s="1">
        <v>6009</v>
      </c>
      <c r="E128" s="1" t="s">
        <v>46</v>
      </c>
      <c r="F128" s="1" t="s">
        <v>36</v>
      </c>
      <c r="G128" s="1" t="s">
        <v>134</v>
      </c>
      <c r="H128" s="1" t="s">
        <v>135</v>
      </c>
      <c r="I128" s="1" t="s">
        <v>301</v>
      </c>
      <c r="J128" s="1" t="s">
        <v>302</v>
      </c>
      <c r="K128" s="1">
        <v>12</v>
      </c>
      <c r="L128" s="1" t="s">
        <v>138</v>
      </c>
      <c r="M128" s="1" t="str">
        <f>VLOOKUP(D128,HORARIOS!B:H,7,0)</f>
        <v>Dia 5</v>
      </c>
      <c r="N128" s="1">
        <f>VLOOKUP(D128,HORARIOS!B:I,8,0)</f>
        <v>30</v>
      </c>
      <c r="O128" s="1" t="str">
        <f>VLOOKUP(A128,HORARIOS!A:D,4,0)</f>
        <v>14:00 hrs</v>
      </c>
      <c r="P128" s="9" t="str">
        <f>VLOOKUP(A128,HORARIOS!A:E,5,0)</f>
        <v>17:00 hrs</v>
      </c>
    </row>
    <row r="129" spans="1:16" ht="15.75" customHeight="1" x14ac:dyDescent="0.25">
      <c r="A129" s="1" t="str">
        <f t="shared" si="0"/>
        <v>600930</v>
      </c>
      <c r="B129" s="1">
        <v>141</v>
      </c>
      <c r="C129" s="1">
        <v>14</v>
      </c>
      <c r="D129" s="1">
        <v>6009</v>
      </c>
      <c r="E129" s="1" t="s">
        <v>46</v>
      </c>
      <c r="F129" s="1" t="s">
        <v>36</v>
      </c>
      <c r="G129" s="1" t="s">
        <v>145</v>
      </c>
      <c r="H129" s="1" t="s">
        <v>52</v>
      </c>
      <c r="I129" s="1" t="s">
        <v>303</v>
      </c>
      <c r="J129" s="1" t="s">
        <v>303</v>
      </c>
      <c r="K129" s="1">
        <v>12</v>
      </c>
      <c r="M129" s="1" t="str">
        <f>VLOOKUP(D129,HORARIOS!B:H,7,0)</f>
        <v>Dia 5</v>
      </c>
      <c r="N129" s="1">
        <f>VLOOKUP(D129,HORARIOS!B:I,8,0)</f>
        <v>30</v>
      </c>
      <c r="O129" s="1" t="str">
        <f>VLOOKUP(A129,HORARIOS!A:D,4,0)</f>
        <v>14:00 hrs</v>
      </c>
      <c r="P129" s="9" t="str">
        <f>VLOOKUP(A129,HORARIOS!A:E,5,0)</f>
        <v>17:00 hrs</v>
      </c>
    </row>
    <row r="130" spans="1:16" ht="15.75" customHeight="1" x14ac:dyDescent="0.25">
      <c r="A130" s="1" t="str">
        <f t="shared" si="0"/>
        <v>600930</v>
      </c>
      <c r="B130" s="1">
        <v>142</v>
      </c>
      <c r="C130" s="1">
        <v>14</v>
      </c>
      <c r="D130" s="1">
        <v>6009</v>
      </c>
      <c r="E130" s="1" t="s">
        <v>46</v>
      </c>
      <c r="F130" s="1" t="s">
        <v>36</v>
      </c>
      <c r="G130" s="1" t="s">
        <v>159</v>
      </c>
      <c r="H130" s="1" t="s">
        <v>160</v>
      </c>
      <c r="I130" s="1" t="s">
        <v>304</v>
      </c>
      <c r="J130" s="1" t="s">
        <v>304</v>
      </c>
      <c r="K130" s="1">
        <v>12</v>
      </c>
      <c r="M130" s="1" t="str">
        <f>VLOOKUP(D130,HORARIOS!B:H,7,0)</f>
        <v>Dia 5</v>
      </c>
      <c r="N130" s="1">
        <f>VLOOKUP(D130,HORARIOS!B:I,8,0)</f>
        <v>30</v>
      </c>
      <c r="O130" s="1" t="str">
        <f>VLOOKUP(A130,HORARIOS!A:D,4,0)</f>
        <v>14:00 hrs</v>
      </c>
      <c r="P130" s="9" t="str">
        <f>VLOOKUP(A130,HORARIOS!A:E,5,0)</f>
        <v>17:00 hrs</v>
      </c>
    </row>
    <row r="131" spans="1:16" ht="15.75" customHeight="1" x14ac:dyDescent="0.25">
      <c r="A131" s="1" t="str">
        <f t="shared" si="0"/>
        <v>601029</v>
      </c>
      <c r="B131" s="1">
        <v>143</v>
      </c>
      <c r="C131" s="1">
        <v>13</v>
      </c>
      <c r="D131" s="1">
        <v>6010</v>
      </c>
      <c r="E131" s="1" t="s">
        <v>47</v>
      </c>
      <c r="F131" s="1" t="s">
        <v>36</v>
      </c>
      <c r="G131" s="1" t="s">
        <v>37</v>
      </c>
      <c r="H131" s="1" t="s">
        <v>39</v>
      </c>
      <c r="K131" s="1">
        <v>0</v>
      </c>
      <c r="L131" s="1" t="s">
        <v>305</v>
      </c>
      <c r="M131" s="1" t="str">
        <f>VLOOKUP(D131,HORARIOS!B:H,7,0)</f>
        <v>Dia 5</v>
      </c>
      <c r="N131" s="1">
        <f>VLOOKUP(D131,HORARIOS!B:I,8,0)</f>
        <v>29</v>
      </c>
      <c r="O131" s="1" t="str">
        <f>VLOOKUP(A131,HORARIOS!A:D,4,0)</f>
        <v>13:00 hrs</v>
      </c>
      <c r="P131" s="9" t="str">
        <f>VLOOKUP(A131,HORARIOS!A:E,5,0)</f>
        <v>16:30 hrs</v>
      </c>
    </row>
    <row r="132" spans="1:16" ht="15.75" customHeight="1" x14ac:dyDescent="0.25">
      <c r="A132" s="1" t="str">
        <f t="shared" si="0"/>
        <v>601029</v>
      </c>
      <c r="B132" s="1">
        <v>145</v>
      </c>
      <c r="C132" s="1">
        <v>13</v>
      </c>
      <c r="D132" s="1">
        <v>6010</v>
      </c>
      <c r="E132" s="1" t="s">
        <v>47</v>
      </c>
      <c r="F132" s="1" t="s">
        <v>36</v>
      </c>
      <c r="G132" s="1" t="s">
        <v>51</v>
      </c>
      <c r="H132" s="1" t="s">
        <v>52</v>
      </c>
      <c r="I132" s="1" t="s">
        <v>306</v>
      </c>
      <c r="J132" s="1" t="s">
        <v>307</v>
      </c>
      <c r="K132" s="1">
        <v>12</v>
      </c>
      <c r="M132" s="1" t="str">
        <f>VLOOKUP(D132,HORARIOS!B:H,7,0)</f>
        <v>Dia 5</v>
      </c>
      <c r="N132" s="1">
        <f>VLOOKUP(D132,HORARIOS!B:I,8,0)</f>
        <v>29</v>
      </c>
      <c r="O132" s="1" t="str">
        <f>VLOOKUP(A132,HORARIOS!A:D,4,0)</f>
        <v>13:00 hrs</v>
      </c>
      <c r="P132" s="9" t="str">
        <f>VLOOKUP(A132,HORARIOS!A:E,5,0)</f>
        <v>16:30 hrs</v>
      </c>
    </row>
    <row r="133" spans="1:16" ht="15.75" customHeight="1" x14ac:dyDescent="0.25">
      <c r="A133" s="1" t="str">
        <f t="shared" si="0"/>
        <v>601029</v>
      </c>
      <c r="B133" s="1">
        <v>146</v>
      </c>
      <c r="C133" s="1">
        <v>13</v>
      </c>
      <c r="D133" s="1">
        <v>6010</v>
      </c>
      <c r="E133" s="1" t="s">
        <v>47</v>
      </c>
      <c r="F133" s="1" t="s">
        <v>36</v>
      </c>
      <c r="G133" s="1" t="s">
        <v>61</v>
      </c>
      <c r="H133" s="1" t="s">
        <v>62</v>
      </c>
      <c r="I133" s="1" t="s">
        <v>308</v>
      </c>
      <c r="J133" s="1" t="s">
        <v>308</v>
      </c>
      <c r="K133" s="1">
        <v>12</v>
      </c>
      <c r="L133" s="1" t="s">
        <v>64</v>
      </c>
      <c r="M133" s="1" t="str">
        <f>VLOOKUP(D133,HORARIOS!B:H,7,0)</f>
        <v>Dia 5</v>
      </c>
      <c r="N133" s="1">
        <f>VLOOKUP(D133,HORARIOS!B:I,8,0)</f>
        <v>29</v>
      </c>
      <c r="O133" s="1" t="str">
        <f>VLOOKUP(A133,HORARIOS!A:D,4,0)</f>
        <v>13:00 hrs</v>
      </c>
      <c r="P133" s="9" t="str">
        <f>VLOOKUP(A133,HORARIOS!A:E,5,0)</f>
        <v>16:30 hrs</v>
      </c>
    </row>
    <row r="134" spans="1:16" ht="15.75" customHeight="1" x14ac:dyDescent="0.25">
      <c r="A134" s="1" t="str">
        <f t="shared" si="0"/>
        <v>601029</v>
      </c>
      <c r="B134" s="1">
        <v>147</v>
      </c>
      <c r="C134" s="1">
        <v>13</v>
      </c>
      <c r="D134" s="1">
        <v>6010</v>
      </c>
      <c r="E134" s="1" t="s">
        <v>47</v>
      </c>
      <c r="F134" s="1" t="s">
        <v>36</v>
      </c>
      <c r="G134" s="1" t="s">
        <v>72</v>
      </c>
      <c r="H134" s="1" t="s">
        <v>73</v>
      </c>
      <c r="I134" s="1" t="s">
        <v>309</v>
      </c>
      <c r="J134" s="1" t="s">
        <v>309</v>
      </c>
      <c r="K134" s="1">
        <v>12</v>
      </c>
      <c r="M134" s="1" t="str">
        <f>VLOOKUP(D134,HORARIOS!B:H,7,0)</f>
        <v>Dia 5</v>
      </c>
      <c r="N134" s="1">
        <f>VLOOKUP(D134,HORARIOS!B:I,8,0)</f>
        <v>29</v>
      </c>
      <c r="O134" s="1" t="str">
        <f>VLOOKUP(A134,HORARIOS!A:D,4,0)</f>
        <v>13:00 hrs</v>
      </c>
      <c r="P134" s="9" t="str">
        <f>VLOOKUP(A134,HORARIOS!A:E,5,0)</f>
        <v>16:30 hrs</v>
      </c>
    </row>
    <row r="135" spans="1:16" ht="15.75" customHeight="1" x14ac:dyDescent="0.25">
      <c r="A135" s="1" t="str">
        <f t="shared" si="0"/>
        <v>601029</v>
      </c>
      <c r="B135" s="1">
        <v>148</v>
      </c>
      <c r="C135" s="1">
        <v>13</v>
      </c>
      <c r="D135" s="1">
        <v>6010</v>
      </c>
      <c r="E135" s="1" t="s">
        <v>47</v>
      </c>
      <c r="F135" s="1" t="s">
        <v>36</v>
      </c>
      <c r="G135" s="1" t="s">
        <v>88</v>
      </c>
      <c r="H135" s="1" t="s">
        <v>90</v>
      </c>
      <c r="I135" s="1" t="s">
        <v>310</v>
      </c>
      <c r="J135" s="1" t="s">
        <v>310</v>
      </c>
      <c r="K135" s="1">
        <v>12</v>
      </c>
      <c r="M135" s="1" t="str">
        <f>VLOOKUP(D135,HORARIOS!B:H,7,0)</f>
        <v>Dia 5</v>
      </c>
      <c r="N135" s="1">
        <f>VLOOKUP(D135,HORARIOS!B:I,8,0)</f>
        <v>29</v>
      </c>
      <c r="O135" s="1" t="str">
        <f>VLOOKUP(A135,HORARIOS!A:D,4,0)</f>
        <v>13:00 hrs</v>
      </c>
      <c r="P135" s="9" t="str">
        <f>VLOOKUP(A135,HORARIOS!A:E,5,0)</f>
        <v>16:30 hrs</v>
      </c>
    </row>
    <row r="136" spans="1:16" ht="15.75" customHeight="1" x14ac:dyDescent="0.25">
      <c r="A136" s="1" t="str">
        <f t="shared" si="0"/>
        <v>601029</v>
      </c>
      <c r="B136" s="1">
        <v>149</v>
      </c>
      <c r="C136" s="1">
        <v>13</v>
      </c>
      <c r="D136" s="1">
        <v>6010</v>
      </c>
      <c r="E136" s="1" t="s">
        <v>47</v>
      </c>
      <c r="F136" s="1" t="s">
        <v>36</v>
      </c>
      <c r="G136" s="1" t="s">
        <v>96</v>
      </c>
      <c r="H136" s="1" t="s">
        <v>62</v>
      </c>
      <c r="I136" s="1" t="s">
        <v>311</v>
      </c>
      <c r="J136" s="1" t="s">
        <v>312</v>
      </c>
      <c r="K136" s="1">
        <v>12</v>
      </c>
      <c r="M136" s="1" t="str">
        <f>VLOOKUP(D136,HORARIOS!B:H,7,0)</f>
        <v>Dia 5</v>
      </c>
      <c r="N136" s="1">
        <f>VLOOKUP(D136,HORARIOS!B:I,8,0)</f>
        <v>29</v>
      </c>
      <c r="O136" s="1" t="str">
        <f>VLOOKUP(A136,HORARIOS!A:D,4,0)</f>
        <v>13:00 hrs</v>
      </c>
      <c r="P136" s="9" t="str">
        <f>VLOOKUP(A136,HORARIOS!A:E,5,0)</f>
        <v>16:30 hrs</v>
      </c>
    </row>
    <row r="137" spans="1:16" ht="15.75" customHeight="1" x14ac:dyDescent="0.25">
      <c r="A137" s="1" t="str">
        <f t="shared" si="0"/>
        <v>601029</v>
      </c>
      <c r="B137" s="1">
        <v>150</v>
      </c>
      <c r="C137" s="1">
        <v>13</v>
      </c>
      <c r="D137" s="1">
        <v>6010</v>
      </c>
      <c r="E137" s="1" t="s">
        <v>47</v>
      </c>
      <c r="F137" s="1" t="s">
        <v>36</v>
      </c>
      <c r="G137" s="1" t="s">
        <v>98</v>
      </c>
      <c r="H137" s="1" t="s">
        <v>99</v>
      </c>
      <c r="I137" s="1" t="s">
        <v>313</v>
      </c>
      <c r="J137" s="1" t="s">
        <v>313</v>
      </c>
      <c r="K137" s="1">
        <v>12</v>
      </c>
      <c r="L137" s="1" t="s">
        <v>101</v>
      </c>
      <c r="M137" s="1" t="str">
        <f>VLOOKUP(D137,HORARIOS!B:H,7,0)</f>
        <v>Dia 5</v>
      </c>
      <c r="N137" s="1">
        <f>VLOOKUP(D137,HORARIOS!B:I,8,0)</f>
        <v>29</v>
      </c>
      <c r="O137" s="1" t="str">
        <f>VLOOKUP(A137,HORARIOS!A:D,4,0)</f>
        <v>13:00 hrs</v>
      </c>
      <c r="P137" s="9" t="str">
        <f>VLOOKUP(A137,HORARIOS!A:E,5,0)</f>
        <v>16:30 hrs</v>
      </c>
    </row>
    <row r="138" spans="1:16" ht="15.75" customHeight="1" x14ac:dyDescent="0.25">
      <c r="A138" s="1" t="str">
        <f t="shared" si="0"/>
        <v>601029</v>
      </c>
      <c r="B138" s="1">
        <v>151</v>
      </c>
      <c r="C138" s="1">
        <v>13</v>
      </c>
      <c r="D138" s="1">
        <v>6010</v>
      </c>
      <c r="E138" s="1" t="s">
        <v>47</v>
      </c>
      <c r="F138" s="1" t="s">
        <v>36</v>
      </c>
      <c r="G138" s="1" t="s">
        <v>98</v>
      </c>
      <c r="H138" s="1" t="s">
        <v>99</v>
      </c>
      <c r="I138" s="1" t="s">
        <v>314</v>
      </c>
      <c r="J138" s="1" t="s">
        <v>314</v>
      </c>
      <c r="K138" s="1">
        <v>12</v>
      </c>
      <c r="L138" s="1" t="s">
        <v>101</v>
      </c>
      <c r="M138" s="1" t="str">
        <f>VLOOKUP(D138,HORARIOS!B:H,7,0)</f>
        <v>Dia 5</v>
      </c>
      <c r="N138" s="1">
        <f>VLOOKUP(D138,HORARIOS!B:I,8,0)</f>
        <v>29</v>
      </c>
      <c r="O138" s="1" t="str">
        <f>VLOOKUP(A138,HORARIOS!A:D,4,0)</f>
        <v>13:00 hrs</v>
      </c>
      <c r="P138" s="9" t="str">
        <f>VLOOKUP(A138,HORARIOS!A:E,5,0)</f>
        <v>16:30 hrs</v>
      </c>
    </row>
    <row r="139" spans="1:16" ht="15.75" customHeight="1" x14ac:dyDescent="0.25">
      <c r="A139" s="1" t="str">
        <f t="shared" si="0"/>
        <v>601029</v>
      </c>
      <c r="B139" s="1">
        <v>153</v>
      </c>
      <c r="C139" s="1">
        <v>13</v>
      </c>
      <c r="D139" s="1">
        <v>6010</v>
      </c>
      <c r="E139" s="1" t="s">
        <v>47</v>
      </c>
      <c r="F139" s="1" t="s">
        <v>36</v>
      </c>
      <c r="G139" s="1" t="s">
        <v>98</v>
      </c>
      <c r="H139" s="1" t="s">
        <v>99</v>
      </c>
      <c r="I139" s="1" t="s">
        <v>315</v>
      </c>
      <c r="J139" s="1" t="s">
        <v>315</v>
      </c>
      <c r="K139" s="1">
        <v>12</v>
      </c>
      <c r="L139" s="1" t="s">
        <v>101</v>
      </c>
      <c r="M139" s="1" t="str">
        <f>VLOOKUP(D139,HORARIOS!B:H,7,0)</f>
        <v>Dia 5</v>
      </c>
      <c r="N139" s="1">
        <f>VLOOKUP(D139,HORARIOS!B:I,8,0)</f>
        <v>29</v>
      </c>
      <c r="O139" s="1" t="str">
        <f>VLOOKUP(A139,HORARIOS!A:D,4,0)</f>
        <v>13:00 hrs</v>
      </c>
      <c r="P139" s="9" t="str">
        <f>VLOOKUP(A139,HORARIOS!A:E,5,0)</f>
        <v>16:30 hrs</v>
      </c>
    </row>
    <row r="140" spans="1:16" ht="15.75" customHeight="1" x14ac:dyDescent="0.25">
      <c r="A140" s="1" t="str">
        <f t="shared" si="0"/>
        <v>601029</v>
      </c>
      <c r="B140" s="1">
        <v>154</v>
      </c>
      <c r="C140" s="1">
        <v>13</v>
      </c>
      <c r="D140" s="1">
        <v>6010</v>
      </c>
      <c r="E140" s="1" t="s">
        <v>47</v>
      </c>
      <c r="F140" s="1" t="s">
        <v>36</v>
      </c>
      <c r="G140" s="1" t="s">
        <v>114</v>
      </c>
      <c r="H140" s="1" t="s">
        <v>39</v>
      </c>
      <c r="I140" s="1" t="s">
        <v>52</v>
      </c>
      <c r="J140" s="1" t="s">
        <v>52</v>
      </c>
      <c r="K140" s="1">
        <v>2</v>
      </c>
      <c r="L140" s="1" t="s">
        <v>115</v>
      </c>
      <c r="M140" s="1" t="str">
        <f>VLOOKUP(D140,HORARIOS!B:H,7,0)</f>
        <v>Dia 5</v>
      </c>
      <c r="N140" s="1">
        <f>VLOOKUP(D140,HORARIOS!B:I,8,0)</f>
        <v>29</v>
      </c>
      <c r="O140" s="1" t="str">
        <f>VLOOKUP(A140,HORARIOS!A:D,4,0)</f>
        <v>13:00 hrs</v>
      </c>
      <c r="P140" s="9" t="str">
        <f>VLOOKUP(A140,HORARIOS!A:E,5,0)</f>
        <v>16:30 hrs</v>
      </c>
    </row>
    <row r="141" spans="1:16" ht="15.75" customHeight="1" x14ac:dyDescent="0.25">
      <c r="A141" s="1" t="str">
        <f t="shared" si="0"/>
        <v>601029</v>
      </c>
      <c r="B141" s="1">
        <v>155</v>
      </c>
      <c r="C141" s="1">
        <v>13</v>
      </c>
      <c r="D141" s="1">
        <v>6010</v>
      </c>
      <c r="E141" s="1" t="s">
        <v>47</v>
      </c>
      <c r="F141" s="1" t="s">
        <v>36</v>
      </c>
      <c r="G141" s="1" t="s">
        <v>134</v>
      </c>
      <c r="H141" s="1" t="s">
        <v>135</v>
      </c>
      <c r="I141" s="1" t="s">
        <v>316</v>
      </c>
      <c r="J141" s="1" t="s">
        <v>317</v>
      </c>
      <c r="K141" s="1">
        <v>12</v>
      </c>
      <c r="L141" s="1" t="s">
        <v>138</v>
      </c>
      <c r="M141" s="1" t="str">
        <f>VLOOKUP(D141,HORARIOS!B:H,7,0)</f>
        <v>Dia 5</v>
      </c>
      <c r="N141" s="1">
        <f>VLOOKUP(D141,HORARIOS!B:I,8,0)</f>
        <v>29</v>
      </c>
      <c r="O141" s="1" t="str">
        <f>VLOOKUP(A141,HORARIOS!A:D,4,0)</f>
        <v>13:00 hrs</v>
      </c>
      <c r="P141" s="9" t="str">
        <f>VLOOKUP(A141,HORARIOS!A:E,5,0)</f>
        <v>16:30 hrs</v>
      </c>
    </row>
    <row r="142" spans="1:16" ht="15.75" customHeight="1" x14ac:dyDescent="0.25">
      <c r="A142" s="1" t="str">
        <f t="shared" si="0"/>
        <v>601029</v>
      </c>
      <c r="B142" s="1">
        <v>156</v>
      </c>
      <c r="C142" s="1">
        <v>13</v>
      </c>
      <c r="D142" s="1">
        <v>6010</v>
      </c>
      <c r="E142" s="1" t="s">
        <v>47</v>
      </c>
      <c r="F142" s="1" t="s">
        <v>36</v>
      </c>
      <c r="G142" s="1" t="s">
        <v>145</v>
      </c>
      <c r="H142" s="1" t="s">
        <v>52</v>
      </c>
      <c r="I142" s="1" t="s">
        <v>318</v>
      </c>
      <c r="J142" s="1" t="s">
        <v>318</v>
      </c>
      <c r="K142" s="1">
        <v>12</v>
      </c>
      <c r="M142" s="1" t="str">
        <f>VLOOKUP(D142,HORARIOS!B:H,7,0)</f>
        <v>Dia 5</v>
      </c>
      <c r="N142" s="1">
        <f>VLOOKUP(D142,HORARIOS!B:I,8,0)</f>
        <v>29</v>
      </c>
      <c r="O142" s="1" t="str">
        <f>VLOOKUP(A142,HORARIOS!A:D,4,0)</f>
        <v>13:00 hrs</v>
      </c>
      <c r="P142" s="9" t="str">
        <f>VLOOKUP(A142,HORARIOS!A:E,5,0)</f>
        <v>16:30 hrs</v>
      </c>
    </row>
    <row r="143" spans="1:16" ht="15.75" customHeight="1" x14ac:dyDescent="0.25">
      <c r="A143" s="1" t="str">
        <f t="shared" si="0"/>
        <v>601029</v>
      </c>
      <c r="B143" s="1">
        <v>157</v>
      </c>
      <c r="C143" s="1">
        <v>13</v>
      </c>
      <c r="D143" s="1">
        <v>6010</v>
      </c>
      <c r="E143" s="1" t="s">
        <v>47</v>
      </c>
      <c r="F143" s="1" t="s">
        <v>36</v>
      </c>
      <c r="G143" s="1" t="s">
        <v>159</v>
      </c>
      <c r="H143" s="1" t="s">
        <v>319</v>
      </c>
      <c r="I143" s="1" t="s">
        <v>320</v>
      </c>
      <c r="J143" s="1" t="s">
        <v>320</v>
      </c>
      <c r="K143" s="1">
        <v>12</v>
      </c>
      <c r="M143" s="1" t="str">
        <f>VLOOKUP(D143,HORARIOS!B:H,7,0)</f>
        <v>Dia 5</v>
      </c>
      <c r="N143" s="1">
        <f>VLOOKUP(D143,HORARIOS!B:I,8,0)</f>
        <v>29</v>
      </c>
      <c r="O143" s="1" t="str">
        <f>VLOOKUP(A143,HORARIOS!A:D,4,0)</f>
        <v>13:00 hrs</v>
      </c>
      <c r="P143" s="9" t="str">
        <f>VLOOKUP(A143,HORARIOS!A:E,5,0)</f>
        <v>16:30 hrs</v>
      </c>
    </row>
    <row r="144" spans="1:16" ht="15.75" customHeight="1" x14ac:dyDescent="0.25">
      <c r="A144" s="1" t="str">
        <f t="shared" si="0"/>
        <v>601134</v>
      </c>
      <c r="B144" s="1">
        <v>158</v>
      </c>
      <c r="C144" s="1">
        <v>13</v>
      </c>
      <c r="D144" s="1">
        <v>6011</v>
      </c>
      <c r="E144" s="1" t="s">
        <v>48</v>
      </c>
      <c r="F144" s="1" t="s">
        <v>36</v>
      </c>
      <c r="G144" s="1" t="s">
        <v>37</v>
      </c>
      <c r="H144" s="1" t="s">
        <v>39</v>
      </c>
      <c r="I144" s="1" t="s">
        <v>321</v>
      </c>
      <c r="J144" s="1" t="s">
        <v>321</v>
      </c>
      <c r="K144" s="1">
        <v>12</v>
      </c>
      <c r="L144" s="1" t="s">
        <v>41</v>
      </c>
      <c r="M144" s="1" t="str">
        <f>VLOOKUP(D144,HORARIOS!B:H,7,0)</f>
        <v>Día 6</v>
      </c>
      <c r="N144" s="1">
        <f>VLOOKUP(D144,HORARIOS!B:I,8,0)</f>
        <v>34</v>
      </c>
      <c r="O144" s="1" t="str">
        <f>VLOOKUP(A144,HORARIOS!A:D,4,0)</f>
        <v>11:00 hrs</v>
      </c>
      <c r="P144" s="9" t="str">
        <f>VLOOKUP(A144,HORARIOS!A:E,5,0)</f>
        <v>17:00 hrs</v>
      </c>
    </row>
    <row r="145" spans="1:16" ht="15.75" customHeight="1" x14ac:dyDescent="0.25">
      <c r="A145" s="1" t="str">
        <f t="shared" si="0"/>
        <v>601134</v>
      </c>
      <c r="B145" s="1">
        <v>159</v>
      </c>
      <c r="C145" s="1">
        <v>13</v>
      </c>
      <c r="D145" s="1">
        <v>6011</v>
      </c>
      <c r="E145" s="1" t="s">
        <v>48</v>
      </c>
      <c r="F145" s="1" t="s">
        <v>36</v>
      </c>
      <c r="G145" s="1" t="s">
        <v>51</v>
      </c>
      <c r="H145" s="1" t="s">
        <v>52</v>
      </c>
      <c r="I145" s="1" t="s">
        <v>322</v>
      </c>
      <c r="J145" s="1" t="s">
        <v>322</v>
      </c>
      <c r="K145" s="1">
        <v>12</v>
      </c>
      <c r="M145" s="1" t="str">
        <f>VLOOKUP(D145,HORARIOS!B:H,7,0)</f>
        <v>Día 6</v>
      </c>
      <c r="N145" s="1">
        <f>VLOOKUP(D145,HORARIOS!B:I,8,0)</f>
        <v>34</v>
      </c>
      <c r="O145" s="1" t="str">
        <f>VLOOKUP(A145,HORARIOS!A:D,4,0)</f>
        <v>11:00 hrs</v>
      </c>
      <c r="P145" s="9" t="str">
        <f>VLOOKUP(A145,HORARIOS!A:E,5,0)</f>
        <v>17:00 hrs</v>
      </c>
    </row>
    <row r="146" spans="1:16" ht="15.75" customHeight="1" x14ac:dyDescent="0.25">
      <c r="A146" s="1" t="str">
        <f t="shared" si="0"/>
        <v>601134</v>
      </c>
      <c r="B146" s="1">
        <v>161</v>
      </c>
      <c r="C146" s="1">
        <v>13</v>
      </c>
      <c r="D146" s="1">
        <v>6011</v>
      </c>
      <c r="E146" s="1" t="s">
        <v>48</v>
      </c>
      <c r="F146" s="1" t="s">
        <v>36</v>
      </c>
      <c r="G146" s="1" t="s">
        <v>61</v>
      </c>
      <c r="H146" s="1" t="s">
        <v>62</v>
      </c>
      <c r="I146" s="1" t="s">
        <v>323</v>
      </c>
      <c r="J146" s="1" t="s">
        <v>324</v>
      </c>
      <c r="K146" s="1">
        <v>12</v>
      </c>
      <c r="L146" s="1" t="s">
        <v>64</v>
      </c>
      <c r="M146" s="1" t="str">
        <f>VLOOKUP(D146,HORARIOS!B:H,7,0)</f>
        <v>Día 6</v>
      </c>
      <c r="N146" s="1">
        <f>VLOOKUP(D146,HORARIOS!B:I,8,0)</f>
        <v>34</v>
      </c>
      <c r="O146" s="1" t="str">
        <f>VLOOKUP(A146,HORARIOS!A:D,4,0)</f>
        <v>11:00 hrs</v>
      </c>
      <c r="P146" s="9" t="str">
        <f>VLOOKUP(A146,HORARIOS!A:E,5,0)</f>
        <v>17:00 hrs</v>
      </c>
    </row>
    <row r="147" spans="1:16" ht="15.75" customHeight="1" x14ac:dyDescent="0.25">
      <c r="A147" s="1" t="str">
        <f t="shared" si="0"/>
        <v>601134</v>
      </c>
      <c r="B147" s="1">
        <v>162</v>
      </c>
      <c r="C147" s="1">
        <v>13</v>
      </c>
      <c r="D147" s="1">
        <v>6011</v>
      </c>
      <c r="E147" s="1" t="s">
        <v>48</v>
      </c>
      <c r="F147" s="1" t="s">
        <v>36</v>
      </c>
      <c r="G147" s="1" t="s">
        <v>72</v>
      </c>
      <c r="H147" s="1" t="s">
        <v>73</v>
      </c>
      <c r="I147" s="1" t="s">
        <v>325</v>
      </c>
      <c r="J147" s="1" t="s">
        <v>325</v>
      </c>
      <c r="K147" s="1">
        <v>12</v>
      </c>
      <c r="M147" s="1" t="str">
        <f>VLOOKUP(D147,HORARIOS!B:H,7,0)</f>
        <v>Día 6</v>
      </c>
      <c r="N147" s="1">
        <f>VLOOKUP(D147,HORARIOS!B:I,8,0)</f>
        <v>34</v>
      </c>
      <c r="O147" s="1" t="str">
        <f>VLOOKUP(A147,HORARIOS!A:D,4,0)</f>
        <v>11:00 hrs</v>
      </c>
      <c r="P147" s="9" t="str">
        <f>VLOOKUP(A147,HORARIOS!A:E,5,0)</f>
        <v>17:00 hrs</v>
      </c>
    </row>
    <row r="148" spans="1:16" ht="15.75" customHeight="1" x14ac:dyDescent="0.25">
      <c r="A148" s="1" t="str">
        <f t="shared" si="0"/>
        <v>601134</v>
      </c>
      <c r="B148" s="1">
        <v>163</v>
      </c>
      <c r="C148" s="1">
        <v>13</v>
      </c>
      <c r="D148" s="1">
        <v>6011</v>
      </c>
      <c r="E148" s="1" t="s">
        <v>48</v>
      </c>
      <c r="F148" s="1" t="s">
        <v>36</v>
      </c>
      <c r="G148" s="1" t="s">
        <v>88</v>
      </c>
      <c r="H148" s="1" t="s">
        <v>90</v>
      </c>
      <c r="I148" s="1" t="s">
        <v>326</v>
      </c>
      <c r="J148" s="1" t="s">
        <v>326</v>
      </c>
      <c r="K148" s="1">
        <v>12</v>
      </c>
      <c r="M148" s="1" t="str">
        <f>VLOOKUP(D148,HORARIOS!B:H,7,0)</f>
        <v>Día 6</v>
      </c>
      <c r="N148" s="1">
        <f>VLOOKUP(D148,HORARIOS!B:I,8,0)</f>
        <v>34</v>
      </c>
      <c r="O148" s="1" t="str">
        <f>VLOOKUP(A148,HORARIOS!A:D,4,0)</f>
        <v>11:00 hrs</v>
      </c>
      <c r="P148" s="9" t="str">
        <f>VLOOKUP(A148,HORARIOS!A:E,5,0)</f>
        <v>17:00 hrs</v>
      </c>
    </row>
    <row r="149" spans="1:16" ht="15.75" customHeight="1" x14ac:dyDescent="0.25">
      <c r="A149" s="1" t="str">
        <f t="shared" si="0"/>
        <v>601134</v>
      </c>
      <c r="B149" s="1">
        <v>164</v>
      </c>
      <c r="C149" s="1">
        <v>13</v>
      </c>
      <c r="D149" s="1">
        <v>6011</v>
      </c>
      <c r="E149" s="1" t="s">
        <v>48</v>
      </c>
      <c r="F149" s="1" t="s">
        <v>36</v>
      </c>
      <c r="G149" s="1" t="s">
        <v>96</v>
      </c>
      <c r="H149" s="1" t="s">
        <v>62</v>
      </c>
      <c r="I149" s="1" t="s">
        <v>327</v>
      </c>
      <c r="J149" s="1" t="s">
        <v>328</v>
      </c>
      <c r="K149" s="1">
        <v>12</v>
      </c>
      <c r="M149" s="1" t="str">
        <f>VLOOKUP(D149,HORARIOS!B:H,7,0)</f>
        <v>Día 6</v>
      </c>
      <c r="N149" s="1">
        <f>VLOOKUP(D149,HORARIOS!B:I,8,0)</f>
        <v>34</v>
      </c>
      <c r="O149" s="1" t="str">
        <f>VLOOKUP(A149,HORARIOS!A:D,4,0)</f>
        <v>11:00 hrs</v>
      </c>
      <c r="P149" s="9" t="str">
        <f>VLOOKUP(A149,HORARIOS!A:E,5,0)</f>
        <v>17:00 hrs</v>
      </c>
    </row>
    <row r="150" spans="1:16" ht="15.75" customHeight="1" x14ac:dyDescent="0.25">
      <c r="A150" s="1" t="str">
        <f t="shared" si="0"/>
        <v>601134</v>
      </c>
      <c r="B150" s="1">
        <v>165</v>
      </c>
      <c r="C150" s="1">
        <v>13</v>
      </c>
      <c r="D150" s="1">
        <v>6011</v>
      </c>
      <c r="E150" s="1" t="s">
        <v>48</v>
      </c>
      <c r="F150" s="1" t="s">
        <v>36</v>
      </c>
      <c r="G150" s="1" t="s">
        <v>98</v>
      </c>
      <c r="H150" s="1" t="s">
        <v>99</v>
      </c>
      <c r="I150" s="1" t="s">
        <v>329</v>
      </c>
      <c r="J150" s="1" t="s">
        <v>329</v>
      </c>
      <c r="K150" s="1">
        <v>12</v>
      </c>
      <c r="L150" s="1" t="s">
        <v>101</v>
      </c>
      <c r="M150" s="1" t="str">
        <f>VLOOKUP(D150,HORARIOS!B:H,7,0)</f>
        <v>Día 6</v>
      </c>
      <c r="N150" s="1">
        <f>VLOOKUP(D150,HORARIOS!B:I,8,0)</f>
        <v>34</v>
      </c>
      <c r="O150" s="1" t="str">
        <f>VLOOKUP(A150,HORARIOS!A:D,4,0)</f>
        <v>11:00 hrs</v>
      </c>
      <c r="P150" s="9" t="str">
        <f>VLOOKUP(A150,HORARIOS!A:E,5,0)</f>
        <v>17:00 hrs</v>
      </c>
    </row>
    <row r="151" spans="1:16" ht="15.75" customHeight="1" x14ac:dyDescent="0.25">
      <c r="A151" s="1" t="str">
        <f t="shared" si="0"/>
        <v>601134</v>
      </c>
      <c r="B151" s="1">
        <v>166</v>
      </c>
      <c r="C151" s="1">
        <v>13</v>
      </c>
      <c r="D151" s="1">
        <v>6011</v>
      </c>
      <c r="E151" s="1" t="s">
        <v>48</v>
      </c>
      <c r="F151" s="1" t="s">
        <v>36</v>
      </c>
      <c r="G151" s="1" t="s">
        <v>98</v>
      </c>
      <c r="H151" s="1" t="s">
        <v>99</v>
      </c>
      <c r="I151" s="1" t="s">
        <v>330</v>
      </c>
      <c r="J151" s="1" t="s">
        <v>330</v>
      </c>
      <c r="K151" s="1">
        <v>12</v>
      </c>
      <c r="L151" s="1" t="s">
        <v>101</v>
      </c>
      <c r="M151" s="1" t="str">
        <f>VLOOKUP(D151,HORARIOS!B:H,7,0)</f>
        <v>Día 6</v>
      </c>
      <c r="N151" s="1">
        <f>VLOOKUP(D151,HORARIOS!B:I,8,0)</f>
        <v>34</v>
      </c>
      <c r="O151" s="1" t="str">
        <f>VLOOKUP(A151,HORARIOS!A:D,4,0)</f>
        <v>11:00 hrs</v>
      </c>
      <c r="P151" s="9" t="str">
        <f>VLOOKUP(A151,HORARIOS!A:E,5,0)</f>
        <v>17:00 hrs</v>
      </c>
    </row>
    <row r="152" spans="1:16" ht="15.75" customHeight="1" x14ac:dyDescent="0.25">
      <c r="A152" s="1" t="str">
        <f t="shared" si="0"/>
        <v>601134</v>
      </c>
      <c r="B152" s="1">
        <v>167</v>
      </c>
      <c r="C152" s="1">
        <v>13</v>
      </c>
      <c r="D152" s="1">
        <v>6011</v>
      </c>
      <c r="E152" s="1" t="s">
        <v>48</v>
      </c>
      <c r="F152" s="1" t="s">
        <v>36</v>
      </c>
      <c r="G152" s="1" t="s">
        <v>98</v>
      </c>
      <c r="H152" s="1" t="s">
        <v>99</v>
      </c>
      <c r="I152" s="1" t="s">
        <v>331</v>
      </c>
      <c r="J152" s="1" t="s">
        <v>331</v>
      </c>
      <c r="K152" s="1">
        <v>12</v>
      </c>
      <c r="L152" s="1" t="s">
        <v>101</v>
      </c>
      <c r="M152" s="1" t="str">
        <f>VLOOKUP(D152,HORARIOS!B:H,7,0)</f>
        <v>Día 6</v>
      </c>
      <c r="N152" s="1">
        <f>VLOOKUP(D152,HORARIOS!B:I,8,0)</f>
        <v>34</v>
      </c>
      <c r="O152" s="1" t="str">
        <f>VLOOKUP(A152,HORARIOS!A:D,4,0)</f>
        <v>11:00 hrs</v>
      </c>
      <c r="P152" s="9" t="str">
        <f>VLOOKUP(A152,HORARIOS!A:E,5,0)</f>
        <v>17:00 hrs</v>
      </c>
    </row>
    <row r="153" spans="1:16" ht="15.75" customHeight="1" x14ac:dyDescent="0.25">
      <c r="A153" s="1" t="str">
        <f t="shared" si="0"/>
        <v>601134</v>
      </c>
      <c r="B153" s="1">
        <v>169</v>
      </c>
      <c r="C153" s="1">
        <v>13</v>
      </c>
      <c r="D153" s="1">
        <v>6011</v>
      </c>
      <c r="E153" s="1" t="s">
        <v>48</v>
      </c>
      <c r="F153" s="1" t="s">
        <v>36</v>
      </c>
      <c r="G153" s="1" t="s">
        <v>114</v>
      </c>
      <c r="H153" s="1" t="s">
        <v>39</v>
      </c>
      <c r="I153" s="1" t="s">
        <v>52</v>
      </c>
      <c r="J153" s="1" t="s">
        <v>52</v>
      </c>
      <c r="K153" s="1">
        <v>2</v>
      </c>
      <c r="L153" s="1" t="s">
        <v>115</v>
      </c>
      <c r="M153" s="1" t="str">
        <f>VLOOKUP(D153,HORARIOS!B:H,7,0)</f>
        <v>Día 6</v>
      </c>
      <c r="N153" s="1">
        <f>VLOOKUP(D153,HORARIOS!B:I,8,0)</f>
        <v>34</v>
      </c>
      <c r="O153" s="1" t="str">
        <f>VLOOKUP(A153,HORARIOS!A:D,4,0)</f>
        <v>11:00 hrs</v>
      </c>
      <c r="P153" s="9" t="str">
        <f>VLOOKUP(A153,HORARIOS!A:E,5,0)</f>
        <v>17:00 hrs</v>
      </c>
    </row>
    <row r="154" spans="1:16" ht="15.75" customHeight="1" x14ac:dyDescent="0.25">
      <c r="A154" s="1" t="str">
        <f t="shared" si="0"/>
        <v>601134</v>
      </c>
      <c r="B154" s="1">
        <v>170</v>
      </c>
      <c r="C154" s="1">
        <v>13</v>
      </c>
      <c r="D154" s="1">
        <v>6011</v>
      </c>
      <c r="E154" s="1" t="s">
        <v>48</v>
      </c>
      <c r="F154" s="1" t="s">
        <v>36</v>
      </c>
      <c r="G154" s="1" t="s">
        <v>134</v>
      </c>
      <c r="H154" s="1" t="s">
        <v>135</v>
      </c>
      <c r="I154" s="1" t="s">
        <v>332</v>
      </c>
      <c r="J154" s="1" t="s">
        <v>333</v>
      </c>
      <c r="K154" s="1">
        <v>12</v>
      </c>
      <c r="L154" s="1" t="s">
        <v>138</v>
      </c>
      <c r="M154" s="1" t="str">
        <f>VLOOKUP(D154,HORARIOS!B:H,7,0)</f>
        <v>Día 6</v>
      </c>
      <c r="N154" s="1">
        <f>VLOOKUP(D154,HORARIOS!B:I,8,0)</f>
        <v>34</v>
      </c>
      <c r="O154" s="1" t="str">
        <f>VLOOKUP(A154,HORARIOS!A:D,4,0)</f>
        <v>11:00 hrs</v>
      </c>
      <c r="P154" s="9" t="str">
        <f>VLOOKUP(A154,HORARIOS!A:E,5,0)</f>
        <v>17:00 hrs</v>
      </c>
    </row>
    <row r="155" spans="1:16" ht="15.75" customHeight="1" x14ac:dyDescent="0.25">
      <c r="A155" s="1" t="str">
        <f t="shared" si="0"/>
        <v>601134</v>
      </c>
      <c r="B155" s="1">
        <v>171</v>
      </c>
      <c r="C155" s="1">
        <v>13</v>
      </c>
      <c r="D155" s="1">
        <v>6011</v>
      </c>
      <c r="E155" s="1" t="s">
        <v>48</v>
      </c>
      <c r="F155" s="1" t="s">
        <v>36</v>
      </c>
      <c r="G155" s="1" t="s">
        <v>145</v>
      </c>
      <c r="H155" s="1" t="s">
        <v>52</v>
      </c>
      <c r="I155" s="1" t="s">
        <v>334</v>
      </c>
      <c r="J155" s="1" t="s">
        <v>335</v>
      </c>
      <c r="K155" s="1">
        <v>12</v>
      </c>
      <c r="M155" s="1" t="str">
        <f>VLOOKUP(D155,HORARIOS!B:H,7,0)</f>
        <v>Día 6</v>
      </c>
      <c r="N155" s="1">
        <f>VLOOKUP(D155,HORARIOS!B:I,8,0)</f>
        <v>34</v>
      </c>
      <c r="O155" s="1" t="str">
        <f>VLOOKUP(A155,HORARIOS!A:D,4,0)</f>
        <v>11:00 hrs</v>
      </c>
      <c r="P155" s="9" t="str">
        <f>VLOOKUP(A155,HORARIOS!A:E,5,0)</f>
        <v>17:00 hrs</v>
      </c>
    </row>
    <row r="156" spans="1:16" ht="15.75" customHeight="1" x14ac:dyDescent="0.25">
      <c r="A156" s="1" t="str">
        <f t="shared" si="0"/>
        <v>601134</v>
      </c>
      <c r="B156" s="1">
        <v>172</v>
      </c>
      <c r="C156" s="1">
        <v>13</v>
      </c>
      <c r="D156" s="1">
        <v>6011</v>
      </c>
      <c r="E156" s="1" t="s">
        <v>48</v>
      </c>
      <c r="F156" s="1" t="s">
        <v>36</v>
      </c>
      <c r="G156" s="1" t="s">
        <v>159</v>
      </c>
      <c r="H156" s="1" t="s">
        <v>160</v>
      </c>
      <c r="I156" s="1" t="s">
        <v>336</v>
      </c>
      <c r="J156" s="1" t="s">
        <v>337</v>
      </c>
      <c r="K156" s="1">
        <v>12</v>
      </c>
      <c r="M156" s="1" t="str">
        <f>VLOOKUP(D156,HORARIOS!B:H,7,0)</f>
        <v>Día 6</v>
      </c>
      <c r="N156" s="1">
        <f>VLOOKUP(D156,HORARIOS!B:I,8,0)</f>
        <v>34</v>
      </c>
      <c r="O156" s="1" t="str">
        <f>VLOOKUP(A156,HORARIOS!A:D,4,0)</f>
        <v>11:00 hrs</v>
      </c>
      <c r="P156" s="9" t="str">
        <f>VLOOKUP(A156,HORARIOS!A:E,5,0)</f>
        <v>17:00 hrs</v>
      </c>
    </row>
    <row r="157" spans="1:16" ht="15.75" customHeight="1" x14ac:dyDescent="0.25">
      <c r="A157" s="1" t="str">
        <f t="shared" si="0"/>
        <v>601211</v>
      </c>
      <c r="B157" s="1">
        <v>173</v>
      </c>
      <c r="C157" s="1">
        <v>13</v>
      </c>
      <c r="D157" s="1">
        <v>6012</v>
      </c>
      <c r="E157" s="1" t="s">
        <v>49</v>
      </c>
      <c r="F157" s="1" t="s">
        <v>36</v>
      </c>
      <c r="G157" s="1" t="s">
        <v>37</v>
      </c>
      <c r="H157" s="1" t="s">
        <v>39</v>
      </c>
      <c r="I157" s="1" t="s">
        <v>338</v>
      </c>
      <c r="J157" s="1" t="s">
        <v>339</v>
      </c>
      <c r="K157" s="1">
        <v>12</v>
      </c>
      <c r="L157" s="1" t="s">
        <v>41</v>
      </c>
      <c r="M157" s="1" t="str">
        <f>VLOOKUP(D157,HORARIOS!B:H,7,0)</f>
        <v>Día 2</v>
      </c>
      <c r="N157" s="1">
        <f>VLOOKUP(D157,HORARIOS!B:I,8,0)</f>
        <v>11</v>
      </c>
      <c r="O157" s="1" t="str">
        <f>VLOOKUP(A157,HORARIOS!A:D,4,0)</f>
        <v>12:30 hrs</v>
      </c>
      <c r="P157" s="9" t="str">
        <f>VLOOKUP(A157,HORARIOS!A:E,5,0)</f>
        <v>17:00 hrs</v>
      </c>
    </row>
    <row r="158" spans="1:16" ht="15.75" customHeight="1" x14ac:dyDescent="0.25">
      <c r="A158" s="1" t="str">
        <f t="shared" si="0"/>
        <v>601211</v>
      </c>
      <c r="B158" s="1">
        <v>174</v>
      </c>
      <c r="C158" s="1">
        <v>13</v>
      </c>
      <c r="D158" s="1">
        <v>6012</v>
      </c>
      <c r="E158" s="1" t="s">
        <v>49</v>
      </c>
      <c r="F158" s="1" t="s">
        <v>36</v>
      </c>
      <c r="G158" s="1" t="s">
        <v>51</v>
      </c>
      <c r="H158" s="1" t="s">
        <v>52</v>
      </c>
      <c r="I158" s="1" t="s">
        <v>340</v>
      </c>
      <c r="J158" s="1" t="s">
        <v>341</v>
      </c>
      <c r="K158" s="1">
        <v>12</v>
      </c>
      <c r="M158" s="1" t="str">
        <f>VLOOKUP(D158,HORARIOS!B:H,7,0)</f>
        <v>Día 2</v>
      </c>
      <c r="N158" s="1">
        <f>VLOOKUP(D158,HORARIOS!B:I,8,0)</f>
        <v>11</v>
      </c>
      <c r="O158" s="1" t="str">
        <f>VLOOKUP(A158,HORARIOS!A:D,4,0)</f>
        <v>12:30 hrs</v>
      </c>
      <c r="P158" s="9" t="str">
        <f>VLOOKUP(A158,HORARIOS!A:E,5,0)</f>
        <v>17:00 hrs</v>
      </c>
    </row>
    <row r="159" spans="1:16" ht="15.75" customHeight="1" x14ac:dyDescent="0.25">
      <c r="A159" s="1" t="str">
        <f t="shared" si="0"/>
        <v>601211</v>
      </c>
      <c r="B159" s="1">
        <v>175</v>
      </c>
      <c r="C159" s="1">
        <v>13</v>
      </c>
      <c r="D159" s="1">
        <v>6012</v>
      </c>
      <c r="E159" s="1" t="s">
        <v>49</v>
      </c>
      <c r="F159" s="1" t="s">
        <v>36</v>
      </c>
      <c r="G159" s="1" t="s">
        <v>61</v>
      </c>
      <c r="H159" s="1" t="s">
        <v>62</v>
      </c>
      <c r="I159" s="1" t="s">
        <v>342</v>
      </c>
      <c r="J159" s="1" t="s">
        <v>342</v>
      </c>
      <c r="K159" s="1">
        <v>12</v>
      </c>
      <c r="L159" s="1" t="s">
        <v>64</v>
      </c>
      <c r="M159" s="1" t="str">
        <f>VLOOKUP(D159,HORARIOS!B:H,7,0)</f>
        <v>Día 2</v>
      </c>
      <c r="N159" s="1">
        <f>VLOOKUP(D159,HORARIOS!B:I,8,0)</f>
        <v>11</v>
      </c>
      <c r="O159" s="1" t="str">
        <f>VLOOKUP(A159,HORARIOS!A:D,4,0)</f>
        <v>12:30 hrs</v>
      </c>
      <c r="P159" s="9" t="str">
        <f>VLOOKUP(A159,HORARIOS!A:E,5,0)</f>
        <v>17:00 hrs</v>
      </c>
    </row>
    <row r="160" spans="1:16" ht="15.75" customHeight="1" x14ac:dyDescent="0.25">
      <c r="A160" s="1" t="str">
        <f t="shared" si="0"/>
        <v>601211</v>
      </c>
      <c r="B160" s="1">
        <v>177</v>
      </c>
      <c r="C160" s="1">
        <v>13</v>
      </c>
      <c r="D160" s="1">
        <v>6012</v>
      </c>
      <c r="E160" s="1" t="s">
        <v>49</v>
      </c>
      <c r="F160" s="1" t="s">
        <v>36</v>
      </c>
      <c r="G160" s="1" t="s">
        <v>72</v>
      </c>
      <c r="H160" s="1" t="s">
        <v>73</v>
      </c>
      <c r="I160" s="1" t="s">
        <v>343</v>
      </c>
      <c r="J160" s="1" t="s">
        <v>344</v>
      </c>
      <c r="K160" s="1">
        <v>12</v>
      </c>
      <c r="M160" s="1" t="str">
        <f>VLOOKUP(D160,HORARIOS!B:H,7,0)</f>
        <v>Día 2</v>
      </c>
      <c r="N160" s="1">
        <f>VLOOKUP(D160,HORARIOS!B:I,8,0)</f>
        <v>11</v>
      </c>
      <c r="O160" s="1" t="str">
        <f>VLOOKUP(A160,HORARIOS!A:D,4,0)</f>
        <v>12:30 hrs</v>
      </c>
      <c r="P160" s="9" t="str">
        <f>VLOOKUP(A160,HORARIOS!A:E,5,0)</f>
        <v>17:00 hrs</v>
      </c>
    </row>
    <row r="161" spans="1:16" ht="15.75" customHeight="1" x14ac:dyDescent="0.25">
      <c r="A161" s="1" t="str">
        <f t="shared" si="0"/>
        <v>601211</v>
      </c>
      <c r="B161" s="1">
        <v>178</v>
      </c>
      <c r="C161" s="1">
        <v>13</v>
      </c>
      <c r="D161" s="1">
        <v>6012</v>
      </c>
      <c r="E161" s="1" t="s">
        <v>49</v>
      </c>
      <c r="F161" s="1" t="s">
        <v>36</v>
      </c>
      <c r="G161" s="1" t="s">
        <v>88</v>
      </c>
      <c r="H161" s="1" t="s">
        <v>90</v>
      </c>
      <c r="I161" s="1" t="s">
        <v>345</v>
      </c>
      <c r="J161" s="1" t="s">
        <v>346</v>
      </c>
      <c r="K161" s="1">
        <v>12</v>
      </c>
      <c r="M161" s="1" t="str">
        <f>VLOOKUP(D161,HORARIOS!B:H,7,0)</f>
        <v>Día 2</v>
      </c>
      <c r="N161" s="1">
        <f>VLOOKUP(D161,HORARIOS!B:I,8,0)</f>
        <v>11</v>
      </c>
      <c r="O161" s="1" t="str">
        <f>VLOOKUP(A161,HORARIOS!A:D,4,0)</f>
        <v>12:30 hrs</v>
      </c>
      <c r="P161" s="9" t="str">
        <f>VLOOKUP(A161,HORARIOS!A:E,5,0)</f>
        <v>17:00 hrs</v>
      </c>
    </row>
    <row r="162" spans="1:16" ht="15.75" customHeight="1" x14ac:dyDescent="0.25">
      <c r="A162" s="1" t="str">
        <f t="shared" si="0"/>
        <v>601211</v>
      </c>
      <c r="B162" s="1">
        <v>179</v>
      </c>
      <c r="C162" s="1">
        <v>13</v>
      </c>
      <c r="D162" s="1">
        <v>6012</v>
      </c>
      <c r="E162" s="1" t="s">
        <v>49</v>
      </c>
      <c r="F162" s="1" t="s">
        <v>36</v>
      </c>
      <c r="G162" s="1" t="s">
        <v>96</v>
      </c>
      <c r="H162" s="1" t="s">
        <v>62</v>
      </c>
      <c r="I162" s="1" t="s">
        <v>347</v>
      </c>
      <c r="J162" s="1" t="s">
        <v>347</v>
      </c>
      <c r="K162" s="1">
        <v>12</v>
      </c>
      <c r="M162" s="1" t="str">
        <f>VLOOKUP(D162,HORARIOS!B:H,7,0)</f>
        <v>Día 2</v>
      </c>
      <c r="N162" s="1">
        <f>VLOOKUP(D162,HORARIOS!B:I,8,0)</f>
        <v>11</v>
      </c>
      <c r="O162" s="1" t="str">
        <f>VLOOKUP(A162,HORARIOS!A:D,4,0)</f>
        <v>12:30 hrs</v>
      </c>
      <c r="P162" s="9" t="str">
        <f>VLOOKUP(A162,HORARIOS!A:E,5,0)</f>
        <v>17:00 hrs</v>
      </c>
    </row>
    <row r="163" spans="1:16" ht="15.75" customHeight="1" x14ac:dyDescent="0.25">
      <c r="A163" s="1" t="str">
        <f t="shared" si="0"/>
        <v>601211</v>
      </c>
      <c r="B163" s="1">
        <v>180</v>
      </c>
      <c r="C163" s="1">
        <v>13</v>
      </c>
      <c r="D163" s="1">
        <v>6012</v>
      </c>
      <c r="E163" s="1" t="s">
        <v>49</v>
      </c>
      <c r="F163" s="1" t="s">
        <v>36</v>
      </c>
      <c r="G163" s="1" t="s">
        <v>98</v>
      </c>
      <c r="H163" s="1" t="s">
        <v>99</v>
      </c>
      <c r="I163" s="1" t="s">
        <v>348</v>
      </c>
      <c r="J163" s="1" t="s">
        <v>349</v>
      </c>
      <c r="K163" s="1">
        <v>12</v>
      </c>
      <c r="L163" s="1" t="s">
        <v>101</v>
      </c>
      <c r="M163" s="1" t="str">
        <f>VLOOKUP(D163,HORARIOS!B:H,7,0)</f>
        <v>Día 2</v>
      </c>
      <c r="N163" s="1">
        <f>VLOOKUP(D163,HORARIOS!B:I,8,0)</f>
        <v>11</v>
      </c>
      <c r="O163" s="1" t="str">
        <f>VLOOKUP(A163,HORARIOS!A:D,4,0)</f>
        <v>12:30 hrs</v>
      </c>
      <c r="P163" s="9" t="str">
        <f>VLOOKUP(A163,HORARIOS!A:E,5,0)</f>
        <v>17:00 hrs</v>
      </c>
    </row>
    <row r="164" spans="1:16" ht="15.75" customHeight="1" x14ac:dyDescent="0.25">
      <c r="A164" s="1" t="str">
        <f t="shared" si="0"/>
        <v>601211</v>
      </c>
      <c r="B164" s="1">
        <v>181</v>
      </c>
      <c r="C164" s="1">
        <v>13</v>
      </c>
      <c r="D164" s="1">
        <v>6012</v>
      </c>
      <c r="E164" s="1" t="s">
        <v>49</v>
      </c>
      <c r="F164" s="1" t="s">
        <v>36</v>
      </c>
      <c r="G164" s="1" t="s">
        <v>98</v>
      </c>
      <c r="H164" s="1" t="s">
        <v>99</v>
      </c>
      <c r="I164" s="1" t="s">
        <v>350</v>
      </c>
      <c r="J164" s="1" t="s">
        <v>351</v>
      </c>
      <c r="K164" s="1">
        <v>12</v>
      </c>
      <c r="L164" s="1" t="s">
        <v>101</v>
      </c>
      <c r="M164" s="1" t="str">
        <f>VLOOKUP(D164,HORARIOS!B:H,7,0)</f>
        <v>Día 2</v>
      </c>
      <c r="N164" s="1">
        <f>VLOOKUP(D164,HORARIOS!B:I,8,0)</f>
        <v>11</v>
      </c>
      <c r="O164" s="1" t="str">
        <f>VLOOKUP(A164,HORARIOS!A:D,4,0)</f>
        <v>12:30 hrs</v>
      </c>
      <c r="P164" s="9" t="str">
        <f>VLOOKUP(A164,HORARIOS!A:E,5,0)</f>
        <v>17:00 hrs</v>
      </c>
    </row>
    <row r="165" spans="1:16" ht="15.75" customHeight="1" x14ac:dyDescent="0.25">
      <c r="A165" s="1" t="str">
        <f t="shared" si="0"/>
        <v>601211</v>
      </c>
      <c r="B165" s="1">
        <v>182</v>
      </c>
      <c r="C165" s="1">
        <v>13</v>
      </c>
      <c r="D165" s="1">
        <v>6012</v>
      </c>
      <c r="E165" s="1" t="s">
        <v>49</v>
      </c>
      <c r="F165" s="1" t="s">
        <v>36</v>
      </c>
      <c r="G165" s="1" t="s">
        <v>98</v>
      </c>
      <c r="H165" s="1" t="s">
        <v>352</v>
      </c>
      <c r="I165" s="1" t="s">
        <v>353</v>
      </c>
      <c r="J165" s="1" t="s">
        <v>354</v>
      </c>
      <c r="K165" s="1">
        <v>12</v>
      </c>
      <c r="L165" s="1" t="s">
        <v>101</v>
      </c>
      <c r="M165" s="1" t="str">
        <f>VLOOKUP(D165,HORARIOS!B:H,7,0)</f>
        <v>Día 2</v>
      </c>
      <c r="N165" s="1">
        <f>VLOOKUP(D165,HORARIOS!B:I,8,0)</f>
        <v>11</v>
      </c>
      <c r="O165" s="1" t="str">
        <f>VLOOKUP(A165,HORARIOS!A:D,4,0)</f>
        <v>12:30 hrs</v>
      </c>
      <c r="P165" s="9" t="str">
        <f>VLOOKUP(A165,HORARIOS!A:E,5,0)</f>
        <v>17:00 hrs</v>
      </c>
    </row>
    <row r="166" spans="1:16" ht="15.75" customHeight="1" x14ac:dyDescent="0.25">
      <c r="A166" s="1" t="str">
        <f t="shared" si="0"/>
        <v>601211</v>
      </c>
      <c r="B166" s="1">
        <v>183</v>
      </c>
      <c r="C166" s="1">
        <v>13</v>
      </c>
      <c r="D166" s="1">
        <v>6012</v>
      </c>
      <c r="E166" s="1" t="s">
        <v>49</v>
      </c>
      <c r="F166" s="1" t="s">
        <v>36</v>
      </c>
      <c r="G166" s="1" t="s">
        <v>114</v>
      </c>
      <c r="H166" s="1" t="s">
        <v>39</v>
      </c>
      <c r="I166" s="1" t="s">
        <v>52</v>
      </c>
      <c r="J166" s="1" t="s">
        <v>52</v>
      </c>
      <c r="K166" s="1">
        <v>2</v>
      </c>
      <c r="L166" s="1" t="s">
        <v>115</v>
      </c>
      <c r="M166" s="1" t="str">
        <f>VLOOKUP(D166,HORARIOS!B:H,7,0)</f>
        <v>Día 2</v>
      </c>
      <c r="N166" s="1">
        <f>VLOOKUP(D166,HORARIOS!B:I,8,0)</f>
        <v>11</v>
      </c>
      <c r="O166" s="1" t="str">
        <f>VLOOKUP(A166,HORARIOS!A:D,4,0)</f>
        <v>12:30 hrs</v>
      </c>
      <c r="P166" s="9" t="str">
        <f>VLOOKUP(A166,HORARIOS!A:E,5,0)</f>
        <v>17:00 hrs</v>
      </c>
    </row>
    <row r="167" spans="1:16" ht="15.75" customHeight="1" x14ac:dyDescent="0.25">
      <c r="A167" s="1" t="str">
        <f t="shared" si="0"/>
        <v>601211</v>
      </c>
      <c r="B167" s="1">
        <v>185</v>
      </c>
      <c r="C167" s="1">
        <v>13</v>
      </c>
      <c r="D167" s="1">
        <v>6012</v>
      </c>
      <c r="E167" s="1" t="s">
        <v>49</v>
      </c>
      <c r="F167" s="1" t="s">
        <v>36</v>
      </c>
      <c r="G167" s="1" t="s">
        <v>134</v>
      </c>
      <c r="H167" s="1" t="s">
        <v>135</v>
      </c>
      <c r="I167" s="1" t="s">
        <v>355</v>
      </c>
      <c r="J167" s="1" t="s">
        <v>356</v>
      </c>
      <c r="K167" s="1">
        <v>12</v>
      </c>
      <c r="L167" s="1" t="s">
        <v>138</v>
      </c>
      <c r="M167" s="1" t="str">
        <f>VLOOKUP(D167,HORARIOS!B:H,7,0)</f>
        <v>Día 2</v>
      </c>
      <c r="N167" s="1">
        <f>VLOOKUP(D167,HORARIOS!B:I,8,0)</f>
        <v>11</v>
      </c>
      <c r="O167" s="1" t="str">
        <f>VLOOKUP(A167,HORARIOS!A:D,4,0)</f>
        <v>12:30 hrs</v>
      </c>
      <c r="P167" s="9" t="str">
        <f>VLOOKUP(A167,HORARIOS!A:E,5,0)</f>
        <v>17:00 hrs</v>
      </c>
    </row>
    <row r="168" spans="1:16" ht="15.75" customHeight="1" x14ac:dyDescent="0.25">
      <c r="A168" s="1" t="str">
        <f t="shared" si="0"/>
        <v>601211</v>
      </c>
      <c r="B168" s="1">
        <v>186</v>
      </c>
      <c r="C168" s="1">
        <v>13</v>
      </c>
      <c r="D168" s="1">
        <v>6012</v>
      </c>
      <c r="E168" s="1" t="s">
        <v>49</v>
      </c>
      <c r="F168" s="1" t="s">
        <v>36</v>
      </c>
      <c r="G168" s="1" t="s">
        <v>145</v>
      </c>
      <c r="H168" s="1" t="s">
        <v>52</v>
      </c>
      <c r="I168" s="1" t="s">
        <v>357</v>
      </c>
      <c r="J168" s="1" t="s">
        <v>358</v>
      </c>
      <c r="K168" s="1">
        <v>12</v>
      </c>
      <c r="M168" s="1" t="str">
        <f>VLOOKUP(D168,HORARIOS!B:H,7,0)</f>
        <v>Día 2</v>
      </c>
      <c r="N168" s="1">
        <f>VLOOKUP(D168,HORARIOS!B:I,8,0)</f>
        <v>11</v>
      </c>
      <c r="O168" s="1" t="str">
        <f>VLOOKUP(A168,HORARIOS!A:D,4,0)</f>
        <v>12:30 hrs</v>
      </c>
      <c r="P168" s="9" t="str">
        <f>VLOOKUP(A168,HORARIOS!A:E,5,0)</f>
        <v>17:00 hrs</v>
      </c>
    </row>
    <row r="169" spans="1:16" ht="15.75" customHeight="1" x14ac:dyDescent="0.25">
      <c r="A169" s="1" t="str">
        <f t="shared" si="0"/>
        <v>601211</v>
      </c>
      <c r="B169" s="1">
        <v>187</v>
      </c>
      <c r="C169" s="1">
        <v>13</v>
      </c>
      <c r="D169" s="1">
        <v>6012</v>
      </c>
      <c r="E169" s="1" t="s">
        <v>49</v>
      </c>
      <c r="F169" s="1" t="s">
        <v>36</v>
      </c>
      <c r="G169" s="1" t="s">
        <v>159</v>
      </c>
      <c r="H169" s="1" t="s">
        <v>160</v>
      </c>
      <c r="I169" s="1" t="s">
        <v>359</v>
      </c>
      <c r="J169" s="1" t="s">
        <v>360</v>
      </c>
      <c r="K169" s="1">
        <v>12</v>
      </c>
      <c r="M169" s="1" t="str">
        <f>VLOOKUP(D169,HORARIOS!B:H,7,0)</f>
        <v>Día 2</v>
      </c>
      <c r="N169" s="1">
        <f>VLOOKUP(D169,HORARIOS!B:I,8,0)</f>
        <v>11</v>
      </c>
      <c r="O169" s="1" t="str">
        <f>VLOOKUP(A169,HORARIOS!A:D,4,0)</f>
        <v>12:30 hrs</v>
      </c>
      <c r="P169" s="9" t="str">
        <f>VLOOKUP(A169,HORARIOS!A:E,5,0)</f>
        <v>17:00 hrs</v>
      </c>
    </row>
    <row r="170" spans="1:16" ht="15.75" customHeight="1" x14ac:dyDescent="0.25">
      <c r="A170" s="1" t="str">
        <f t="shared" si="0"/>
        <v>601323</v>
      </c>
      <c r="B170" s="1">
        <v>188</v>
      </c>
      <c r="C170" s="1">
        <v>13</v>
      </c>
      <c r="D170" s="1">
        <v>6013</v>
      </c>
      <c r="E170" s="1" t="s">
        <v>50</v>
      </c>
      <c r="F170" s="1" t="s">
        <v>36</v>
      </c>
      <c r="G170" s="1" t="s">
        <v>37</v>
      </c>
      <c r="H170" s="1" t="s">
        <v>39</v>
      </c>
      <c r="I170" s="1" t="s">
        <v>361</v>
      </c>
      <c r="J170" s="1" t="s">
        <v>362</v>
      </c>
      <c r="K170" s="1">
        <v>12</v>
      </c>
      <c r="L170" s="1" t="s">
        <v>41</v>
      </c>
      <c r="M170" s="1" t="str">
        <f>VLOOKUP(D170,HORARIOS!B:H,7,0)</f>
        <v>Día 4</v>
      </c>
      <c r="N170" s="1">
        <f>VLOOKUP(D170,HORARIOS!B:I,8,0)</f>
        <v>23</v>
      </c>
      <c r="O170" s="1" t="str">
        <f>VLOOKUP(A170,HORARIOS!A:D,4,0)</f>
        <v>13:00 hrs</v>
      </c>
      <c r="P170" s="1" t="str">
        <f>VLOOKUP(A170,HORARIOS!A:E,5,0)</f>
        <v>18:30 hrs</v>
      </c>
    </row>
    <row r="171" spans="1:16" ht="15.75" customHeight="1" x14ac:dyDescent="0.25">
      <c r="A171" s="1" t="str">
        <f t="shared" si="0"/>
        <v>601323</v>
      </c>
      <c r="B171" s="1">
        <v>189</v>
      </c>
      <c r="C171" s="1">
        <v>13</v>
      </c>
      <c r="D171" s="1">
        <v>6013</v>
      </c>
      <c r="E171" s="1" t="s">
        <v>50</v>
      </c>
      <c r="F171" s="1" t="s">
        <v>36</v>
      </c>
      <c r="G171" s="1" t="s">
        <v>51</v>
      </c>
      <c r="H171" s="1" t="s">
        <v>52</v>
      </c>
      <c r="I171" s="1" t="s">
        <v>363</v>
      </c>
      <c r="J171" s="1" t="s">
        <v>364</v>
      </c>
      <c r="K171" s="1">
        <v>12</v>
      </c>
      <c r="M171" s="1" t="str">
        <f>VLOOKUP(D171,HORARIOS!B:H,7,0)</f>
        <v>Día 4</v>
      </c>
      <c r="N171" s="1">
        <f>VLOOKUP(D171,HORARIOS!B:I,8,0)</f>
        <v>23</v>
      </c>
      <c r="O171" s="1" t="str">
        <f>VLOOKUP(A171,HORARIOS!A:D,4,0)</f>
        <v>13:00 hrs</v>
      </c>
      <c r="P171" s="1" t="str">
        <f>VLOOKUP(A171,HORARIOS!A:E,5,0)</f>
        <v>18:30 hrs</v>
      </c>
    </row>
    <row r="172" spans="1:16" ht="15.75" customHeight="1" x14ac:dyDescent="0.25">
      <c r="A172" s="1" t="str">
        <f t="shared" si="0"/>
        <v>601323</v>
      </c>
      <c r="B172" s="1">
        <v>190</v>
      </c>
      <c r="C172" s="1">
        <v>13</v>
      </c>
      <c r="D172" s="1">
        <v>6013</v>
      </c>
      <c r="E172" s="1" t="s">
        <v>50</v>
      </c>
      <c r="F172" s="1" t="s">
        <v>36</v>
      </c>
      <c r="G172" s="1" t="s">
        <v>61</v>
      </c>
      <c r="H172" s="1" t="s">
        <v>62</v>
      </c>
      <c r="I172" s="1" t="s">
        <v>365</v>
      </c>
      <c r="J172" s="1" t="s">
        <v>365</v>
      </c>
      <c r="K172" s="1">
        <v>12</v>
      </c>
      <c r="L172" s="1" t="s">
        <v>64</v>
      </c>
      <c r="M172" s="1" t="str">
        <f>VLOOKUP(D172,HORARIOS!B:H,7,0)</f>
        <v>Día 4</v>
      </c>
      <c r="N172" s="1">
        <f>VLOOKUP(D172,HORARIOS!B:I,8,0)</f>
        <v>23</v>
      </c>
      <c r="O172" s="1" t="str">
        <f>VLOOKUP(A172,HORARIOS!A:D,4,0)</f>
        <v>13:00 hrs</v>
      </c>
      <c r="P172" s="1" t="str">
        <f>VLOOKUP(A172,HORARIOS!A:E,5,0)</f>
        <v>18:30 hrs</v>
      </c>
    </row>
    <row r="173" spans="1:16" ht="15.75" customHeight="1" x14ac:dyDescent="0.25">
      <c r="A173" s="1" t="str">
        <f t="shared" si="0"/>
        <v>601323</v>
      </c>
      <c r="B173" s="1">
        <v>191</v>
      </c>
      <c r="C173" s="1">
        <v>13</v>
      </c>
      <c r="D173" s="1">
        <v>6013</v>
      </c>
      <c r="E173" s="1" t="s">
        <v>50</v>
      </c>
      <c r="F173" s="1" t="s">
        <v>36</v>
      </c>
      <c r="G173" s="1" t="s">
        <v>72</v>
      </c>
      <c r="H173" s="1" t="s">
        <v>73</v>
      </c>
      <c r="I173" s="1" t="s">
        <v>366</v>
      </c>
      <c r="J173" s="1" t="s">
        <v>367</v>
      </c>
      <c r="K173" s="1">
        <v>12</v>
      </c>
      <c r="M173" s="1" t="str">
        <f>VLOOKUP(D173,HORARIOS!B:H,7,0)</f>
        <v>Día 4</v>
      </c>
      <c r="N173" s="1">
        <f>VLOOKUP(D173,HORARIOS!B:I,8,0)</f>
        <v>23</v>
      </c>
      <c r="O173" s="1" t="str">
        <f>VLOOKUP(A173,HORARIOS!A:D,4,0)</f>
        <v>13:00 hrs</v>
      </c>
      <c r="P173" s="1" t="str">
        <f>VLOOKUP(A173,HORARIOS!A:E,5,0)</f>
        <v>18:30 hrs</v>
      </c>
    </row>
    <row r="174" spans="1:16" ht="15.75" customHeight="1" x14ac:dyDescent="0.25">
      <c r="A174" s="1" t="str">
        <f t="shared" si="0"/>
        <v>601323</v>
      </c>
      <c r="B174" s="1">
        <v>193</v>
      </c>
      <c r="C174" s="1">
        <v>13</v>
      </c>
      <c r="D174" s="1">
        <v>6013</v>
      </c>
      <c r="E174" s="1" t="s">
        <v>50</v>
      </c>
      <c r="F174" s="1" t="s">
        <v>36</v>
      </c>
      <c r="G174" s="1" t="s">
        <v>88</v>
      </c>
      <c r="H174" s="1" t="s">
        <v>90</v>
      </c>
      <c r="I174" s="1" t="s">
        <v>368</v>
      </c>
      <c r="J174" s="1" t="s">
        <v>369</v>
      </c>
      <c r="K174" s="1">
        <v>12</v>
      </c>
      <c r="M174" s="1" t="str">
        <f>VLOOKUP(D174,HORARIOS!B:H,7,0)</f>
        <v>Día 4</v>
      </c>
      <c r="N174" s="1">
        <f>VLOOKUP(D174,HORARIOS!B:I,8,0)</f>
        <v>23</v>
      </c>
      <c r="O174" s="1" t="str">
        <f>VLOOKUP(A174,HORARIOS!A:D,4,0)</f>
        <v>13:00 hrs</v>
      </c>
      <c r="P174" s="1" t="str">
        <f>VLOOKUP(A174,HORARIOS!A:E,5,0)</f>
        <v>18:30 hrs</v>
      </c>
    </row>
    <row r="175" spans="1:16" ht="15.75" customHeight="1" x14ac:dyDescent="0.25">
      <c r="A175" s="1" t="str">
        <f t="shared" si="0"/>
        <v>601323</v>
      </c>
      <c r="B175" s="1">
        <v>194</v>
      </c>
      <c r="C175" s="1">
        <v>13</v>
      </c>
      <c r="D175" s="1">
        <v>6013</v>
      </c>
      <c r="E175" s="1" t="s">
        <v>50</v>
      </c>
      <c r="F175" s="1" t="s">
        <v>36</v>
      </c>
      <c r="G175" s="1" t="s">
        <v>96</v>
      </c>
      <c r="H175" s="1" t="s">
        <v>62</v>
      </c>
      <c r="I175" s="1" t="s">
        <v>370</v>
      </c>
      <c r="J175" s="1" t="s">
        <v>370</v>
      </c>
      <c r="K175" s="1">
        <v>12</v>
      </c>
      <c r="M175" s="1" t="str">
        <f>VLOOKUP(D175,HORARIOS!B:H,7,0)</f>
        <v>Día 4</v>
      </c>
      <c r="N175" s="1">
        <f>VLOOKUP(D175,HORARIOS!B:I,8,0)</f>
        <v>23</v>
      </c>
      <c r="O175" s="1" t="str">
        <f>VLOOKUP(A175,HORARIOS!A:D,4,0)</f>
        <v>13:00 hrs</v>
      </c>
      <c r="P175" s="1" t="str">
        <f>VLOOKUP(A175,HORARIOS!A:E,5,0)</f>
        <v>18:30 hrs</v>
      </c>
    </row>
    <row r="176" spans="1:16" ht="15.75" customHeight="1" x14ac:dyDescent="0.25">
      <c r="A176" s="1" t="str">
        <f t="shared" si="0"/>
        <v>601323</v>
      </c>
      <c r="B176" s="1">
        <v>195</v>
      </c>
      <c r="C176" s="1">
        <v>13</v>
      </c>
      <c r="D176" s="1">
        <v>6013</v>
      </c>
      <c r="E176" s="1" t="s">
        <v>50</v>
      </c>
      <c r="F176" s="1" t="s">
        <v>36</v>
      </c>
      <c r="G176" s="1" t="s">
        <v>98</v>
      </c>
      <c r="H176" s="1" t="s">
        <v>352</v>
      </c>
      <c r="I176" s="1" t="s">
        <v>371</v>
      </c>
      <c r="J176" s="1" t="s">
        <v>372</v>
      </c>
      <c r="K176" s="1">
        <v>12</v>
      </c>
      <c r="L176" s="1" t="s">
        <v>101</v>
      </c>
      <c r="M176" s="1" t="str">
        <f>VLOOKUP(D176,HORARIOS!B:H,7,0)</f>
        <v>Día 4</v>
      </c>
      <c r="N176" s="1">
        <f>VLOOKUP(D176,HORARIOS!B:I,8,0)</f>
        <v>23</v>
      </c>
      <c r="O176" s="1" t="str">
        <f>VLOOKUP(A176,HORARIOS!A:D,4,0)</f>
        <v>13:00 hrs</v>
      </c>
      <c r="P176" s="1" t="str">
        <f>VLOOKUP(A176,HORARIOS!A:E,5,0)</f>
        <v>18:30 hrs</v>
      </c>
    </row>
    <row r="177" spans="1:16" ht="15.75" customHeight="1" x14ac:dyDescent="0.25">
      <c r="A177" s="1" t="str">
        <f t="shared" si="0"/>
        <v>601323</v>
      </c>
      <c r="B177" s="1">
        <v>196</v>
      </c>
      <c r="C177" s="1">
        <v>13</v>
      </c>
      <c r="D177" s="1">
        <v>6013</v>
      </c>
      <c r="E177" s="1" t="s">
        <v>50</v>
      </c>
      <c r="F177" s="1" t="s">
        <v>36</v>
      </c>
      <c r="G177" s="1" t="s">
        <v>98</v>
      </c>
      <c r="H177" s="1" t="s">
        <v>352</v>
      </c>
      <c r="I177" s="1" t="s">
        <v>373</v>
      </c>
      <c r="J177" s="1" t="s">
        <v>374</v>
      </c>
      <c r="K177" s="1">
        <v>12</v>
      </c>
      <c r="L177" s="1" t="s">
        <v>101</v>
      </c>
      <c r="M177" s="1" t="str">
        <f>VLOOKUP(D177,HORARIOS!B:H,7,0)</f>
        <v>Día 4</v>
      </c>
      <c r="N177" s="1">
        <f>VLOOKUP(D177,HORARIOS!B:I,8,0)</f>
        <v>23</v>
      </c>
      <c r="O177" s="1" t="str">
        <f>VLOOKUP(A177,HORARIOS!A:D,4,0)</f>
        <v>13:00 hrs</v>
      </c>
      <c r="P177" s="1" t="str">
        <f>VLOOKUP(A177,HORARIOS!A:E,5,0)</f>
        <v>18:30 hrs</v>
      </c>
    </row>
    <row r="178" spans="1:16" ht="15.75" customHeight="1" x14ac:dyDescent="0.25">
      <c r="A178" s="1" t="str">
        <f t="shared" si="0"/>
        <v>601323</v>
      </c>
      <c r="B178" s="1">
        <v>197</v>
      </c>
      <c r="C178" s="1">
        <v>13</v>
      </c>
      <c r="D178" s="1">
        <v>6013</v>
      </c>
      <c r="E178" s="1" t="s">
        <v>50</v>
      </c>
      <c r="F178" s="1" t="s">
        <v>36</v>
      </c>
      <c r="G178" s="1" t="s">
        <v>98</v>
      </c>
      <c r="H178" s="1" t="s">
        <v>352</v>
      </c>
      <c r="I178" s="1" t="s">
        <v>375</v>
      </c>
      <c r="J178" s="1" t="s">
        <v>376</v>
      </c>
      <c r="K178" s="1">
        <v>12</v>
      </c>
      <c r="L178" s="1" t="s">
        <v>101</v>
      </c>
      <c r="M178" s="1" t="str">
        <f>VLOOKUP(D178,HORARIOS!B:H,7,0)</f>
        <v>Día 4</v>
      </c>
      <c r="N178" s="1">
        <f>VLOOKUP(D178,HORARIOS!B:I,8,0)</f>
        <v>23</v>
      </c>
      <c r="O178" s="1" t="str">
        <f>VLOOKUP(A178,HORARIOS!A:D,4,0)</f>
        <v>13:00 hrs</v>
      </c>
      <c r="P178" s="1" t="str">
        <f>VLOOKUP(A178,HORARIOS!A:E,5,0)</f>
        <v>18:30 hrs</v>
      </c>
    </row>
    <row r="179" spans="1:16" ht="15.75" customHeight="1" x14ac:dyDescent="0.25">
      <c r="A179" s="1" t="str">
        <f t="shared" si="0"/>
        <v>601323</v>
      </c>
      <c r="B179" s="1">
        <v>198</v>
      </c>
      <c r="C179" s="1">
        <v>13</v>
      </c>
      <c r="D179" s="1">
        <v>6013</v>
      </c>
      <c r="E179" s="1" t="s">
        <v>50</v>
      </c>
      <c r="F179" s="1" t="s">
        <v>36</v>
      </c>
      <c r="G179" s="1" t="s">
        <v>114</v>
      </c>
      <c r="H179" s="1" t="s">
        <v>39</v>
      </c>
      <c r="I179" s="1" t="s">
        <v>52</v>
      </c>
      <c r="J179" s="1" t="s">
        <v>52</v>
      </c>
      <c r="K179" s="1">
        <v>2</v>
      </c>
      <c r="L179" s="1" t="s">
        <v>115</v>
      </c>
      <c r="M179" s="1" t="str">
        <f>VLOOKUP(D179,HORARIOS!B:H,7,0)</f>
        <v>Día 4</v>
      </c>
      <c r="N179" s="1">
        <f>VLOOKUP(D179,HORARIOS!B:I,8,0)</f>
        <v>23</v>
      </c>
      <c r="O179" s="1" t="str">
        <f>VLOOKUP(A179,HORARIOS!A:D,4,0)</f>
        <v>13:00 hrs</v>
      </c>
      <c r="P179" s="1" t="str">
        <f>VLOOKUP(A179,HORARIOS!A:E,5,0)</f>
        <v>18:30 hrs</v>
      </c>
    </row>
    <row r="180" spans="1:16" ht="15.75" customHeight="1" x14ac:dyDescent="0.25">
      <c r="A180" s="1" t="str">
        <f t="shared" si="0"/>
        <v>601323</v>
      </c>
      <c r="B180" s="1">
        <v>199</v>
      </c>
      <c r="C180" s="1">
        <v>13</v>
      </c>
      <c r="D180" s="1">
        <v>6013</v>
      </c>
      <c r="E180" s="1" t="s">
        <v>50</v>
      </c>
      <c r="F180" s="1" t="s">
        <v>36</v>
      </c>
      <c r="G180" s="1" t="s">
        <v>134</v>
      </c>
      <c r="H180" s="1" t="s">
        <v>135</v>
      </c>
      <c r="I180" s="1" t="s">
        <v>377</v>
      </c>
      <c r="J180" s="1" t="s">
        <v>378</v>
      </c>
      <c r="K180" s="1">
        <v>12</v>
      </c>
      <c r="L180" s="1" t="s">
        <v>138</v>
      </c>
      <c r="M180" s="1" t="str">
        <f>VLOOKUP(D180,HORARIOS!B:H,7,0)</f>
        <v>Día 4</v>
      </c>
      <c r="N180" s="1">
        <f>VLOOKUP(D180,HORARIOS!B:I,8,0)</f>
        <v>23</v>
      </c>
      <c r="O180" s="1" t="str">
        <f>VLOOKUP(A180,HORARIOS!A:D,4,0)</f>
        <v>13:00 hrs</v>
      </c>
      <c r="P180" s="1" t="str">
        <f>VLOOKUP(A180,HORARIOS!A:E,5,0)</f>
        <v>18:30 hrs</v>
      </c>
    </row>
    <row r="181" spans="1:16" ht="15.75" customHeight="1" x14ac:dyDescent="0.25">
      <c r="A181" s="1" t="str">
        <f t="shared" si="0"/>
        <v>601323</v>
      </c>
      <c r="B181" s="1">
        <v>200</v>
      </c>
      <c r="C181" s="1">
        <v>13</v>
      </c>
      <c r="D181" s="1">
        <v>6013</v>
      </c>
      <c r="E181" s="1" t="s">
        <v>50</v>
      </c>
      <c r="F181" s="1" t="s">
        <v>36</v>
      </c>
      <c r="G181" s="1" t="s">
        <v>145</v>
      </c>
      <c r="H181" s="1" t="s">
        <v>52</v>
      </c>
      <c r="I181" s="1" t="s">
        <v>379</v>
      </c>
      <c r="J181" s="1" t="s">
        <v>379</v>
      </c>
      <c r="K181" s="1">
        <v>12</v>
      </c>
      <c r="M181" s="1" t="str">
        <f>VLOOKUP(D181,HORARIOS!B:H,7,0)</f>
        <v>Día 4</v>
      </c>
      <c r="N181" s="1">
        <f>VLOOKUP(D181,HORARIOS!B:I,8,0)</f>
        <v>23</v>
      </c>
      <c r="O181" s="1" t="str">
        <f>VLOOKUP(A181,HORARIOS!A:D,4,0)</f>
        <v>13:00 hrs</v>
      </c>
      <c r="P181" s="1" t="str">
        <f>VLOOKUP(A181,HORARIOS!A:E,5,0)</f>
        <v>18:30 hrs</v>
      </c>
    </row>
    <row r="182" spans="1:16" ht="15.75" customHeight="1" x14ac:dyDescent="0.25">
      <c r="A182" s="1" t="str">
        <f t="shared" si="0"/>
        <v>601323</v>
      </c>
      <c r="B182" s="1">
        <v>202</v>
      </c>
      <c r="C182" s="1">
        <v>13</v>
      </c>
      <c r="D182" s="1">
        <v>6013</v>
      </c>
      <c r="E182" s="1" t="s">
        <v>50</v>
      </c>
      <c r="F182" s="1" t="s">
        <v>36</v>
      </c>
      <c r="G182" s="1" t="s">
        <v>159</v>
      </c>
      <c r="H182" s="1" t="s">
        <v>160</v>
      </c>
      <c r="I182" s="1" t="s">
        <v>380</v>
      </c>
      <c r="J182" s="1" t="s">
        <v>381</v>
      </c>
      <c r="K182" s="1">
        <v>12</v>
      </c>
      <c r="M182" s="1" t="str">
        <f>VLOOKUP(D182,HORARIOS!B:H,7,0)</f>
        <v>Día 4</v>
      </c>
      <c r="N182" s="1">
        <f>VLOOKUP(D182,HORARIOS!B:I,8,0)</f>
        <v>23</v>
      </c>
      <c r="O182" s="1" t="str">
        <f>VLOOKUP(A182,HORARIOS!A:D,4,0)</f>
        <v>13:00 hrs</v>
      </c>
      <c r="P182" s="1" t="str">
        <f>VLOOKUP(A182,HORARIOS!A:E,5,0)</f>
        <v>18:30 hrs</v>
      </c>
    </row>
    <row r="183" spans="1:16" ht="15.75" customHeight="1" x14ac:dyDescent="0.25">
      <c r="A183" s="1" t="str">
        <f t="shared" si="0"/>
        <v>601423</v>
      </c>
      <c r="B183" s="1">
        <v>203</v>
      </c>
      <c r="C183" s="1">
        <v>11</v>
      </c>
      <c r="D183" s="1">
        <v>6014</v>
      </c>
      <c r="E183" s="1" t="s">
        <v>55</v>
      </c>
      <c r="F183" s="1" t="s">
        <v>36</v>
      </c>
      <c r="G183" s="1" t="s">
        <v>37</v>
      </c>
      <c r="H183" s="1" t="s">
        <v>39</v>
      </c>
      <c r="I183" s="1" t="s">
        <v>382</v>
      </c>
      <c r="J183" s="1" t="s">
        <v>383</v>
      </c>
      <c r="K183" s="1">
        <v>12</v>
      </c>
      <c r="L183" s="1" t="s">
        <v>41</v>
      </c>
      <c r="M183" s="1" t="str">
        <f>VLOOKUP(D183,HORARIOS!B:H,7,0)</f>
        <v>Día 4</v>
      </c>
      <c r="N183" s="1">
        <f>VLOOKUP(D183,HORARIOS!B:I,8,0)</f>
        <v>23</v>
      </c>
      <c r="O183" s="1" t="str">
        <f>VLOOKUP(A183,HORARIOS!A:D,4,0)</f>
        <v>12:00 hrs</v>
      </c>
      <c r="P183" s="9" t="str">
        <f>VLOOKUP(A183,HORARIOS!A:E,5,0)</f>
        <v>16:00 hrs</v>
      </c>
    </row>
    <row r="184" spans="1:16" ht="15.75" customHeight="1" x14ac:dyDescent="0.25">
      <c r="A184" s="1" t="str">
        <f t="shared" si="0"/>
        <v>601423</v>
      </c>
      <c r="B184" s="1">
        <v>204</v>
      </c>
      <c r="C184" s="1">
        <v>11</v>
      </c>
      <c r="D184" s="1">
        <v>6014</v>
      </c>
      <c r="E184" s="1" t="s">
        <v>55</v>
      </c>
      <c r="F184" s="1" t="s">
        <v>36</v>
      </c>
      <c r="G184" s="1" t="s">
        <v>51</v>
      </c>
      <c r="H184" s="1" t="s">
        <v>52</v>
      </c>
      <c r="I184" s="1" t="s">
        <v>384</v>
      </c>
      <c r="J184" s="1" t="s">
        <v>385</v>
      </c>
      <c r="K184" s="1">
        <v>12</v>
      </c>
      <c r="M184" s="1" t="str">
        <f>VLOOKUP(D184,HORARIOS!B:H,7,0)</f>
        <v>Día 4</v>
      </c>
      <c r="N184" s="1">
        <f>VLOOKUP(D184,HORARIOS!B:I,8,0)</f>
        <v>23</v>
      </c>
      <c r="O184" s="1" t="str">
        <f>VLOOKUP(A184,HORARIOS!A:D,4,0)</f>
        <v>12:00 hrs</v>
      </c>
      <c r="P184" s="9" t="str">
        <f>VLOOKUP(A184,HORARIOS!A:E,5,0)</f>
        <v>16:00 hrs</v>
      </c>
    </row>
    <row r="185" spans="1:16" ht="15.75" customHeight="1" x14ac:dyDescent="0.25">
      <c r="A185" s="1" t="str">
        <f t="shared" si="0"/>
        <v>601423</v>
      </c>
      <c r="B185" s="1">
        <v>205</v>
      </c>
      <c r="C185" s="1">
        <v>11</v>
      </c>
      <c r="D185" s="1">
        <v>6014</v>
      </c>
      <c r="E185" s="1" t="s">
        <v>55</v>
      </c>
      <c r="F185" s="1" t="s">
        <v>36</v>
      </c>
      <c r="G185" s="1" t="s">
        <v>61</v>
      </c>
      <c r="H185" s="1" t="s">
        <v>62</v>
      </c>
      <c r="I185" s="1" t="s">
        <v>386</v>
      </c>
      <c r="J185" s="1" t="s">
        <v>386</v>
      </c>
      <c r="K185" s="1">
        <v>12</v>
      </c>
      <c r="L185" s="1" t="s">
        <v>64</v>
      </c>
      <c r="M185" s="1" t="str">
        <f>VLOOKUP(D185,HORARIOS!B:H,7,0)</f>
        <v>Día 4</v>
      </c>
      <c r="N185" s="1">
        <f>VLOOKUP(D185,HORARIOS!B:I,8,0)</f>
        <v>23</v>
      </c>
      <c r="O185" s="1" t="str">
        <f>VLOOKUP(A185,HORARIOS!A:D,4,0)</f>
        <v>12:00 hrs</v>
      </c>
      <c r="P185" s="9" t="str">
        <f>VLOOKUP(A185,HORARIOS!A:E,5,0)</f>
        <v>16:00 hrs</v>
      </c>
    </row>
    <row r="186" spans="1:16" ht="15.75" customHeight="1" x14ac:dyDescent="0.25">
      <c r="A186" s="1" t="str">
        <f t="shared" si="0"/>
        <v>601423</v>
      </c>
      <c r="B186" s="1">
        <v>206</v>
      </c>
      <c r="C186" s="1">
        <v>11</v>
      </c>
      <c r="D186" s="1">
        <v>6014</v>
      </c>
      <c r="E186" s="1" t="s">
        <v>55</v>
      </c>
      <c r="F186" s="1" t="s">
        <v>36</v>
      </c>
      <c r="G186" s="1" t="s">
        <v>72</v>
      </c>
      <c r="H186" s="1" t="s">
        <v>73</v>
      </c>
      <c r="I186" s="1" t="s">
        <v>387</v>
      </c>
      <c r="J186" s="1" t="s">
        <v>388</v>
      </c>
      <c r="K186" s="1">
        <v>12</v>
      </c>
      <c r="M186" s="1" t="str">
        <f>VLOOKUP(D186,HORARIOS!B:H,7,0)</f>
        <v>Día 4</v>
      </c>
      <c r="N186" s="1">
        <f>VLOOKUP(D186,HORARIOS!B:I,8,0)</f>
        <v>23</v>
      </c>
      <c r="O186" s="1" t="str">
        <f>VLOOKUP(A186,HORARIOS!A:D,4,0)</f>
        <v>12:00 hrs</v>
      </c>
      <c r="P186" s="9" t="str">
        <f>VLOOKUP(A186,HORARIOS!A:E,5,0)</f>
        <v>16:00 hrs</v>
      </c>
    </row>
    <row r="187" spans="1:16" ht="15.75" customHeight="1" x14ac:dyDescent="0.25">
      <c r="A187" s="1" t="str">
        <f t="shared" si="0"/>
        <v>601423</v>
      </c>
      <c r="B187" s="1">
        <v>207</v>
      </c>
      <c r="C187" s="1">
        <v>11</v>
      </c>
      <c r="D187" s="1">
        <v>6014</v>
      </c>
      <c r="E187" s="1" t="s">
        <v>55</v>
      </c>
      <c r="F187" s="1" t="s">
        <v>36</v>
      </c>
      <c r="G187" s="1" t="s">
        <v>88</v>
      </c>
      <c r="H187" s="1" t="s">
        <v>90</v>
      </c>
      <c r="I187" s="1" t="s">
        <v>389</v>
      </c>
      <c r="J187" s="1" t="s">
        <v>390</v>
      </c>
      <c r="K187" s="1">
        <v>12</v>
      </c>
      <c r="M187" s="1" t="str">
        <f>VLOOKUP(D187,HORARIOS!B:H,7,0)</f>
        <v>Día 4</v>
      </c>
      <c r="N187" s="1">
        <f>VLOOKUP(D187,HORARIOS!B:I,8,0)</f>
        <v>23</v>
      </c>
      <c r="O187" s="1" t="str">
        <f>VLOOKUP(A187,HORARIOS!A:D,4,0)</f>
        <v>12:00 hrs</v>
      </c>
      <c r="P187" s="9" t="str">
        <f>VLOOKUP(A187,HORARIOS!A:E,5,0)</f>
        <v>16:00 hrs</v>
      </c>
    </row>
    <row r="188" spans="1:16" ht="15.75" customHeight="1" x14ac:dyDescent="0.25">
      <c r="A188" s="1" t="str">
        <f t="shared" si="0"/>
        <v>601423</v>
      </c>
      <c r="B188" s="1">
        <v>208</v>
      </c>
      <c r="C188" s="1">
        <v>11</v>
      </c>
      <c r="D188" s="1">
        <v>6014</v>
      </c>
      <c r="E188" s="1" t="s">
        <v>55</v>
      </c>
      <c r="F188" s="1" t="s">
        <v>36</v>
      </c>
      <c r="G188" s="1" t="s">
        <v>96</v>
      </c>
      <c r="H188" s="1" t="s">
        <v>62</v>
      </c>
      <c r="I188" s="1" t="s">
        <v>391</v>
      </c>
      <c r="J188" s="1" t="s">
        <v>391</v>
      </c>
      <c r="K188" s="1">
        <v>12</v>
      </c>
      <c r="M188" s="1" t="str">
        <f>VLOOKUP(D188,HORARIOS!B:H,7,0)</f>
        <v>Día 4</v>
      </c>
      <c r="N188" s="1">
        <f>VLOOKUP(D188,HORARIOS!B:I,8,0)</f>
        <v>23</v>
      </c>
      <c r="O188" s="1" t="str">
        <f>VLOOKUP(A188,HORARIOS!A:D,4,0)</f>
        <v>12:00 hrs</v>
      </c>
      <c r="P188" s="9" t="str">
        <f>VLOOKUP(A188,HORARIOS!A:E,5,0)</f>
        <v>16:00 hrs</v>
      </c>
    </row>
    <row r="189" spans="1:16" ht="15.75" customHeight="1" x14ac:dyDescent="0.25">
      <c r="A189" s="1" t="str">
        <f t="shared" si="0"/>
        <v>601423</v>
      </c>
      <c r="B189" s="1">
        <v>210</v>
      </c>
      <c r="C189" s="1">
        <v>11</v>
      </c>
      <c r="D189" s="1">
        <v>6014</v>
      </c>
      <c r="E189" s="1" t="s">
        <v>55</v>
      </c>
      <c r="F189" s="1" t="s">
        <v>36</v>
      </c>
      <c r="G189" s="1" t="s">
        <v>98</v>
      </c>
      <c r="H189" s="1" t="s">
        <v>352</v>
      </c>
      <c r="I189" s="1" t="s">
        <v>392</v>
      </c>
      <c r="J189" s="1" t="s">
        <v>393</v>
      </c>
      <c r="K189" s="1">
        <v>12</v>
      </c>
      <c r="L189" s="1" t="s">
        <v>101</v>
      </c>
      <c r="M189" s="1" t="str">
        <f>VLOOKUP(D189,HORARIOS!B:H,7,0)</f>
        <v>Día 4</v>
      </c>
      <c r="N189" s="1">
        <f>VLOOKUP(D189,HORARIOS!B:I,8,0)</f>
        <v>23</v>
      </c>
      <c r="O189" s="1" t="str">
        <f>VLOOKUP(A189,HORARIOS!A:D,4,0)</f>
        <v>12:00 hrs</v>
      </c>
      <c r="P189" s="9" t="str">
        <f>VLOOKUP(A189,HORARIOS!A:E,5,0)</f>
        <v>16:00 hrs</v>
      </c>
    </row>
    <row r="190" spans="1:16" ht="15.75" customHeight="1" x14ac:dyDescent="0.25">
      <c r="A190" s="1" t="str">
        <f t="shared" si="0"/>
        <v>601423</v>
      </c>
      <c r="B190" s="1">
        <v>211</v>
      </c>
      <c r="C190" s="1">
        <v>11</v>
      </c>
      <c r="D190" s="1">
        <v>6014</v>
      </c>
      <c r="E190" s="1" t="s">
        <v>55</v>
      </c>
      <c r="F190" s="1" t="s">
        <v>36</v>
      </c>
      <c r="G190" s="1" t="s">
        <v>114</v>
      </c>
      <c r="H190" s="1" t="s">
        <v>39</v>
      </c>
      <c r="I190" s="1" t="s">
        <v>52</v>
      </c>
      <c r="J190" s="1" t="s">
        <v>52</v>
      </c>
      <c r="K190" s="1">
        <v>2</v>
      </c>
      <c r="L190" s="1" t="s">
        <v>115</v>
      </c>
      <c r="M190" s="1" t="str">
        <f>VLOOKUP(D190,HORARIOS!B:H,7,0)</f>
        <v>Día 4</v>
      </c>
      <c r="N190" s="1">
        <f>VLOOKUP(D190,HORARIOS!B:I,8,0)</f>
        <v>23</v>
      </c>
      <c r="O190" s="1" t="str">
        <f>VLOOKUP(A190,HORARIOS!A:D,4,0)</f>
        <v>12:00 hrs</v>
      </c>
      <c r="P190" s="9" t="str">
        <f>VLOOKUP(A190,HORARIOS!A:E,5,0)</f>
        <v>16:00 hrs</v>
      </c>
    </row>
    <row r="191" spans="1:16" ht="15.75" customHeight="1" x14ac:dyDescent="0.25">
      <c r="A191" s="1" t="str">
        <f t="shared" si="0"/>
        <v>601423</v>
      </c>
      <c r="B191" s="1">
        <v>212</v>
      </c>
      <c r="C191" s="1">
        <v>11</v>
      </c>
      <c r="D191" s="1">
        <v>6014</v>
      </c>
      <c r="E191" s="1" t="s">
        <v>55</v>
      </c>
      <c r="F191" s="1" t="s">
        <v>36</v>
      </c>
      <c r="G191" s="1" t="s">
        <v>134</v>
      </c>
      <c r="H191" s="1" t="s">
        <v>135</v>
      </c>
      <c r="I191" s="1" t="s">
        <v>394</v>
      </c>
      <c r="J191" s="1" t="s">
        <v>395</v>
      </c>
      <c r="K191" s="1">
        <v>12</v>
      </c>
      <c r="L191" s="1" t="s">
        <v>138</v>
      </c>
      <c r="M191" s="1" t="str">
        <f>VLOOKUP(D191,HORARIOS!B:H,7,0)</f>
        <v>Día 4</v>
      </c>
      <c r="N191" s="1">
        <f>VLOOKUP(D191,HORARIOS!B:I,8,0)</f>
        <v>23</v>
      </c>
      <c r="O191" s="1" t="str">
        <f>VLOOKUP(A191,HORARIOS!A:D,4,0)</f>
        <v>12:00 hrs</v>
      </c>
      <c r="P191" s="9" t="str">
        <f>VLOOKUP(A191,HORARIOS!A:E,5,0)</f>
        <v>16:00 hrs</v>
      </c>
    </row>
    <row r="192" spans="1:16" ht="15.75" customHeight="1" x14ac:dyDescent="0.25">
      <c r="A192" s="1" t="str">
        <f t="shared" si="0"/>
        <v>601423</v>
      </c>
      <c r="B192" s="1">
        <v>213</v>
      </c>
      <c r="C192" s="1">
        <v>11</v>
      </c>
      <c r="D192" s="1">
        <v>6014</v>
      </c>
      <c r="E192" s="1" t="s">
        <v>55</v>
      </c>
      <c r="F192" s="1" t="s">
        <v>36</v>
      </c>
      <c r="G192" s="1" t="s">
        <v>145</v>
      </c>
      <c r="H192" s="1" t="s">
        <v>52</v>
      </c>
      <c r="I192" s="1" t="s">
        <v>396</v>
      </c>
      <c r="J192" s="1" t="s">
        <v>397</v>
      </c>
      <c r="K192" s="1">
        <v>12</v>
      </c>
      <c r="M192" s="1" t="str">
        <f>VLOOKUP(D192,HORARIOS!B:H,7,0)</f>
        <v>Día 4</v>
      </c>
      <c r="N192" s="1">
        <f>VLOOKUP(D192,HORARIOS!B:I,8,0)</f>
        <v>23</v>
      </c>
      <c r="O192" s="1" t="str">
        <f>VLOOKUP(A192,HORARIOS!A:D,4,0)</f>
        <v>12:00 hrs</v>
      </c>
      <c r="P192" s="9" t="str">
        <f>VLOOKUP(A192,HORARIOS!A:E,5,0)</f>
        <v>16:00 hrs</v>
      </c>
    </row>
    <row r="193" spans="1:16" ht="15.75" customHeight="1" x14ac:dyDescent="0.25">
      <c r="A193" s="1" t="str">
        <f t="shared" si="0"/>
        <v>601423</v>
      </c>
      <c r="B193" s="1">
        <v>214</v>
      </c>
      <c r="C193" s="1">
        <v>11</v>
      </c>
      <c r="D193" s="1">
        <v>6014</v>
      </c>
      <c r="E193" s="1" t="s">
        <v>55</v>
      </c>
      <c r="F193" s="1" t="s">
        <v>36</v>
      </c>
      <c r="G193" s="1" t="s">
        <v>159</v>
      </c>
      <c r="H193" s="1" t="s">
        <v>160</v>
      </c>
      <c r="I193" s="1" t="s">
        <v>398</v>
      </c>
      <c r="J193" s="1" t="s">
        <v>399</v>
      </c>
      <c r="K193" s="1">
        <v>12</v>
      </c>
      <c r="M193" s="1" t="str">
        <f>VLOOKUP(D193,HORARIOS!B:H,7,0)</f>
        <v>Día 4</v>
      </c>
      <c r="N193" s="1">
        <f>VLOOKUP(D193,HORARIOS!B:I,8,0)</f>
        <v>23</v>
      </c>
      <c r="O193" s="1" t="str">
        <f>VLOOKUP(A193,HORARIOS!A:D,4,0)</f>
        <v>12:00 hrs</v>
      </c>
      <c r="P193" s="9" t="str">
        <f>VLOOKUP(A193,HORARIOS!A:E,5,0)</f>
        <v>16:00 hrs</v>
      </c>
    </row>
    <row r="194" spans="1:16" ht="15.75" customHeight="1" x14ac:dyDescent="0.25">
      <c r="A194" s="1" t="str">
        <f t="shared" si="0"/>
        <v>601518</v>
      </c>
      <c r="B194" s="1">
        <v>215</v>
      </c>
      <c r="C194" s="1">
        <v>13</v>
      </c>
      <c r="D194" s="1">
        <v>6015</v>
      </c>
      <c r="E194" s="1" t="s">
        <v>56</v>
      </c>
      <c r="F194" s="1" t="s">
        <v>36</v>
      </c>
      <c r="G194" s="1" t="s">
        <v>37</v>
      </c>
      <c r="H194" s="1" t="s">
        <v>39</v>
      </c>
      <c r="I194" s="1" t="s">
        <v>400</v>
      </c>
      <c r="J194" s="1" t="s">
        <v>401</v>
      </c>
      <c r="K194" s="1">
        <v>13</v>
      </c>
      <c r="L194" s="1" t="s">
        <v>41</v>
      </c>
      <c r="M194" s="1" t="str">
        <f>VLOOKUP(D194,HORARIOS!B:H,7,0)</f>
        <v>Día 3</v>
      </c>
      <c r="N194" s="1">
        <f>VLOOKUP(D194,HORARIOS!B:I,8,0)</f>
        <v>18</v>
      </c>
      <c r="O194" s="1" t="str">
        <f>VLOOKUP(A194,HORARIOS!A:D,4,0)</f>
        <v>12:00 hrs</v>
      </c>
      <c r="P194" s="9" t="str">
        <f>VLOOKUP(A194,HORARIOS!A:E,5,0)</f>
        <v>14:30 hrs</v>
      </c>
    </row>
    <row r="195" spans="1:16" ht="15.75" customHeight="1" x14ac:dyDescent="0.25">
      <c r="A195" s="1" t="str">
        <f t="shared" si="0"/>
        <v>601518</v>
      </c>
      <c r="B195" s="1">
        <v>216</v>
      </c>
      <c r="C195" s="1">
        <v>13</v>
      </c>
      <c r="D195" s="1">
        <v>6015</v>
      </c>
      <c r="E195" s="1" t="s">
        <v>56</v>
      </c>
      <c r="F195" s="1" t="s">
        <v>36</v>
      </c>
      <c r="G195" s="1" t="s">
        <v>51</v>
      </c>
      <c r="H195" s="1" t="s">
        <v>52</v>
      </c>
      <c r="I195" s="1" t="s">
        <v>402</v>
      </c>
      <c r="J195" s="1" t="s">
        <v>403</v>
      </c>
      <c r="K195" s="1">
        <v>12</v>
      </c>
      <c r="M195" s="1" t="str">
        <f>VLOOKUP(D195,HORARIOS!B:H,7,0)</f>
        <v>Día 3</v>
      </c>
      <c r="N195" s="1">
        <f>VLOOKUP(D195,HORARIOS!B:I,8,0)</f>
        <v>18</v>
      </c>
      <c r="O195" s="1" t="str">
        <f>VLOOKUP(A195,HORARIOS!A:D,4,0)</f>
        <v>12:00 hrs</v>
      </c>
      <c r="P195" s="9" t="str">
        <f>VLOOKUP(A195,HORARIOS!A:E,5,0)</f>
        <v>14:30 hrs</v>
      </c>
    </row>
    <row r="196" spans="1:16" ht="15.75" customHeight="1" x14ac:dyDescent="0.25">
      <c r="A196" s="1" t="str">
        <f t="shared" si="0"/>
        <v>601518</v>
      </c>
      <c r="B196" s="1">
        <v>218</v>
      </c>
      <c r="C196" s="1">
        <v>13</v>
      </c>
      <c r="D196" s="1">
        <v>6015</v>
      </c>
      <c r="E196" s="1" t="s">
        <v>56</v>
      </c>
      <c r="F196" s="1" t="s">
        <v>36</v>
      </c>
      <c r="G196" s="1" t="s">
        <v>61</v>
      </c>
      <c r="H196" s="1" t="s">
        <v>62</v>
      </c>
      <c r="I196" s="1" t="s">
        <v>404</v>
      </c>
      <c r="J196" s="1" t="s">
        <v>404</v>
      </c>
      <c r="K196" s="1">
        <v>12</v>
      </c>
      <c r="L196" s="1" t="s">
        <v>64</v>
      </c>
      <c r="M196" s="1" t="str">
        <f>VLOOKUP(D196,HORARIOS!B:H,7,0)</f>
        <v>Día 3</v>
      </c>
      <c r="N196" s="1">
        <f>VLOOKUP(D196,HORARIOS!B:I,8,0)</f>
        <v>18</v>
      </c>
      <c r="O196" s="1" t="str">
        <f>VLOOKUP(A196,HORARIOS!A:D,4,0)</f>
        <v>12:00 hrs</v>
      </c>
      <c r="P196" s="9" t="str">
        <f>VLOOKUP(A196,HORARIOS!A:E,5,0)</f>
        <v>14:30 hrs</v>
      </c>
    </row>
    <row r="197" spans="1:16" ht="15.75" customHeight="1" x14ac:dyDescent="0.25">
      <c r="A197" s="1" t="str">
        <f t="shared" si="0"/>
        <v>601518</v>
      </c>
      <c r="B197" s="1">
        <v>219</v>
      </c>
      <c r="C197" s="1">
        <v>13</v>
      </c>
      <c r="D197" s="1">
        <v>6015</v>
      </c>
      <c r="E197" s="1" t="s">
        <v>56</v>
      </c>
      <c r="F197" s="1" t="s">
        <v>36</v>
      </c>
      <c r="G197" s="1" t="s">
        <v>72</v>
      </c>
      <c r="H197" s="1" t="s">
        <v>73</v>
      </c>
      <c r="I197" s="1" t="s">
        <v>405</v>
      </c>
      <c r="J197" s="1" t="s">
        <v>406</v>
      </c>
      <c r="K197" s="1">
        <v>12</v>
      </c>
      <c r="M197" s="1" t="str">
        <f>VLOOKUP(D197,HORARIOS!B:H,7,0)</f>
        <v>Día 3</v>
      </c>
      <c r="N197" s="1">
        <f>VLOOKUP(D197,HORARIOS!B:I,8,0)</f>
        <v>18</v>
      </c>
      <c r="O197" s="1" t="str">
        <f>VLOOKUP(A197,HORARIOS!A:D,4,0)</f>
        <v>12:00 hrs</v>
      </c>
      <c r="P197" s="9" t="str">
        <f>VLOOKUP(A197,HORARIOS!A:E,5,0)</f>
        <v>14:30 hrs</v>
      </c>
    </row>
    <row r="198" spans="1:16" ht="15.75" customHeight="1" x14ac:dyDescent="0.25">
      <c r="A198" s="1" t="str">
        <f t="shared" si="0"/>
        <v>601518</v>
      </c>
      <c r="B198" s="1">
        <v>220</v>
      </c>
      <c r="C198" s="1">
        <v>13</v>
      </c>
      <c r="D198" s="1">
        <v>6015</v>
      </c>
      <c r="E198" s="1" t="s">
        <v>56</v>
      </c>
      <c r="F198" s="1" t="s">
        <v>36</v>
      </c>
      <c r="G198" s="1" t="s">
        <v>88</v>
      </c>
      <c r="H198" s="1" t="s">
        <v>90</v>
      </c>
      <c r="I198" s="1" t="s">
        <v>407</v>
      </c>
      <c r="J198" s="1" t="s">
        <v>408</v>
      </c>
      <c r="K198" s="1">
        <v>12</v>
      </c>
      <c r="M198" s="1" t="str">
        <f>VLOOKUP(D198,HORARIOS!B:H,7,0)</f>
        <v>Día 3</v>
      </c>
      <c r="N198" s="1">
        <f>VLOOKUP(D198,HORARIOS!B:I,8,0)</f>
        <v>18</v>
      </c>
      <c r="O198" s="1" t="str">
        <f>VLOOKUP(A198,HORARIOS!A:D,4,0)</f>
        <v>12:00 hrs</v>
      </c>
      <c r="P198" s="9" t="str">
        <f>VLOOKUP(A198,HORARIOS!A:E,5,0)</f>
        <v>14:30 hrs</v>
      </c>
    </row>
    <row r="199" spans="1:16" ht="15.75" customHeight="1" x14ac:dyDescent="0.25">
      <c r="A199" s="1" t="str">
        <f t="shared" si="0"/>
        <v>601518</v>
      </c>
      <c r="B199" s="1">
        <v>221</v>
      </c>
      <c r="C199" s="1">
        <v>13</v>
      </c>
      <c r="D199" s="1">
        <v>6015</v>
      </c>
      <c r="E199" s="1" t="s">
        <v>56</v>
      </c>
      <c r="F199" s="1" t="s">
        <v>36</v>
      </c>
      <c r="G199" s="1" t="s">
        <v>96</v>
      </c>
      <c r="H199" s="1" t="s">
        <v>62</v>
      </c>
      <c r="I199" s="1" t="s">
        <v>409</v>
      </c>
      <c r="J199" s="1" t="s">
        <v>409</v>
      </c>
      <c r="K199" s="1">
        <v>12</v>
      </c>
      <c r="M199" s="1" t="str">
        <f>VLOOKUP(D199,HORARIOS!B:H,7,0)</f>
        <v>Día 3</v>
      </c>
      <c r="N199" s="1">
        <f>VLOOKUP(D199,HORARIOS!B:I,8,0)</f>
        <v>18</v>
      </c>
      <c r="O199" s="1" t="str">
        <f>VLOOKUP(A199,HORARIOS!A:D,4,0)</f>
        <v>12:00 hrs</v>
      </c>
      <c r="P199" s="9" t="str">
        <f>VLOOKUP(A199,HORARIOS!A:E,5,0)</f>
        <v>14:30 hrs</v>
      </c>
    </row>
    <row r="200" spans="1:16" ht="15.75" customHeight="1" x14ac:dyDescent="0.25">
      <c r="A200" s="1" t="str">
        <f t="shared" si="0"/>
        <v>601518</v>
      </c>
      <c r="B200" s="1">
        <v>222</v>
      </c>
      <c r="C200" s="1">
        <v>13</v>
      </c>
      <c r="D200" s="1">
        <v>6015</v>
      </c>
      <c r="E200" s="1" t="s">
        <v>56</v>
      </c>
      <c r="F200" s="1" t="s">
        <v>36</v>
      </c>
      <c r="G200" s="1" t="s">
        <v>98</v>
      </c>
      <c r="H200" s="1" t="s">
        <v>352</v>
      </c>
      <c r="I200" s="1" t="s">
        <v>410</v>
      </c>
      <c r="J200" s="1" t="s">
        <v>410</v>
      </c>
      <c r="K200" s="1">
        <v>12</v>
      </c>
      <c r="L200" s="1" t="s">
        <v>101</v>
      </c>
      <c r="M200" s="1" t="str">
        <f>VLOOKUP(D200,HORARIOS!B:H,7,0)</f>
        <v>Día 3</v>
      </c>
      <c r="N200" s="1">
        <f>VLOOKUP(D200,HORARIOS!B:I,8,0)</f>
        <v>18</v>
      </c>
      <c r="O200" s="1" t="str">
        <f>VLOOKUP(A200,HORARIOS!A:D,4,0)</f>
        <v>12:00 hrs</v>
      </c>
      <c r="P200" s="9" t="str">
        <f>VLOOKUP(A200,HORARIOS!A:E,5,0)</f>
        <v>14:30 hrs</v>
      </c>
    </row>
    <row r="201" spans="1:16" ht="15.75" customHeight="1" x14ac:dyDescent="0.25">
      <c r="A201" s="1" t="str">
        <f t="shared" si="0"/>
        <v>601518</v>
      </c>
      <c r="B201" s="1">
        <v>223</v>
      </c>
      <c r="C201" s="1">
        <v>13</v>
      </c>
      <c r="D201" s="1">
        <v>6015</v>
      </c>
      <c r="E201" s="1" t="s">
        <v>56</v>
      </c>
      <c r="F201" s="1" t="s">
        <v>36</v>
      </c>
      <c r="G201" s="1" t="s">
        <v>98</v>
      </c>
      <c r="H201" s="1" t="s">
        <v>352</v>
      </c>
      <c r="I201" s="1" t="s">
        <v>411</v>
      </c>
      <c r="J201" s="1" t="s">
        <v>411</v>
      </c>
      <c r="K201" s="1">
        <v>12</v>
      </c>
      <c r="L201" s="1" t="s">
        <v>101</v>
      </c>
      <c r="M201" s="1" t="str">
        <f>VLOOKUP(D201,HORARIOS!B:H,7,0)</f>
        <v>Día 3</v>
      </c>
      <c r="N201" s="1">
        <f>VLOOKUP(D201,HORARIOS!B:I,8,0)</f>
        <v>18</v>
      </c>
      <c r="O201" s="1" t="str">
        <f>VLOOKUP(A201,HORARIOS!A:D,4,0)</f>
        <v>12:00 hrs</v>
      </c>
      <c r="P201" s="9" t="str">
        <f>VLOOKUP(A201,HORARIOS!A:E,5,0)</f>
        <v>14:30 hrs</v>
      </c>
    </row>
    <row r="202" spans="1:16" ht="15.75" customHeight="1" x14ac:dyDescent="0.25">
      <c r="A202" s="1" t="str">
        <f t="shared" si="0"/>
        <v>601518</v>
      </c>
      <c r="B202" s="1">
        <v>224</v>
      </c>
      <c r="C202" s="1">
        <v>13</v>
      </c>
      <c r="D202" s="1">
        <v>6015</v>
      </c>
      <c r="E202" s="1" t="s">
        <v>56</v>
      </c>
      <c r="F202" s="1" t="s">
        <v>36</v>
      </c>
      <c r="G202" s="1" t="s">
        <v>98</v>
      </c>
      <c r="H202" s="1" t="s">
        <v>352</v>
      </c>
      <c r="I202" s="1" t="s">
        <v>412</v>
      </c>
      <c r="J202" s="1" t="s">
        <v>412</v>
      </c>
      <c r="K202" s="1">
        <v>12</v>
      </c>
      <c r="L202" s="1" t="s">
        <v>101</v>
      </c>
      <c r="M202" s="1" t="str">
        <f>VLOOKUP(D202,HORARIOS!B:H,7,0)</f>
        <v>Día 3</v>
      </c>
      <c r="N202" s="1">
        <f>VLOOKUP(D202,HORARIOS!B:I,8,0)</f>
        <v>18</v>
      </c>
      <c r="O202" s="1" t="str">
        <f>VLOOKUP(A202,HORARIOS!A:D,4,0)</f>
        <v>12:00 hrs</v>
      </c>
      <c r="P202" s="9" t="str">
        <f>VLOOKUP(A202,HORARIOS!A:E,5,0)</f>
        <v>14:30 hrs</v>
      </c>
    </row>
    <row r="203" spans="1:16" ht="15.75" customHeight="1" x14ac:dyDescent="0.25">
      <c r="A203" s="1" t="str">
        <f t="shared" si="0"/>
        <v>601518</v>
      </c>
      <c r="B203" s="1">
        <v>226</v>
      </c>
      <c r="C203" s="1">
        <v>13</v>
      </c>
      <c r="D203" s="1">
        <v>6015</v>
      </c>
      <c r="E203" s="1" t="s">
        <v>56</v>
      </c>
      <c r="F203" s="1" t="s">
        <v>36</v>
      </c>
      <c r="G203" s="1" t="s">
        <v>114</v>
      </c>
      <c r="H203" s="1" t="s">
        <v>39</v>
      </c>
      <c r="I203" s="1" t="s">
        <v>52</v>
      </c>
      <c r="J203" s="1" t="s">
        <v>52</v>
      </c>
      <c r="K203" s="1">
        <v>2</v>
      </c>
      <c r="L203" s="1" t="s">
        <v>115</v>
      </c>
      <c r="M203" s="1" t="str">
        <f>VLOOKUP(D203,HORARIOS!B:H,7,0)</f>
        <v>Día 3</v>
      </c>
      <c r="N203" s="1">
        <f>VLOOKUP(D203,HORARIOS!B:I,8,0)</f>
        <v>18</v>
      </c>
      <c r="O203" s="1" t="str">
        <f>VLOOKUP(A203,HORARIOS!A:D,4,0)</f>
        <v>12:00 hrs</v>
      </c>
      <c r="P203" s="9" t="str">
        <f>VLOOKUP(A203,HORARIOS!A:E,5,0)</f>
        <v>14:30 hrs</v>
      </c>
    </row>
    <row r="204" spans="1:16" ht="15.75" customHeight="1" x14ac:dyDescent="0.25">
      <c r="A204" s="1" t="str">
        <f t="shared" si="0"/>
        <v>601518</v>
      </c>
      <c r="B204" s="1">
        <v>227</v>
      </c>
      <c r="C204" s="1">
        <v>13</v>
      </c>
      <c r="D204" s="1">
        <v>6015</v>
      </c>
      <c r="E204" s="1" t="s">
        <v>56</v>
      </c>
      <c r="F204" s="1" t="s">
        <v>36</v>
      </c>
      <c r="G204" s="1" t="s">
        <v>134</v>
      </c>
      <c r="H204" s="1" t="s">
        <v>135</v>
      </c>
      <c r="I204" s="1" t="s">
        <v>413</v>
      </c>
      <c r="J204" s="1" t="s">
        <v>414</v>
      </c>
      <c r="K204" s="1">
        <v>12</v>
      </c>
      <c r="L204" s="1" t="s">
        <v>138</v>
      </c>
      <c r="M204" s="1" t="str">
        <f>VLOOKUP(D204,HORARIOS!B:H,7,0)</f>
        <v>Día 3</v>
      </c>
      <c r="N204" s="1">
        <f>VLOOKUP(D204,HORARIOS!B:I,8,0)</f>
        <v>18</v>
      </c>
      <c r="O204" s="1" t="str">
        <f>VLOOKUP(A204,HORARIOS!A:D,4,0)</f>
        <v>12:00 hrs</v>
      </c>
      <c r="P204" s="9" t="str">
        <f>VLOOKUP(A204,HORARIOS!A:E,5,0)</f>
        <v>14:30 hrs</v>
      </c>
    </row>
    <row r="205" spans="1:16" ht="15.75" customHeight="1" x14ac:dyDescent="0.25">
      <c r="A205" s="1" t="str">
        <f t="shared" si="0"/>
        <v>601518</v>
      </c>
      <c r="B205" s="1">
        <v>228</v>
      </c>
      <c r="C205" s="1">
        <v>13</v>
      </c>
      <c r="D205" s="1">
        <v>6015</v>
      </c>
      <c r="E205" s="1" t="s">
        <v>56</v>
      </c>
      <c r="F205" s="1" t="s">
        <v>36</v>
      </c>
      <c r="G205" s="1" t="s">
        <v>145</v>
      </c>
      <c r="H205" s="1" t="s">
        <v>52</v>
      </c>
      <c r="I205" s="1" t="s">
        <v>415</v>
      </c>
      <c r="J205" s="1" t="s">
        <v>416</v>
      </c>
      <c r="K205" s="1">
        <v>12</v>
      </c>
      <c r="M205" s="1" t="str">
        <f>VLOOKUP(D205,HORARIOS!B:H,7,0)</f>
        <v>Día 3</v>
      </c>
      <c r="N205" s="1">
        <f>VLOOKUP(D205,HORARIOS!B:I,8,0)</f>
        <v>18</v>
      </c>
      <c r="O205" s="1" t="str">
        <f>VLOOKUP(A205,HORARIOS!A:D,4,0)</f>
        <v>12:00 hrs</v>
      </c>
      <c r="P205" s="9" t="str">
        <f>VLOOKUP(A205,HORARIOS!A:E,5,0)</f>
        <v>14:30 hrs</v>
      </c>
    </row>
    <row r="206" spans="1:16" ht="15.75" customHeight="1" x14ac:dyDescent="0.25">
      <c r="A206" s="1" t="str">
        <f t="shared" si="0"/>
        <v>601518</v>
      </c>
      <c r="B206" s="1">
        <v>229</v>
      </c>
      <c r="C206" s="1">
        <v>13</v>
      </c>
      <c r="D206" s="1">
        <v>6015</v>
      </c>
      <c r="E206" s="1" t="s">
        <v>56</v>
      </c>
      <c r="F206" s="1" t="s">
        <v>36</v>
      </c>
      <c r="G206" s="1" t="s">
        <v>159</v>
      </c>
      <c r="H206" s="1" t="s">
        <v>160</v>
      </c>
      <c r="I206" s="1" t="s">
        <v>417</v>
      </c>
      <c r="J206" s="1" t="s">
        <v>418</v>
      </c>
      <c r="K206" s="1">
        <v>12</v>
      </c>
      <c r="M206" s="1" t="str">
        <f>VLOOKUP(D206,HORARIOS!B:H,7,0)</f>
        <v>Día 3</v>
      </c>
      <c r="N206" s="1">
        <f>VLOOKUP(D206,HORARIOS!B:I,8,0)</f>
        <v>18</v>
      </c>
      <c r="O206" s="1" t="str">
        <f>VLOOKUP(A206,HORARIOS!A:D,4,0)</f>
        <v>12:00 hrs</v>
      </c>
      <c r="P206" s="9" t="str">
        <f>VLOOKUP(A206,HORARIOS!A:E,5,0)</f>
        <v>14:30 hrs</v>
      </c>
    </row>
    <row r="207" spans="1:16" ht="15.75" customHeight="1" x14ac:dyDescent="0.25">
      <c r="A207" s="1" t="str">
        <f t="shared" si="0"/>
        <v>601628</v>
      </c>
      <c r="B207" s="1">
        <v>230</v>
      </c>
      <c r="C207" s="1">
        <v>14</v>
      </c>
      <c r="D207" s="1">
        <v>6016</v>
      </c>
      <c r="E207" s="1" t="s">
        <v>57</v>
      </c>
      <c r="F207" s="1" t="s">
        <v>36</v>
      </c>
      <c r="G207" s="1" t="s">
        <v>37</v>
      </c>
      <c r="H207" s="1" t="s">
        <v>39</v>
      </c>
      <c r="I207" s="1" t="s">
        <v>419</v>
      </c>
      <c r="J207" s="1" t="s">
        <v>420</v>
      </c>
      <c r="K207" s="1">
        <v>12</v>
      </c>
      <c r="L207" s="1" t="s">
        <v>41</v>
      </c>
      <c r="M207" s="1" t="str">
        <f>VLOOKUP(D207,HORARIOS!B:H,7,0)</f>
        <v>Dia 5</v>
      </c>
      <c r="N207" s="1">
        <f>VLOOKUP(D207,HORARIOS!B:I,8,0)</f>
        <v>28</v>
      </c>
      <c r="O207" s="1" t="str">
        <f>VLOOKUP(A207,HORARIOS!A:D,4,0)</f>
        <v>11:00 hrs</v>
      </c>
      <c r="P207" s="9" t="str">
        <f>VLOOKUP(A207,HORARIOS!A:E,5,0)</f>
        <v>15:30 hrs</v>
      </c>
    </row>
    <row r="208" spans="1:16" ht="15.75" customHeight="1" x14ac:dyDescent="0.25">
      <c r="A208" s="1" t="str">
        <f t="shared" si="0"/>
        <v>601628</v>
      </c>
      <c r="B208" s="1">
        <v>231</v>
      </c>
      <c r="C208" s="1">
        <v>14</v>
      </c>
      <c r="D208" s="1">
        <v>6016</v>
      </c>
      <c r="E208" s="1" t="s">
        <v>57</v>
      </c>
      <c r="F208" s="1" t="s">
        <v>36</v>
      </c>
      <c r="G208" s="1" t="s">
        <v>51</v>
      </c>
      <c r="H208" s="1" t="s">
        <v>52</v>
      </c>
      <c r="I208" s="1" t="s">
        <v>421</v>
      </c>
      <c r="J208" s="1" t="s">
        <v>422</v>
      </c>
      <c r="K208" s="1">
        <v>12</v>
      </c>
      <c r="M208" s="1" t="str">
        <f>VLOOKUP(D208,HORARIOS!B:H,7,0)</f>
        <v>Dia 5</v>
      </c>
      <c r="N208" s="1">
        <f>VLOOKUP(D208,HORARIOS!B:I,8,0)</f>
        <v>28</v>
      </c>
      <c r="O208" s="1" t="str">
        <f>VLOOKUP(A208,HORARIOS!A:D,4,0)</f>
        <v>11:00 hrs</v>
      </c>
      <c r="P208" s="9" t="str">
        <f>VLOOKUP(A208,HORARIOS!A:E,5,0)</f>
        <v>15:30 hrs</v>
      </c>
    </row>
    <row r="209" spans="1:16" ht="15.75" customHeight="1" x14ac:dyDescent="0.25">
      <c r="A209" s="1" t="str">
        <f t="shared" si="0"/>
        <v>601628</v>
      </c>
      <c r="B209" s="1">
        <v>232</v>
      </c>
      <c r="C209" s="1">
        <v>14</v>
      </c>
      <c r="D209" s="1">
        <v>6016</v>
      </c>
      <c r="E209" s="1" t="s">
        <v>57</v>
      </c>
      <c r="F209" s="1" t="s">
        <v>36</v>
      </c>
      <c r="G209" s="1" t="s">
        <v>61</v>
      </c>
      <c r="H209" s="1" t="s">
        <v>62</v>
      </c>
      <c r="I209" s="1" t="s">
        <v>423</v>
      </c>
      <c r="J209" s="1" t="s">
        <v>423</v>
      </c>
      <c r="K209" s="1">
        <v>12</v>
      </c>
      <c r="L209" s="1" t="s">
        <v>64</v>
      </c>
      <c r="M209" s="1" t="str">
        <f>VLOOKUP(D209,HORARIOS!B:H,7,0)</f>
        <v>Dia 5</v>
      </c>
      <c r="N209" s="1">
        <f>VLOOKUP(D209,HORARIOS!B:I,8,0)</f>
        <v>28</v>
      </c>
      <c r="O209" s="1" t="str">
        <f>VLOOKUP(A209,HORARIOS!A:D,4,0)</f>
        <v>11:00 hrs</v>
      </c>
      <c r="P209" s="9" t="str">
        <f>VLOOKUP(A209,HORARIOS!A:E,5,0)</f>
        <v>15:30 hrs</v>
      </c>
    </row>
    <row r="210" spans="1:16" ht="15.75" customHeight="1" x14ac:dyDescent="0.25">
      <c r="A210" s="1" t="str">
        <f t="shared" si="0"/>
        <v>601628</v>
      </c>
      <c r="B210" s="1">
        <v>234</v>
      </c>
      <c r="C210" s="1">
        <v>14</v>
      </c>
      <c r="D210" s="1">
        <v>6016</v>
      </c>
      <c r="E210" s="1" t="s">
        <v>57</v>
      </c>
      <c r="F210" s="1" t="s">
        <v>36</v>
      </c>
      <c r="G210" s="1" t="s">
        <v>72</v>
      </c>
      <c r="H210" s="1" t="s">
        <v>73</v>
      </c>
      <c r="I210" s="1" t="s">
        <v>424</v>
      </c>
      <c r="J210" s="1" t="s">
        <v>425</v>
      </c>
      <c r="K210" s="1">
        <v>12</v>
      </c>
      <c r="M210" s="1" t="str">
        <f>VLOOKUP(D210,HORARIOS!B:H,7,0)</f>
        <v>Dia 5</v>
      </c>
      <c r="N210" s="1">
        <f>VLOOKUP(D210,HORARIOS!B:I,8,0)</f>
        <v>28</v>
      </c>
      <c r="O210" s="1" t="str">
        <f>VLOOKUP(A210,HORARIOS!A:D,4,0)</f>
        <v>11:00 hrs</v>
      </c>
      <c r="P210" s="9" t="str">
        <f>VLOOKUP(A210,HORARIOS!A:E,5,0)</f>
        <v>15:30 hrs</v>
      </c>
    </row>
    <row r="211" spans="1:16" ht="15.75" customHeight="1" x14ac:dyDescent="0.25">
      <c r="A211" s="1" t="str">
        <f t="shared" si="0"/>
        <v>601628</v>
      </c>
      <c r="B211" s="1">
        <v>235</v>
      </c>
      <c r="C211" s="1">
        <v>14</v>
      </c>
      <c r="D211" s="1">
        <v>6016</v>
      </c>
      <c r="E211" s="1" t="s">
        <v>57</v>
      </c>
      <c r="F211" s="1" t="s">
        <v>36</v>
      </c>
      <c r="G211" s="1" t="s">
        <v>88</v>
      </c>
      <c r="H211" s="1" t="s">
        <v>90</v>
      </c>
      <c r="I211" s="1" t="s">
        <v>426</v>
      </c>
      <c r="J211" s="1" t="s">
        <v>427</v>
      </c>
      <c r="K211" s="1">
        <v>12</v>
      </c>
      <c r="M211" s="1" t="str">
        <f>VLOOKUP(D211,HORARIOS!B:H,7,0)</f>
        <v>Dia 5</v>
      </c>
      <c r="N211" s="1">
        <f>VLOOKUP(D211,HORARIOS!B:I,8,0)</f>
        <v>28</v>
      </c>
      <c r="O211" s="1" t="str">
        <f>VLOOKUP(A211,HORARIOS!A:D,4,0)</f>
        <v>11:00 hrs</v>
      </c>
      <c r="P211" s="9" t="str">
        <f>VLOOKUP(A211,HORARIOS!A:E,5,0)</f>
        <v>15:30 hrs</v>
      </c>
    </row>
    <row r="212" spans="1:16" ht="15.75" customHeight="1" x14ac:dyDescent="0.25">
      <c r="A212" s="1" t="str">
        <f t="shared" si="0"/>
        <v>601628</v>
      </c>
      <c r="B212" s="1">
        <v>236</v>
      </c>
      <c r="C212" s="1">
        <v>14</v>
      </c>
      <c r="D212" s="1">
        <v>6016</v>
      </c>
      <c r="E212" s="1" t="s">
        <v>57</v>
      </c>
      <c r="F212" s="1" t="s">
        <v>36</v>
      </c>
      <c r="G212" s="1" t="s">
        <v>96</v>
      </c>
      <c r="H212" s="1" t="s">
        <v>62</v>
      </c>
      <c r="I212" s="1" t="s">
        <v>428</v>
      </c>
      <c r="J212" s="1" t="s">
        <v>428</v>
      </c>
      <c r="K212" s="1">
        <v>12</v>
      </c>
      <c r="M212" s="1" t="str">
        <f>VLOOKUP(D212,HORARIOS!B:H,7,0)</f>
        <v>Dia 5</v>
      </c>
      <c r="N212" s="1">
        <f>VLOOKUP(D212,HORARIOS!B:I,8,0)</f>
        <v>28</v>
      </c>
      <c r="O212" s="1" t="str">
        <f>VLOOKUP(A212,HORARIOS!A:D,4,0)</f>
        <v>11:00 hrs</v>
      </c>
      <c r="P212" s="9" t="str">
        <f>VLOOKUP(A212,HORARIOS!A:E,5,0)</f>
        <v>15:30 hrs</v>
      </c>
    </row>
    <row r="213" spans="1:16" ht="15.75" customHeight="1" x14ac:dyDescent="0.25">
      <c r="A213" s="1" t="str">
        <f t="shared" si="0"/>
        <v>601628</v>
      </c>
      <c r="B213" s="1">
        <v>237</v>
      </c>
      <c r="C213" s="1">
        <v>14</v>
      </c>
      <c r="D213" s="1">
        <v>6016</v>
      </c>
      <c r="E213" s="1" t="s">
        <v>57</v>
      </c>
      <c r="F213" s="1" t="s">
        <v>36</v>
      </c>
      <c r="G213" s="1" t="s">
        <v>98</v>
      </c>
      <c r="H213" s="1" t="s">
        <v>352</v>
      </c>
      <c r="I213" s="1" t="s">
        <v>429</v>
      </c>
      <c r="J213" s="1" t="s">
        <v>430</v>
      </c>
      <c r="K213" s="1">
        <v>12</v>
      </c>
      <c r="L213" s="1" t="s">
        <v>101</v>
      </c>
      <c r="M213" s="1" t="str">
        <f>VLOOKUP(D213,HORARIOS!B:H,7,0)</f>
        <v>Dia 5</v>
      </c>
      <c r="N213" s="1">
        <f>VLOOKUP(D213,HORARIOS!B:I,8,0)</f>
        <v>28</v>
      </c>
      <c r="O213" s="1" t="str">
        <f>VLOOKUP(A213,HORARIOS!A:D,4,0)</f>
        <v>11:00 hrs</v>
      </c>
      <c r="P213" s="9" t="str">
        <f>VLOOKUP(A213,HORARIOS!A:E,5,0)</f>
        <v>15:30 hrs</v>
      </c>
    </row>
    <row r="214" spans="1:16" ht="15.75" customHeight="1" x14ac:dyDescent="0.25">
      <c r="A214" s="1" t="str">
        <f t="shared" si="0"/>
        <v>601628</v>
      </c>
      <c r="B214" s="1">
        <v>238</v>
      </c>
      <c r="C214" s="1">
        <v>14</v>
      </c>
      <c r="D214" s="1">
        <v>6016</v>
      </c>
      <c r="E214" s="1" t="s">
        <v>57</v>
      </c>
      <c r="F214" s="1" t="s">
        <v>36</v>
      </c>
      <c r="G214" s="1" t="s">
        <v>98</v>
      </c>
      <c r="H214" s="1" t="s">
        <v>352</v>
      </c>
      <c r="I214" s="1" t="s">
        <v>431</v>
      </c>
      <c r="J214" s="1" t="s">
        <v>432</v>
      </c>
      <c r="K214" s="1">
        <v>12</v>
      </c>
      <c r="L214" s="1" t="s">
        <v>101</v>
      </c>
      <c r="M214" s="1" t="str">
        <f>VLOOKUP(D214,HORARIOS!B:H,7,0)</f>
        <v>Dia 5</v>
      </c>
      <c r="N214" s="1">
        <f>VLOOKUP(D214,HORARIOS!B:I,8,0)</f>
        <v>28</v>
      </c>
      <c r="O214" s="1" t="str">
        <f>VLOOKUP(A214,HORARIOS!A:D,4,0)</f>
        <v>11:00 hrs</v>
      </c>
      <c r="P214" s="9" t="str">
        <f>VLOOKUP(A214,HORARIOS!A:E,5,0)</f>
        <v>15:30 hrs</v>
      </c>
    </row>
    <row r="215" spans="1:16" ht="15.75" customHeight="1" x14ac:dyDescent="0.25">
      <c r="A215" s="1" t="str">
        <f t="shared" si="0"/>
        <v>601628</v>
      </c>
      <c r="B215" s="1">
        <v>239</v>
      </c>
      <c r="C215" s="1">
        <v>14</v>
      </c>
      <c r="D215" s="1">
        <v>6016</v>
      </c>
      <c r="E215" s="1" t="s">
        <v>57</v>
      </c>
      <c r="F215" s="1" t="s">
        <v>36</v>
      </c>
      <c r="G215" s="1" t="s">
        <v>98</v>
      </c>
      <c r="H215" s="1" t="s">
        <v>352</v>
      </c>
      <c r="I215" s="1" t="s">
        <v>433</v>
      </c>
      <c r="J215" s="1" t="s">
        <v>434</v>
      </c>
      <c r="K215" s="1">
        <v>12</v>
      </c>
      <c r="L215" s="1" t="s">
        <v>101</v>
      </c>
      <c r="M215" s="1" t="str">
        <f>VLOOKUP(D215,HORARIOS!B:H,7,0)</f>
        <v>Dia 5</v>
      </c>
      <c r="N215" s="1">
        <f>VLOOKUP(D215,HORARIOS!B:I,8,0)</f>
        <v>28</v>
      </c>
      <c r="O215" s="1" t="str">
        <f>VLOOKUP(A215,HORARIOS!A:D,4,0)</f>
        <v>11:00 hrs</v>
      </c>
      <c r="P215" s="9" t="str">
        <f>VLOOKUP(A215,HORARIOS!A:E,5,0)</f>
        <v>15:30 hrs</v>
      </c>
    </row>
    <row r="216" spans="1:16" ht="15.75" customHeight="1" x14ac:dyDescent="0.25">
      <c r="A216" s="1" t="str">
        <f t="shared" si="0"/>
        <v>601628</v>
      </c>
      <c r="B216" s="1">
        <v>240</v>
      </c>
      <c r="C216" s="1">
        <v>14</v>
      </c>
      <c r="D216" s="1">
        <v>6016</v>
      </c>
      <c r="E216" s="1" t="s">
        <v>57</v>
      </c>
      <c r="F216" s="1" t="s">
        <v>36</v>
      </c>
      <c r="G216" s="1" t="s">
        <v>98</v>
      </c>
      <c r="H216" s="1" t="s">
        <v>352</v>
      </c>
      <c r="I216" s="1" t="s">
        <v>435</v>
      </c>
      <c r="J216" s="1" t="s">
        <v>436</v>
      </c>
      <c r="K216" s="1">
        <v>12</v>
      </c>
      <c r="L216" s="1" t="s">
        <v>101</v>
      </c>
      <c r="M216" s="1" t="str">
        <f>VLOOKUP(D216,HORARIOS!B:H,7,0)</f>
        <v>Dia 5</v>
      </c>
      <c r="N216" s="1">
        <f>VLOOKUP(D216,HORARIOS!B:I,8,0)</f>
        <v>28</v>
      </c>
      <c r="O216" s="1" t="str">
        <f>VLOOKUP(A216,HORARIOS!A:D,4,0)</f>
        <v>11:00 hrs</v>
      </c>
      <c r="P216" s="9" t="str">
        <f>VLOOKUP(A216,HORARIOS!A:E,5,0)</f>
        <v>15:30 hrs</v>
      </c>
    </row>
    <row r="217" spans="1:16" ht="15.75" customHeight="1" x14ac:dyDescent="0.25">
      <c r="A217" s="1" t="str">
        <f t="shared" si="0"/>
        <v>601628</v>
      </c>
      <c r="B217" s="1">
        <v>242</v>
      </c>
      <c r="C217" s="1">
        <v>14</v>
      </c>
      <c r="D217" s="1">
        <v>6016</v>
      </c>
      <c r="E217" s="1" t="s">
        <v>57</v>
      </c>
      <c r="F217" s="1" t="s">
        <v>36</v>
      </c>
      <c r="G217" s="1" t="s">
        <v>114</v>
      </c>
      <c r="H217" s="1" t="s">
        <v>39</v>
      </c>
      <c r="I217" s="1" t="s">
        <v>52</v>
      </c>
      <c r="J217" s="1" t="s">
        <v>52</v>
      </c>
      <c r="K217" s="1">
        <v>2</v>
      </c>
      <c r="L217" s="1" t="s">
        <v>115</v>
      </c>
      <c r="M217" s="1" t="str">
        <f>VLOOKUP(D217,HORARIOS!B:H,7,0)</f>
        <v>Dia 5</v>
      </c>
      <c r="N217" s="1">
        <f>VLOOKUP(D217,HORARIOS!B:I,8,0)</f>
        <v>28</v>
      </c>
      <c r="O217" s="1" t="str">
        <f>VLOOKUP(A217,HORARIOS!A:D,4,0)</f>
        <v>11:00 hrs</v>
      </c>
      <c r="P217" s="9" t="str">
        <f>VLOOKUP(A217,HORARIOS!A:E,5,0)</f>
        <v>15:30 hrs</v>
      </c>
    </row>
    <row r="218" spans="1:16" ht="15.75" customHeight="1" x14ac:dyDescent="0.25">
      <c r="A218" s="1" t="str">
        <f t="shared" si="0"/>
        <v>601628</v>
      </c>
      <c r="B218" s="1">
        <v>243</v>
      </c>
      <c r="C218" s="1">
        <v>14</v>
      </c>
      <c r="D218" s="1">
        <v>6016</v>
      </c>
      <c r="E218" s="1" t="s">
        <v>57</v>
      </c>
      <c r="F218" s="1" t="s">
        <v>36</v>
      </c>
      <c r="G218" s="1" t="s">
        <v>134</v>
      </c>
      <c r="H218" s="1" t="s">
        <v>135</v>
      </c>
      <c r="I218" s="1" t="s">
        <v>437</v>
      </c>
      <c r="J218" s="1" t="s">
        <v>438</v>
      </c>
      <c r="K218" s="1">
        <v>12</v>
      </c>
      <c r="L218" s="1" t="s">
        <v>138</v>
      </c>
      <c r="M218" s="1" t="str">
        <f>VLOOKUP(D218,HORARIOS!B:H,7,0)</f>
        <v>Dia 5</v>
      </c>
      <c r="N218" s="1">
        <f>VLOOKUP(D218,HORARIOS!B:I,8,0)</f>
        <v>28</v>
      </c>
      <c r="O218" s="1" t="str">
        <f>VLOOKUP(A218,HORARIOS!A:D,4,0)</f>
        <v>11:00 hrs</v>
      </c>
      <c r="P218" s="9" t="str">
        <f>VLOOKUP(A218,HORARIOS!A:E,5,0)</f>
        <v>15:30 hrs</v>
      </c>
    </row>
    <row r="219" spans="1:16" ht="15.75" customHeight="1" x14ac:dyDescent="0.25">
      <c r="A219" s="1" t="str">
        <f t="shared" si="0"/>
        <v>601628</v>
      </c>
      <c r="B219" s="1">
        <v>244</v>
      </c>
      <c r="C219" s="1">
        <v>14</v>
      </c>
      <c r="D219" s="1">
        <v>6016</v>
      </c>
      <c r="E219" s="1" t="s">
        <v>57</v>
      </c>
      <c r="F219" s="1" t="s">
        <v>36</v>
      </c>
      <c r="G219" s="1" t="s">
        <v>145</v>
      </c>
      <c r="H219" s="1" t="s">
        <v>52</v>
      </c>
      <c r="I219" s="1" t="s">
        <v>439</v>
      </c>
      <c r="J219" s="1" t="s">
        <v>440</v>
      </c>
      <c r="K219" s="1">
        <v>12</v>
      </c>
      <c r="M219" s="1" t="str">
        <f>VLOOKUP(D219,HORARIOS!B:H,7,0)</f>
        <v>Dia 5</v>
      </c>
      <c r="N219" s="1">
        <f>VLOOKUP(D219,HORARIOS!B:I,8,0)</f>
        <v>28</v>
      </c>
      <c r="O219" s="1" t="str">
        <f>VLOOKUP(A219,HORARIOS!A:D,4,0)</f>
        <v>11:00 hrs</v>
      </c>
      <c r="P219" s="9" t="str">
        <f>VLOOKUP(A219,HORARIOS!A:E,5,0)</f>
        <v>15:30 hrs</v>
      </c>
    </row>
    <row r="220" spans="1:16" ht="15.75" customHeight="1" x14ac:dyDescent="0.25">
      <c r="A220" s="1" t="str">
        <f t="shared" si="0"/>
        <v>601628</v>
      </c>
      <c r="B220" s="1">
        <v>245</v>
      </c>
      <c r="C220" s="1">
        <v>14</v>
      </c>
      <c r="D220" s="1">
        <v>6016</v>
      </c>
      <c r="E220" s="1" t="s">
        <v>57</v>
      </c>
      <c r="F220" s="1" t="s">
        <v>36</v>
      </c>
      <c r="G220" s="1" t="s">
        <v>159</v>
      </c>
      <c r="H220" s="1" t="s">
        <v>160</v>
      </c>
      <c r="I220" s="1" t="s">
        <v>441</v>
      </c>
      <c r="J220" s="1" t="s">
        <v>442</v>
      </c>
      <c r="K220" s="1">
        <v>12</v>
      </c>
      <c r="M220" s="1" t="str">
        <f>VLOOKUP(D220,HORARIOS!B:H,7,0)</f>
        <v>Dia 5</v>
      </c>
      <c r="N220" s="1">
        <f>VLOOKUP(D220,HORARIOS!B:I,8,0)</f>
        <v>28</v>
      </c>
      <c r="O220" s="1" t="str">
        <f>VLOOKUP(A220,HORARIOS!A:D,4,0)</f>
        <v>11:00 hrs</v>
      </c>
      <c r="P220" s="9" t="str">
        <f>VLOOKUP(A220,HORARIOS!A:E,5,0)</f>
        <v>15:30 hrs</v>
      </c>
    </row>
    <row r="221" spans="1:16" ht="15.75" customHeight="1" x14ac:dyDescent="0.25">
      <c r="A221" s="1" t="str">
        <f t="shared" si="0"/>
        <v>601724</v>
      </c>
      <c r="B221" s="1">
        <v>246</v>
      </c>
      <c r="C221" s="1">
        <v>14</v>
      </c>
      <c r="D221" s="1">
        <v>6017</v>
      </c>
      <c r="E221" s="1" t="s">
        <v>58</v>
      </c>
      <c r="F221" s="1" t="s">
        <v>36</v>
      </c>
      <c r="G221" s="1" t="s">
        <v>37</v>
      </c>
      <c r="H221" s="1" t="s">
        <v>39</v>
      </c>
      <c r="I221" s="1" t="s">
        <v>443</v>
      </c>
      <c r="J221" s="1" t="s">
        <v>444</v>
      </c>
      <c r="K221" s="1">
        <v>12</v>
      </c>
      <c r="L221" s="1" t="s">
        <v>41</v>
      </c>
      <c r="M221" s="1" t="str">
        <f>VLOOKUP(D221,HORARIOS!B:H,7,0)</f>
        <v>Día 4</v>
      </c>
      <c r="N221" s="1">
        <f>VLOOKUP(D221,HORARIOS!B:I,8,0)</f>
        <v>24</v>
      </c>
      <c r="O221" s="1" t="str">
        <f>VLOOKUP(A221,HORARIOS!A:D,4,0)</f>
        <v>15:00 hrs</v>
      </c>
      <c r="P221" s="9" t="str">
        <f>VLOOKUP(A221,HORARIOS!A:E,5,0)</f>
        <v>19:30 hrs</v>
      </c>
    </row>
    <row r="222" spans="1:16" ht="15.75" customHeight="1" x14ac:dyDescent="0.25">
      <c r="A222" s="1" t="str">
        <f t="shared" si="0"/>
        <v>601724</v>
      </c>
      <c r="B222" s="1">
        <v>247</v>
      </c>
      <c r="C222" s="1">
        <v>14</v>
      </c>
      <c r="D222" s="1">
        <v>6017</v>
      </c>
      <c r="E222" s="1" t="s">
        <v>58</v>
      </c>
      <c r="F222" s="1" t="s">
        <v>36</v>
      </c>
      <c r="G222" s="1" t="s">
        <v>51</v>
      </c>
      <c r="H222" s="1" t="s">
        <v>52</v>
      </c>
      <c r="I222" s="1" t="s">
        <v>445</v>
      </c>
      <c r="J222" s="1" t="s">
        <v>446</v>
      </c>
      <c r="K222" s="1">
        <v>12</v>
      </c>
      <c r="M222" s="1" t="str">
        <f>VLOOKUP(D222,HORARIOS!B:H,7,0)</f>
        <v>Día 4</v>
      </c>
      <c r="N222" s="1">
        <f>VLOOKUP(D222,HORARIOS!B:I,8,0)</f>
        <v>24</v>
      </c>
      <c r="O222" s="1" t="str">
        <f>VLOOKUP(A222,HORARIOS!A:D,4,0)</f>
        <v>15:00 hrs</v>
      </c>
      <c r="P222" s="9" t="str">
        <f>VLOOKUP(A222,HORARIOS!A:E,5,0)</f>
        <v>19:30 hrs</v>
      </c>
    </row>
    <row r="223" spans="1:16" ht="15.75" customHeight="1" x14ac:dyDescent="0.25">
      <c r="A223" s="1" t="str">
        <f t="shared" si="0"/>
        <v>601724</v>
      </c>
      <c r="B223" s="1">
        <v>248</v>
      </c>
      <c r="C223" s="1">
        <v>14</v>
      </c>
      <c r="D223" s="1">
        <v>6017</v>
      </c>
      <c r="E223" s="1" t="s">
        <v>58</v>
      </c>
      <c r="F223" s="1" t="s">
        <v>36</v>
      </c>
      <c r="G223" s="1" t="s">
        <v>61</v>
      </c>
      <c r="H223" s="1" t="s">
        <v>62</v>
      </c>
      <c r="I223" s="1" t="s">
        <v>447</v>
      </c>
      <c r="J223" s="1" t="s">
        <v>447</v>
      </c>
      <c r="K223" s="1">
        <v>12</v>
      </c>
      <c r="L223" s="1" t="s">
        <v>64</v>
      </c>
      <c r="M223" s="1" t="str">
        <f>VLOOKUP(D223,HORARIOS!B:H,7,0)</f>
        <v>Día 4</v>
      </c>
      <c r="N223" s="1">
        <f>VLOOKUP(D223,HORARIOS!B:I,8,0)</f>
        <v>24</v>
      </c>
      <c r="O223" s="1" t="str">
        <f>VLOOKUP(A223,HORARIOS!A:D,4,0)</f>
        <v>15:00 hrs</v>
      </c>
      <c r="P223" s="9" t="str">
        <f>VLOOKUP(A223,HORARIOS!A:E,5,0)</f>
        <v>19:30 hrs</v>
      </c>
    </row>
    <row r="224" spans="1:16" ht="15.75" customHeight="1" x14ac:dyDescent="0.25">
      <c r="A224" s="1" t="str">
        <f t="shared" si="0"/>
        <v>601724</v>
      </c>
      <c r="B224" s="1">
        <v>250</v>
      </c>
      <c r="C224" s="1">
        <v>14</v>
      </c>
      <c r="D224" s="1">
        <v>6017</v>
      </c>
      <c r="E224" s="1" t="s">
        <v>58</v>
      </c>
      <c r="F224" s="1" t="s">
        <v>36</v>
      </c>
      <c r="G224" s="1" t="s">
        <v>72</v>
      </c>
      <c r="H224" s="1" t="s">
        <v>73</v>
      </c>
      <c r="I224" s="1" t="s">
        <v>448</v>
      </c>
      <c r="J224" s="1" t="s">
        <v>449</v>
      </c>
      <c r="K224" s="1">
        <v>12</v>
      </c>
      <c r="M224" s="1" t="str">
        <f>VLOOKUP(D224,HORARIOS!B:H,7,0)</f>
        <v>Día 4</v>
      </c>
      <c r="N224" s="1">
        <f>VLOOKUP(D224,HORARIOS!B:I,8,0)</f>
        <v>24</v>
      </c>
      <c r="O224" s="1" t="str">
        <f>VLOOKUP(A224,HORARIOS!A:D,4,0)</f>
        <v>15:00 hrs</v>
      </c>
      <c r="P224" s="9" t="str">
        <f>VLOOKUP(A224,HORARIOS!A:E,5,0)</f>
        <v>19:30 hrs</v>
      </c>
    </row>
    <row r="225" spans="1:16" ht="15.75" customHeight="1" x14ac:dyDescent="0.25">
      <c r="A225" s="1" t="str">
        <f t="shared" si="0"/>
        <v>601724</v>
      </c>
      <c r="B225" s="1">
        <v>251</v>
      </c>
      <c r="C225" s="1">
        <v>14</v>
      </c>
      <c r="D225" s="1">
        <v>6017</v>
      </c>
      <c r="E225" s="1" t="s">
        <v>58</v>
      </c>
      <c r="F225" s="1" t="s">
        <v>36</v>
      </c>
      <c r="G225" s="1" t="s">
        <v>88</v>
      </c>
      <c r="H225" s="1" t="s">
        <v>90</v>
      </c>
      <c r="I225" s="1" t="s">
        <v>450</v>
      </c>
      <c r="J225" s="1" t="s">
        <v>451</v>
      </c>
      <c r="K225" s="1">
        <v>12</v>
      </c>
      <c r="M225" s="1" t="str">
        <f>VLOOKUP(D225,HORARIOS!B:H,7,0)</f>
        <v>Día 4</v>
      </c>
      <c r="N225" s="1">
        <f>VLOOKUP(D225,HORARIOS!B:I,8,0)</f>
        <v>24</v>
      </c>
      <c r="O225" s="1" t="str">
        <f>VLOOKUP(A225,HORARIOS!A:D,4,0)</f>
        <v>15:00 hrs</v>
      </c>
      <c r="P225" s="9" t="str">
        <f>VLOOKUP(A225,HORARIOS!A:E,5,0)</f>
        <v>19:30 hrs</v>
      </c>
    </row>
    <row r="226" spans="1:16" ht="15.75" customHeight="1" x14ac:dyDescent="0.25">
      <c r="A226" s="1" t="str">
        <f t="shared" si="0"/>
        <v>601724</v>
      </c>
      <c r="B226" s="1">
        <v>252</v>
      </c>
      <c r="C226" s="1">
        <v>14</v>
      </c>
      <c r="D226" s="1">
        <v>6017</v>
      </c>
      <c r="E226" s="1" t="s">
        <v>58</v>
      </c>
      <c r="F226" s="1" t="s">
        <v>36</v>
      </c>
      <c r="G226" s="1" t="s">
        <v>96</v>
      </c>
      <c r="H226" s="1" t="s">
        <v>62</v>
      </c>
      <c r="I226" s="1" t="s">
        <v>452</v>
      </c>
      <c r="J226" s="1" t="s">
        <v>452</v>
      </c>
      <c r="K226" s="1">
        <v>12</v>
      </c>
      <c r="M226" s="1" t="str">
        <f>VLOOKUP(D226,HORARIOS!B:H,7,0)</f>
        <v>Día 4</v>
      </c>
      <c r="N226" s="1">
        <f>VLOOKUP(D226,HORARIOS!B:I,8,0)</f>
        <v>24</v>
      </c>
      <c r="O226" s="1" t="str">
        <f>VLOOKUP(A226,HORARIOS!A:D,4,0)</f>
        <v>15:00 hrs</v>
      </c>
      <c r="P226" s="9" t="str">
        <f>VLOOKUP(A226,HORARIOS!A:E,5,0)</f>
        <v>19:30 hrs</v>
      </c>
    </row>
    <row r="227" spans="1:16" ht="15.75" customHeight="1" x14ac:dyDescent="0.25">
      <c r="A227" s="1" t="str">
        <f t="shared" si="0"/>
        <v>601724</v>
      </c>
      <c r="B227" s="1">
        <v>253</v>
      </c>
      <c r="C227" s="1">
        <v>14</v>
      </c>
      <c r="D227" s="1">
        <v>6017</v>
      </c>
      <c r="E227" s="1" t="s">
        <v>58</v>
      </c>
      <c r="F227" s="1" t="s">
        <v>36</v>
      </c>
      <c r="G227" s="1" t="s">
        <v>98</v>
      </c>
      <c r="H227" s="1" t="s">
        <v>352</v>
      </c>
      <c r="I227" s="1" t="s">
        <v>453</v>
      </c>
      <c r="J227" s="1" t="s">
        <v>454</v>
      </c>
      <c r="K227" s="1">
        <v>12</v>
      </c>
      <c r="L227" s="1" t="s">
        <v>101</v>
      </c>
      <c r="M227" s="1" t="str">
        <f>VLOOKUP(D227,HORARIOS!B:H,7,0)</f>
        <v>Día 4</v>
      </c>
      <c r="N227" s="1">
        <f>VLOOKUP(D227,HORARIOS!B:I,8,0)</f>
        <v>24</v>
      </c>
      <c r="O227" s="1" t="str">
        <f>VLOOKUP(A227,HORARIOS!A:D,4,0)</f>
        <v>15:00 hrs</v>
      </c>
      <c r="P227" s="9" t="str">
        <f>VLOOKUP(A227,HORARIOS!A:E,5,0)</f>
        <v>19:30 hrs</v>
      </c>
    </row>
    <row r="228" spans="1:16" ht="15.75" customHeight="1" x14ac:dyDescent="0.25">
      <c r="A228" s="1" t="str">
        <f t="shared" si="0"/>
        <v>601724</v>
      </c>
      <c r="B228" s="1">
        <v>254</v>
      </c>
      <c r="C228" s="1">
        <v>14</v>
      </c>
      <c r="D228" s="1">
        <v>6017</v>
      </c>
      <c r="E228" s="1" t="s">
        <v>58</v>
      </c>
      <c r="F228" s="1" t="s">
        <v>36</v>
      </c>
      <c r="G228" s="1" t="s">
        <v>98</v>
      </c>
      <c r="H228" s="1" t="s">
        <v>352</v>
      </c>
      <c r="I228" s="1" t="s">
        <v>455</v>
      </c>
      <c r="J228" s="1" t="s">
        <v>456</v>
      </c>
      <c r="K228" s="1">
        <v>12</v>
      </c>
      <c r="L228" s="1" t="s">
        <v>101</v>
      </c>
      <c r="M228" s="1" t="str">
        <f>VLOOKUP(D228,HORARIOS!B:H,7,0)</f>
        <v>Día 4</v>
      </c>
      <c r="N228" s="1">
        <f>VLOOKUP(D228,HORARIOS!B:I,8,0)</f>
        <v>24</v>
      </c>
      <c r="O228" s="1" t="str">
        <f>VLOOKUP(A228,HORARIOS!A:D,4,0)</f>
        <v>15:00 hrs</v>
      </c>
      <c r="P228" s="9" t="str">
        <f>VLOOKUP(A228,HORARIOS!A:E,5,0)</f>
        <v>19:30 hrs</v>
      </c>
    </row>
    <row r="229" spans="1:16" ht="15.75" customHeight="1" x14ac:dyDescent="0.25">
      <c r="A229" s="1" t="str">
        <f t="shared" si="0"/>
        <v>601724</v>
      </c>
      <c r="B229" s="1">
        <v>255</v>
      </c>
      <c r="C229" s="1">
        <v>14</v>
      </c>
      <c r="D229" s="1">
        <v>6017</v>
      </c>
      <c r="E229" s="1" t="s">
        <v>58</v>
      </c>
      <c r="F229" s="1" t="s">
        <v>36</v>
      </c>
      <c r="G229" s="1" t="s">
        <v>98</v>
      </c>
      <c r="H229" s="1" t="s">
        <v>352</v>
      </c>
      <c r="I229" s="1" t="s">
        <v>457</v>
      </c>
      <c r="J229" s="1" t="s">
        <v>458</v>
      </c>
      <c r="K229" s="1">
        <v>12</v>
      </c>
      <c r="L229" s="1" t="s">
        <v>101</v>
      </c>
      <c r="M229" s="1" t="str">
        <f>VLOOKUP(D229,HORARIOS!B:H,7,0)</f>
        <v>Día 4</v>
      </c>
      <c r="N229" s="1">
        <f>VLOOKUP(D229,HORARIOS!B:I,8,0)</f>
        <v>24</v>
      </c>
      <c r="O229" s="1" t="str">
        <f>VLOOKUP(A229,HORARIOS!A:D,4,0)</f>
        <v>15:00 hrs</v>
      </c>
      <c r="P229" s="9" t="str">
        <f>VLOOKUP(A229,HORARIOS!A:E,5,0)</f>
        <v>19:30 hrs</v>
      </c>
    </row>
    <row r="230" spans="1:16" ht="15.75" customHeight="1" x14ac:dyDescent="0.25">
      <c r="A230" s="1" t="str">
        <f t="shared" si="0"/>
        <v>601724</v>
      </c>
      <c r="B230" s="1">
        <v>256</v>
      </c>
      <c r="C230" s="1">
        <v>14</v>
      </c>
      <c r="D230" s="1">
        <v>6017</v>
      </c>
      <c r="E230" s="1" t="s">
        <v>58</v>
      </c>
      <c r="F230" s="1" t="s">
        <v>36</v>
      </c>
      <c r="G230" s="1" t="s">
        <v>98</v>
      </c>
      <c r="H230" s="1" t="s">
        <v>352</v>
      </c>
      <c r="I230" s="1" t="s">
        <v>459</v>
      </c>
      <c r="J230" s="1" t="s">
        <v>460</v>
      </c>
      <c r="K230" s="1">
        <v>12</v>
      </c>
      <c r="L230" s="1" t="s">
        <v>101</v>
      </c>
      <c r="M230" s="1" t="str">
        <f>VLOOKUP(D230,HORARIOS!B:H,7,0)</f>
        <v>Día 4</v>
      </c>
      <c r="N230" s="1">
        <f>VLOOKUP(D230,HORARIOS!B:I,8,0)</f>
        <v>24</v>
      </c>
      <c r="O230" s="1" t="str">
        <f>VLOOKUP(A230,HORARIOS!A:D,4,0)</f>
        <v>15:00 hrs</v>
      </c>
      <c r="P230" s="9" t="str">
        <f>VLOOKUP(A230,HORARIOS!A:E,5,0)</f>
        <v>19:30 hrs</v>
      </c>
    </row>
    <row r="231" spans="1:16" ht="15.75" customHeight="1" x14ac:dyDescent="0.25">
      <c r="A231" s="1" t="str">
        <f t="shared" si="0"/>
        <v>601724</v>
      </c>
      <c r="B231" s="1">
        <v>258</v>
      </c>
      <c r="C231" s="1">
        <v>14</v>
      </c>
      <c r="D231" s="1">
        <v>6017</v>
      </c>
      <c r="E231" s="1" t="s">
        <v>58</v>
      </c>
      <c r="F231" s="1" t="s">
        <v>36</v>
      </c>
      <c r="G231" s="1" t="s">
        <v>114</v>
      </c>
      <c r="H231" s="1" t="s">
        <v>39</v>
      </c>
      <c r="I231" s="1" t="s">
        <v>52</v>
      </c>
      <c r="J231" s="1" t="s">
        <v>52</v>
      </c>
      <c r="K231" s="1">
        <v>2</v>
      </c>
      <c r="L231" s="1" t="s">
        <v>115</v>
      </c>
      <c r="M231" s="1" t="str">
        <f>VLOOKUP(D231,HORARIOS!B:H,7,0)</f>
        <v>Día 4</v>
      </c>
      <c r="N231" s="1">
        <f>VLOOKUP(D231,HORARIOS!B:I,8,0)</f>
        <v>24</v>
      </c>
      <c r="O231" s="1" t="str">
        <f>VLOOKUP(A231,HORARIOS!A:D,4,0)</f>
        <v>15:00 hrs</v>
      </c>
      <c r="P231" s="9" t="str">
        <f>VLOOKUP(A231,HORARIOS!A:E,5,0)</f>
        <v>19:30 hrs</v>
      </c>
    </row>
    <row r="232" spans="1:16" ht="15.75" customHeight="1" x14ac:dyDescent="0.25">
      <c r="A232" s="1" t="str">
        <f t="shared" si="0"/>
        <v>601724</v>
      </c>
      <c r="B232" s="1">
        <v>259</v>
      </c>
      <c r="C232" s="1">
        <v>14</v>
      </c>
      <c r="D232" s="1">
        <v>6017</v>
      </c>
      <c r="E232" s="1" t="s">
        <v>58</v>
      </c>
      <c r="F232" s="1" t="s">
        <v>36</v>
      </c>
      <c r="G232" s="1" t="s">
        <v>134</v>
      </c>
      <c r="H232" s="1" t="s">
        <v>135</v>
      </c>
      <c r="I232" s="1" t="s">
        <v>461</v>
      </c>
      <c r="J232" s="1" t="s">
        <v>462</v>
      </c>
      <c r="K232" s="1">
        <v>12</v>
      </c>
      <c r="L232" s="1" t="s">
        <v>138</v>
      </c>
      <c r="M232" s="1" t="str">
        <f>VLOOKUP(D232,HORARIOS!B:H,7,0)</f>
        <v>Día 4</v>
      </c>
      <c r="N232" s="1">
        <f>VLOOKUP(D232,HORARIOS!B:I,8,0)</f>
        <v>24</v>
      </c>
      <c r="O232" s="1" t="str">
        <f>VLOOKUP(A232,HORARIOS!A:D,4,0)</f>
        <v>15:00 hrs</v>
      </c>
      <c r="P232" s="9" t="str">
        <f>VLOOKUP(A232,HORARIOS!A:E,5,0)</f>
        <v>19:30 hrs</v>
      </c>
    </row>
    <row r="233" spans="1:16" ht="15.75" customHeight="1" x14ac:dyDescent="0.25">
      <c r="A233" s="1" t="str">
        <f t="shared" si="0"/>
        <v>601724</v>
      </c>
      <c r="B233" s="1">
        <v>260</v>
      </c>
      <c r="C233" s="1">
        <v>14</v>
      </c>
      <c r="D233" s="1">
        <v>6017</v>
      </c>
      <c r="E233" s="1" t="s">
        <v>58</v>
      </c>
      <c r="F233" s="1" t="s">
        <v>36</v>
      </c>
      <c r="G233" s="1" t="s">
        <v>145</v>
      </c>
      <c r="H233" s="1" t="s">
        <v>52</v>
      </c>
      <c r="I233" s="1" t="s">
        <v>463</v>
      </c>
      <c r="J233" s="1" t="s">
        <v>464</v>
      </c>
      <c r="K233" s="1">
        <v>12</v>
      </c>
      <c r="M233" s="1" t="str">
        <f>VLOOKUP(D233,HORARIOS!B:H,7,0)</f>
        <v>Día 4</v>
      </c>
      <c r="N233" s="1">
        <f>VLOOKUP(D233,HORARIOS!B:I,8,0)</f>
        <v>24</v>
      </c>
      <c r="O233" s="1" t="str">
        <f>VLOOKUP(A233,HORARIOS!A:D,4,0)</f>
        <v>15:00 hrs</v>
      </c>
      <c r="P233" s="9" t="str">
        <f>VLOOKUP(A233,HORARIOS!A:E,5,0)</f>
        <v>19:30 hrs</v>
      </c>
    </row>
    <row r="234" spans="1:16" ht="15.75" customHeight="1" x14ac:dyDescent="0.25">
      <c r="A234" s="1" t="str">
        <f t="shared" si="0"/>
        <v>601724</v>
      </c>
      <c r="B234" s="1">
        <v>261</v>
      </c>
      <c r="C234" s="1">
        <v>14</v>
      </c>
      <c r="D234" s="1">
        <v>6017</v>
      </c>
      <c r="E234" s="1" t="s">
        <v>58</v>
      </c>
      <c r="F234" s="1" t="s">
        <v>36</v>
      </c>
      <c r="G234" s="1" t="s">
        <v>159</v>
      </c>
      <c r="H234" s="1" t="s">
        <v>160</v>
      </c>
      <c r="I234" s="1" t="s">
        <v>465</v>
      </c>
      <c r="J234" s="1" t="s">
        <v>466</v>
      </c>
      <c r="K234" s="1">
        <v>12</v>
      </c>
      <c r="M234" s="1" t="str">
        <f>VLOOKUP(D234,HORARIOS!B:H,7,0)</f>
        <v>Día 4</v>
      </c>
      <c r="N234" s="1">
        <f>VLOOKUP(D234,HORARIOS!B:I,8,0)</f>
        <v>24</v>
      </c>
      <c r="O234" s="1" t="str">
        <f>VLOOKUP(A234,HORARIOS!A:D,4,0)</f>
        <v>15:00 hrs</v>
      </c>
      <c r="P234" s="9" t="str">
        <f>VLOOKUP(A234,HORARIOS!A:E,5,0)</f>
        <v>19:30 hrs</v>
      </c>
    </row>
    <row r="235" spans="1:16" ht="15.75" customHeight="1" x14ac:dyDescent="0.25">
      <c r="A235" s="1" t="str">
        <f t="shared" si="0"/>
        <v>601821</v>
      </c>
      <c r="B235" s="1">
        <v>262</v>
      </c>
      <c r="C235" s="1">
        <v>12</v>
      </c>
      <c r="D235" s="1">
        <v>6018</v>
      </c>
      <c r="E235" s="1" t="s">
        <v>59</v>
      </c>
      <c r="F235" s="1" t="s">
        <v>36</v>
      </c>
      <c r="G235" s="1" t="s">
        <v>37</v>
      </c>
      <c r="H235" s="1" t="s">
        <v>39</v>
      </c>
      <c r="I235" s="1" t="s">
        <v>467</v>
      </c>
      <c r="J235" s="1" t="s">
        <v>468</v>
      </c>
      <c r="K235" s="1">
        <v>12</v>
      </c>
      <c r="L235" s="1" t="s">
        <v>41</v>
      </c>
      <c r="M235" s="1" t="str">
        <f>VLOOKUP(D235,HORARIOS!B:H,7,0)</f>
        <v>Día 4</v>
      </c>
      <c r="N235" s="1">
        <f>VLOOKUP(D235,HORARIOS!B:I,8,0)</f>
        <v>21</v>
      </c>
      <c r="O235" s="1" t="str">
        <f>VLOOKUP(A235,HORARIOS!A:D,4,0)</f>
        <v>11:00 hrs</v>
      </c>
      <c r="P235" s="9" t="str">
        <f>VLOOKUP(A235,HORARIOS!A:E,5,0)</f>
        <v>14:30 hrs</v>
      </c>
    </row>
    <row r="236" spans="1:16" ht="15.75" customHeight="1" x14ac:dyDescent="0.25">
      <c r="A236" s="1" t="str">
        <f t="shared" si="0"/>
        <v>601821</v>
      </c>
      <c r="B236" s="1">
        <v>263</v>
      </c>
      <c r="C236" s="1">
        <v>12</v>
      </c>
      <c r="D236" s="1">
        <v>6018</v>
      </c>
      <c r="E236" s="1" t="s">
        <v>59</v>
      </c>
      <c r="F236" s="1" t="s">
        <v>36</v>
      </c>
      <c r="G236" s="1" t="s">
        <v>51</v>
      </c>
      <c r="H236" s="1" t="s">
        <v>52</v>
      </c>
      <c r="I236" s="1" t="s">
        <v>469</v>
      </c>
      <c r="J236" s="1" t="s">
        <v>470</v>
      </c>
      <c r="K236" s="1">
        <v>12</v>
      </c>
      <c r="M236" s="1" t="str">
        <f>VLOOKUP(D236,HORARIOS!B:H,7,0)</f>
        <v>Día 4</v>
      </c>
      <c r="N236" s="1">
        <f>VLOOKUP(D236,HORARIOS!B:I,8,0)</f>
        <v>21</v>
      </c>
      <c r="O236" s="1" t="str">
        <f>VLOOKUP(A236,HORARIOS!A:D,4,0)</f>
        <v>11:00 hrs</v>
      </c>
      <c r="P236" s="9" t="str">
        <f>VLOOKUP(A236,HORARIOS!A:E,5,0)</f>
        <v>14:30 hrs</v>
      </c>
    </row>
    <row r="237" spans="1:16" ht="15.75" customHeight="1" x14ac:dyDescent="0.25">
      <c r="A237" s="1" t="str">
        <f t="shared" si="0"/>
        <v>601821</v>
      </c>
      <c r="B237" s="1">
        <v>264</v>
      </c>
      <c r="C237" s="1">
        <v>12</v>
      </c>
      <c r="D237" s="1">
        <v>6018</v>
      </c>
      <c r="E237" s="1" t="s">
        <v>59</v>
      </c>
      <c r="F237" s="1" t="s">
        <v>36</v>
      </c>
      <c r="G237" s="1" t="s">
        <v>61</v>
      </c>
      <c r="H237" s="1" t="s">
        <v>62</v>
      </c>
      <c r="I237" s="1" t="s">
        <v>471</v>
      </c>
      <c r="J237" s="1" t="s">
        <v>471</v>
      </c>
      <c r="K237" s="1">
        <v>12</v>
      </c>
      <c r="L237" s="1" t="s">
        <v>64</v>
      </c>
      <c r="M237" s="1" t="str">
        <f>VLOOKUP(D237,HORARIOS!B:H,7,0)</f>
        <v>Día 4</v>
      </c>
      <c r="N237" s="1">
        <f>VLOOKUP(D237,HORARIOS!B:I,8,0)</f>
        <v>21</v>
      </c>
      <c r="O237" s="1" t="str">
        <f>VLOOKUP(A237,HORARIOS!A:D,4,0)</f>
        <v>11:00 hrs</v>
      </c>
      <c r="P237" s="9" t="str">
        <f>VLOOKUP(A237,HORARIOS!A:E,5,0)</f>
        <v>14:30 hrs</v>
      </c>
    </row>
    <row r="238" spans="1:16" ht="15.75" customHeight="1" x14ac:dyDescent="0.25">
      <c r="A238" s="1" t="str">
        <f t="shared" si="0"/>
        <v>601821</v>
      </c>
      <c r="B238" s="1">
        <v>266</v>
      </c>
      <c r="C238" s="1">
        <v>12</v>
      </c>
      <c r="D238" s="1">
        <v>6018</v>
      </c>
      <c r="E238" s="1" t="s">
        <v>59</v>
      </c>
      <c r="F238" s="1" t="s">
        <v>36</v>
      </c>
      <c r="G238" s="1" t="s">
        <v>72</v>
      </c>
      <c r="H238" s="1" t="s">
        <v>73</v>
      </c>
      <c r="I238" s="1" t="s">
        <v>472</v>
      </c>
      <c r="J238" s="1" t="s">
        <v>473</v>
      </c>
      <c r="K238" s="1">
        <v>12</v>
      </c>
      <c r="M238" s="1" t="str">
        <f>VLOOKUP(D238,HORARIOS!B:H,7,0)</f>
        <v>Día 4</v>
      </c>
      <c r="N238" s="1">
        <f>VLOOKUP(D238,HORARIOS!B:I,8,0)</f>
        <v>21</v>
      </c>
      <c r="O238" s="1" t="str">
        <f>VLOOKUP(A238,HORARIOS!A:D,4,0)</f>
        <v>11:00 hrs</v>
      </c>
      <c r="P238" s="9" t="str">
        <f>VLOOKUP(A238,HORARIOS!A:E,5,0)</f>
        <v>14:30 hrs</v>
      </c>
    </row>
    <row r="239" spans="1:16" ht="15.75" customHeight="1" x14ac:dyDescent="0.25">
      <c r="A239" s="1" t="str">
        <f t="shared" si="0"/>
        <v>601821</v>
      </c>
      <c r="B239" s="1">
        <v>267</v>
      </c>
      <c r="C239" s="1">
        <v>12</v>
      </c>
      <c r="D239" s="1">
        <v>6018</v>
      </c>
      <c r="E239" s="1" t="s">
        <v>59</v>
      </c>
      <c r="F239" s="1" t="s">
        <v>36</v>
      </c>
      <c r="G239" s="1" t="s">
        <v>88</v>
      </c>
      <c r="H239" s="1" t="s">
        <v>90</v>
      </c>
      <c r="I239" s="1" t="s">
        <v>474</v>
      </c>
      <c r="J239" s="1" t="s">
        <v>475</v>
      </c>
      <c r="K239" s="1">
        <v>12</v>
      </c>
      <c r="M239" s="1" t="str">
        <f>VLOOKUP(D239,HORARIOS!B:H,7,0)</f>
        <v>Día 4</v>
      </c>
      <c r="N239" s="1">
        <f>VLOOKUP(D239,HORARIOS!B:I,8,0)</f>
        <v>21</v>
      </c>
      <c r="O239" s="1" t="str">
        <f>VLOOKUP(A239,HORARIOS!A:D,4,0)</f>
        <v>11:00 hrs</v>
      </c>
      <c r="P239" s="9" t="str">
        <f>VLOOKUP(A239,HORARIOS!A:E,5,0)</f>
        <v>14:30 hrs</v>
      </c>
    </row>
    <row r="240" spans="1:16" ht="15.75" customHeight="1" x14ac:dyDescent="0.25">
      <c r="A240" s="1" t="str">
        <f t="shared" si="0"/>
        <v>601821</v>
      </c>
      <c r="B240" s="1">
        <v>268</v>
      </c>
      <c r="C240" s="1">
        <v>12</v>
      </c>
      <c r="D240" s="1">
        <v>6018</v>
      </c>
      <c r="E240" s="1" t="s">
        <v>59</v>
      </c>
      <c r="F240" s="1" t="s">
        <v>36</v>
      </c>
      <c r="G240" s="1" t="s">
        <v>96</v>
      </c>
      <c r="H240" s="1" t="s">
        <v>62</v>
      </c>
      <c r="I240" s="1" t="s">
        <v>476</v>
      </c>
      <c r="J240" s="1" t="s">
        <v>476</v>
      </c>
      <c r="K240" s="1">
        <v>12</v>
      </c>
      <c r="M240" s="1" t="str">
        <f>VLOOKUP(D240,HORARIOS!B:H,7,0)</f>
        <v>Día 4</v>
      </c>
      <c r="N240" s="1">
        <f>VLOOKUP(D240,HORARIOS!B:I,8,0)</f>
        <v>21</v>
      </c>
      <c r="O240" s="1" t="str">
        <f>VLOOKUP(A240,HORARIOS!A:D,4,0)</f>
        <v>11:00 hrs</v>
      </c>
      <c r="P240" s="9" t="str">
        <f>VLOOKUP(A240,HORARIOS!A:E,5,0)</f>
        <v>14:30 hrs</v>
      </c>
    </row>
    <row r="241" spans="1:16" ht="15.75" customHeight="1" x14ac:dyDescent="0.25">
      <c r="A241" s="1" t="str">
        <f t="shared" si="0"/>
        <v>601821</v>
      </c>
      <c r="B241" s="1">
        <v>269</v>
      </c>
      <c r="C241" s="1">
        <v>12</v>
      </c>
      <c r="D241" s="1">
        <v>6018</v>
      </c>
      <c r="E241" s="1" t="s">
        <v>59</v>
      </c>
      <c r="F241" s="1" t="s">
        <v>36</v>
      </c>
      <c r="G241" s="1" t="s">
        <v>98</v>
      </c>
      <c r="H241" s="1" t="s">
        <v>352</v>
      </c>
      <c r="I241" s="1" t="s">
        <v>477</v>
      </c>
      <c r="J241" s="1" t="s">
        <v>478</v>
      </c>
      <c r="K241" s="1">
        <v>12</v>
      </c>
      <c r="L241" s="1" t="s">
        <v>101</v>
      </c>
      <c r="M241" s="1" t="str">
        <f>VLOOKUP(D241,HORARIOS!B:H,7,0)</f>
        <v>Día 4</v>
      </c>
      <c r="N241" s="1">
        <f>VLOOKUP(D241,HORARIOS!B:I,8,0)</f>
        <v>21</v>
      </c>
      <c r="O241" s="1" t="str">
        <f>VLOOKUP(A241,HORARIOS!A:D,4,0)</f>
        <v>11:00 hrs</v>
      </c>
      <c r="P241" s="9" t="str">
        <f>VLOOKUP(A241,HORARIOS!A:E,5,0)</f>
        <v>14:30 hrs</v>
      </c>
    </row>
    <row r="242" spans="1:16" ht="15.75" customHeight="1" x14ac:dyDescent="0.25">
      <c r="A242" s="1" t="str">
        <f t="shared" si="0"/>
        <v>601821</v>
      </c>
      <c r="B242" s="1">
        <v>270</v>
      </c>
      <c r="C242" s="1">
        <v>12</v>
      </c>
      <c r="D242" s="1">
        <v>6018</v>
      </c>
      <c r="E242" s="1" t="s">
        <v>59</v>
      </c>
      <c r="F242" s="1" t="s">
        <v>36</v>
      </c>
      <c r="G242" s="1" t="s">
        <v>98</v>
      </c>
      <c r="H242" s="1" t="s">
        <v>352</v>
      </c>
      <c r="I242" s="1" t="s">
        <v>479</v>
      </c>
      <c r="J242" s="1" t="s">
        <v>480</v>
      </c>
      <c r="K242" s="1">
        <v>12</v>
      </c>
      <c r="L242" s="1" t="s">
        <v>101</v>
      </c>
      <c r="M242" s="1" t="str">
        <f>VLOOKUP(D242,HORARIOS!B:H,7,0)</f>
        <v>Día 4</v>
      </c>
      <c r="N242" s="1">
        <f>VLOOKUP(D242,HORARIOS!B:I,8,0)</f>
        <v>21</v>
      </c>
      <c r="O242" s="1" t="str">
        <f>VLOOKUP(A242,HORARIOS!A:D,4,0)</f>
        <v>11:00 hrs</v>
      </c>
      <c r="P242" s="9" t="str">
        <f>VLOOKUP(A242,HORARIOS!A:E,5,0)</f>
        <v>14:30 hrs</v>
      </c>
    </row>
    <row r="243" spans="1:16" ht="15.75" customHeight="1" x14ac:dyDescent="0.25">
      <c r="A243" s="1" t="str">
        <f t="shared" si="0"/>
        <v>601821</v>
      </c>
      <c r="B243" s="1">
        <v>271</v>
      </c>
      <c r="C243" s="1">
        <v>12</v>
      </c>
      <c r="D243" s="1">
        <v>6018</v>
      </c>
      <c r="E243" s="1" t="s">
        <v>59</v>
      </c>
      <c r="F243" s="1" t="s">
        <v>36</v>
      </c>
      <c r="G243" s="1" t="s">
        <v>114</v>
      </c>
      <c r="H243" s="1" t="s">
        <v>39</v>
      </c>
      <c r="I243" s="1" t="s">
        <v>52</v>
      </c>
      <c r="J243" s="1" t="s">
        <v>52</v>
      </c>
      <c r="K243" s="1">
        <v>2</v>
      </c>
      <c r="L243" s="1" t="s">
        <v>115</v>
      </c>
      <c r="M243" s="1" t="str">
        <f>VLOOKUP(D243,HORARIOS!B:H,7,0)</f>
        <v>Día 4</v>
      </c>
      <c r="N243" s="1">
        <f>VLOOKUP(D243,HORARIOS!B:I,8,0)</f>
        <v>21</v>
      </c>
      <c r="O243" s="1" t="str">
        <f>VLOOKUP(A243,HORARIOS!A:D,4,0)</f>
        <v>11:00 hrs</v>
      </c>
      <c r="P243" s="9" t="str">
        <f>VLOOKUP(A243,HORARIOS!A:E,5,0)</f>
        <v>14:30 hrs</v>
      </c>
    </row>
    <row r="244" spans="1:16" ht="15.75" customHeight="1" x14ac:dyDescent="0.25">
      <c r="A244" s="1" t="str">
        <f t="shared" si="0"/>
        <v>601821</v>
      </c>
      <c r="B244" s="1">
        <v>272</v>
      </c>
      <c r="C244" s="1">
        <v>12</v>
      </c>
      <c r="D244" s="1">
        <v>6018</v>
      </c>
      <c r="E244" s="1" t="s">
        <v>59</v>
      </c>
      <c r="F244" s="1" t="s">
        <v>36</v>
      </c>
      <c r="G244" s="1" t="s">
        <v>134</v>
      </c>
      <c r="H244" s="1" t="s">
        <v>135</v>
      </c>
      <c r="I244" s="1" t="s">
        <v>481</v>
      </c>
      <c r="J244" s="1" t="s">
        <v>482</v>
      </c>
      <c r="K244" s="1">
        <v>12</v>
      </c>
      <c r="L244" s="1" t="s">
        <v>138</v>
      </c>
      <c r="M244" s="1" t="str">
        <f>VLOOKUP(D244,HORARIOS!B:H,7,0)</f>
        <v>Día 4</v>
      </c>
      <c r="N244" s="1">
        <f>VLOOKUP(D244,HORARIOS!B:I,8,0)</f>
        <v>21</v>
      </c>
      <c r="O244" s="1" t="str">
        <f>VLOOKUP(A244,HORARIOS!A:D,4,0)</f>
        <v>11:00 hrs</v>
      </c>
      <c r="P244" s="9" t="str">
        <f>VLOOKUP(A244,HORARIOS!A:E,5,0)</f>
        <v>14:30 hrs</v>
      </c>
    </row>
    <row r="245" spans="1:16" ht="15.75" customHeight="1" x14ac:dyDescent="0.25">
      <c r="A245" s="1" t="str">
        <f t="shared" si="0"/>
        <v>601821</v>
      </c>
      <c r="B245" s="1">
        <v>274</v>
      </c>
      <c r="C245" s="1">
        <v>12</v>
      </c>
      <c r="D245" s="1">
        <v>6018</v>
      </c>
      <c r="E245" s="1" t="s">
        <v>59</v>
      </c>
      <c r="F245" s="1" t="s">
        <v>36</v>
      </c>
      <c r="G245" s="1" t="s">
        <v>145</v>
      </c>
      <c r="H245" s="1" t="s">
        <v>52</v>
      </c>
      <c r="I245" s="1" t="s">
        <v>483</v>
      </c>
      <c r="J245" s="1" t="s">
        <v>484</v>
      </c>
      <c r="K245" s="1">
        <v>12</v>
      </c>
      <c r="M245" s="1" t="str">
        <f>VLOOKUP(D245,HORARIOS!B:H,7,0)</f>
        <v>Día 4</v>
      </c>
      <c r="N245" s="1">
        <f>VLOOKUP(D245,HORARIOS!B:I,8,0)</f>
        <v>21</v>
      </c>
      <c r="O245" s="1" t="str">
        <f>VLOOKUP(A245,HORARIOS!A:D,4,0)</f>
        <v>11:00 hrs</v>
      </c>
      <c r="P245" s="9" t="str">
        <f>VLOOKUP(A245,HORARIOS!A:E,5,0)</f>
        <v>14:30 hrs</v>
      </c>
    </row>
    <row r="246" spans="1:16" ht="15.75" customHeight="1" x14ac:dyDescent="0.25">
      <c r="A246" s="1" t="str">
        <f t="shared" si="0"/>
        <v>601821</v>
      </c>
      <c r="B246" s="1">
        <v>275</v>
      </c>
      <c r="C246" s="1">
        <v>12</v>
      </c>
      <c r="D246" s="1">
        <v>6018</v>
      </c>
      <c r="E246" s="1" t="s">
        <v>59</v>
      </c>
      <c r="F246" s="1" t="s">
        <v>36</v>
      </c>
      <c r="G246" s="1" t="s">
        <v>159</v>
      </c>
      <c r="H246" s="1" t="s">
        <v>160</v>
      </c>
      <c r="I246" s="1" t="s">
        <v>485</v>
      </c>
      <c r="J246" s="1" t="s">
        <v>486</v>
      </c>
      <c r="K246" s="1">
        <v>12</v>
      </c>
      <c r="M246" s="1" t="str">
        <f>VLOOKUP(D246,HORARIOS!B:H,7,0)</f>
        <v>Día 4</v>
      </c>
      <c r="N246" s="1">
        <f>VLOOKUP(D246,HORARIOS!B:I,8,0)</f>
        <v>21</v>
      </c>
      <c r="O246" s="1" t="str">
        <f>VLOOKUP(A246,HORARIOS!A:D,4,0)</f>
        <v>11:00 hrs</v>
      </c>
      <c r="P246" s="9" t="str">
        <f>VLOOKUP(A246,HORARIOS!A:E,5,0)</f>
        <v>14:30 hrs</v>
      </c>
    </row>
    <row r="247" spans="1:16" ht="15.75" customHeight="1" x14ac:dyDescent="0.25">
      <c r="A247" s="1" t="str">
        <f t="shared" si="0"/>
        <v>601928</v>
      </c>
      <c r="B247" s="1">
        <v>276</v>
      </c>
      <c r="C247" s="1">
        <v>14</v>
      </c>
      <c r="D247" s="1">
        <v>6019</v>
      </c>
      <c r="E247" s="1" t="s">
        <v>60</v>
      </c>
      <c r="F247" s="1" t="s">
        <v>36</v>
      </c>
      <c r="G247" s="1" t="s">
        <v>37</v>
      </c>
      <c r="H247" s="1" t="s">
        <v>39</v>
      </c>
      <c r="I247" s="1" t="s">
        <v>487</v>
      </c>
      <c r="J247" s="1" t="s">
        <v>487</v>
      </c>
      <c r="K247" s="1">
        <v>12</v>
      </c>
      <c r="L247" s="1" t="s">
        <v>41</v>
      </c>
      <c r="M247" s="1" t="str">
        <f>VLOOKUP(D247,HORARIOS!B:H,7,0)</f>
        <v>Dia 5</v>
      </c>
      <c r="N247" s="1">
        <f>VLOOKUP(D247,HORARIOS!B:I,8,0)</f>
        <v>28</v>
      </c>
      <c r="O247" s="1" t="str">
        <f>VLOOKUP(A247,HORARIOS!A:D,4,0)</f>
        <v>12:00 hrs</v>
      </c>
      <c r="P247" s="9" t="str">
        <f>VLOOKUP(A247,HORARIOS!A:E,5,0)</f>
        <v>17:00 hrs</v>
      </c>
    </row>
    <row r="248" spans="1:16" ht="15.75" customHeight="1" x14ac:dyDescent="0.25">
      <c r="A248" s="1" t="str">
        <f t="shared" si="0"/>
        <v>601928</v>
      </c>
      <c r="B248" s="1">
        <v>277</v>
      </c>
      <c r="C248" s="1">
        <v>14</v>
      </c>
      <c r="D248" s="1">
        <v>6019</v>
      </c>
      <c r="E248" s="1" t="s">
        <v>60</v>
      </c>
      <c r="F248" s="1" t="s">
        <v>36</v>
      </c>
      <c r="G248" s="1" t="s">
        <v>51</v>
      </c>
      <c r="H248" s="1" t="s">
        <v>52</v>
      </c>
      <c r="I248" s="1" t="s">
        <v>488</v>
      </c>
      <c r="J248" s="1" t="s">
        <v>489</v>
      </c>
      <c r="K248" s="1">
        <v>12</v>
      </c>
      <c r="M248" s="1" t="str">
        <f>VLOOKUP(D248,HORARIOS!B:H,7,0)</f>
        <v>Dia 5</v>
      </c>
      <c r="N248" s="1">
        <f>VLOOKUP(D248,HORARIOS!B:I,8,0)</f>
        <v>28</v>
      </c>
      <c r="O248" s="1" t="str">
        <f>VLOOKUP(A248,HORARIOS!A:D,4,0)</f>
        <v>12:00 hrs</v>
      </c>
      <c r="P248" s="9" t="str">
        <f>VLOOKUP(A248,HORARIOS!A:E,5,0)</f>
        <v>17:00 hrs</v>
      </c>
    </row>
    <row r="249" spans="1:16" ht="15.75" customHeight="1" x14ac:dyDescent="0.25">
      <c r="A249" s="1" t="str">
        <f t="shared" si="0"/>
        <v>601928</v>
      </c>
      <c r="B249" s="1">
        <v>278</v>
      </c>
      <c r="C249" s="1">
        <v>14</v>
      </c>
      <c r="D249" s="1">
        <v>6019</v>
      </c>
      <c r="E249" s="1" t="s">
        <v>60</v>
      </c>
      <c r="F249" s="1" t="s">
        <v>36</v>
      </c>
      <c r="G249" s="1" t="s">
        <v>61</v>
      </c>
      <c r="H249" s="1" t="s">
        <v>62</v>
      </c>
      <c r="I249" s="1" t="s">
        <v>490</v>
      </c>
      <c r="J249" s="1" t="s">
        <v>490</v>
      </c>
      <c r="K249" s="1">
        <v>12</v>
      </c>
      <c r="L249" s="1" t="s">
        <v>64</v>
      </c>
      <c r="M249" s="1" t="str">
        <f>VLOOKUP(D249,HORARIOS!B:H,7,0)</f>
        <v>Dia 5</v>
      </c>
      <c r="N249" s="1">
        <f>VLOOKUP(D249,HORARIOS!B:I,8,0)</f>
        <v>28</v>
      </c>
      <c r="O249" s="1" t="str">
        <f>VLOOKUP(A249,HORARIOS!A:D,4,0)</f>
        <v>12:00 hrs</v>
      </c>
      <c r="P249" s="9" t="str">
        <f>VLOOKUP(A249,HORARIOS!A:E,5,0)</f>
        <v>17:00 hrs</v>
      </c>
    </row>
    <row r="250" spans="1:16" ht="15.75" customHeight="1" x14ac:dyDescent="0.25">
      <c r="A250" s="1" t="str">
        <f t="shared" si="0"/>
        <v>601928</v>
      </c>
      <c r="B250" s="1">
        <v>279</v>
      </c>
      <c r="C250" s="1">
        <v>14</v>
      </c>
      <c r="D250" s="1">
        <v>6019</v>
      </c>
      <c r="E250" s="1" t="s">
        <v>60</v>
      </c>
      <c r="F250" s="1" t="s">
        <v>36</v>
      </c>
      <c r="G250" s="1" t="s">
        <v>72</v>
      </c>
      <c r="H250" s="1" t="s">
        <v>73</v>
      </c>
      <c r="I250" s="1" t="s">
        <v>491</v>
      </c>
      <c r="J250" s="1" t="s">
        <v>492</v>
      </c>
      <c r="K250" s="1">
        <v>12</v>
      </c>
      <c r="M250" s="1" t="str">
        <f>VLOOKUP(D250,HORARIOS!B:H,7,0)</f>
        <v>Dia 5</v>
      </c>
      <c r="N250" s="1">
        <f>VLOOKUP(D250,HORARIOS!B:I,8,0)</f>
        <v>28</v>
      </c>
      <c r="O250" s="1" t="str">
        <f>VLOOKUP(A250,HORARIOS!A:D,4,0)</f>
        <v>12:00 hrs</v>
      </c>
      <c r="P250" s="9" t="str">
        <f>VLOOKUP(A250,HORARIOS!A:E,5,0)</f>
        <v>17:00 hrs</v>
      </c>
    </row>
    <row r="251" spans="1:16" ht="15.75" customHeight="1" x14ac:dyDescent="0.25">
      <c r="A251" s="1" t="str">
        <f t="shared" si="0"/>
        <v>601928</v>
      </c>
      <c r="B251" s="1">
        <v>280</v>
      </c>
      <c r="C251" s="1">
        <v>14</v>
      </c>
      <c r="D251" s="1">
        <v>6019</v>
      </c>
      <c r="E251" s="1" t="s">
        <v>60</v>
      </c>
      <c r="F251" s="1" t="s">
        <v>36</v>
      </c>
      <c r="G251" s="1" t="s">
        <v>88</v>
      </c>
      <c r="H251" s="1" t="s">
        <v>90</v>
      </c>
      <c r="I251" s="1" t="s">
        <v>493</v>
      </c>
      <c r="J251" s="1" t="s">
        <v>494</v>
      </c>
      <c r="K251" s="1">
        <v>12</v>
      </c>
      <c r="M251" s="1" t="str">
        <f>VLOOKUP(D251,HORARIOS!B:H,7,0)</f>
        <v>Dia 5</v>
      </c>
      <c r="N251" s="1">
        <f>VLOOKUP(D251,HORARIOS!B:I,8,0)</f>
        <v>28</v>
      </c>
      <c r="O251" s="1" t="str">
        <f>VLOOKUP(A251,HORARIOS!A:D,4,0)</f>
        <v>12:00 hrs</v>
      </c>
      <c r="P251" s="9" t="str">
        <f>VLOOKUP(A251,HORARIOS!A:E,5,0)</f>
        <v>17:00 hrs</v>
      </c>
    </row>
    <row r="252" spans="1:16" ht="15.75" customHeight="1" x14ac:dyDescent="0.25">
      <c r="A252" s="1" t="str">
        <f t="shared" si="0"/>
        <v>601928</v>
      </c>
      <c r="B252" s="1">
        <v>282</v>
      </c>
      <c r="C252" s="1">
        <v>14</v>
      </c>
      <c r="D252" s="1">
        <v>6019</v>
      </c>
      <c r="E252" s="1" t="s">
        <v>60</v>
      </c>
      <c r="F252" s="1" t="s">
        <v>36</v>
      </c>
      <c r="G252" s="1" t="s">
        <v>96</v>
      </c>
      <c r="H252" s="1" t="s">
        <v>62</v>
      </c>
      <c r="I252" s="1" t="s">
        <v>495</v>
      </c>
      <c r="J252" s="1" t="s">
        <v>495</v>
      </c>
      <c r="K252" s="1">
        <v>12</v>
      </c>
      <c r="M252" s="1" t="str">
        <f>VLOOKUP(D252,HORARIOS!B:H,7,0)</f>
        <v>Dia 5</v>
      </c>
      <c r="N252" s="1">
        <f>VLOOKUP(D252,HORARIOS!B:I,8,0)</f>
        <v>28</v>
      </c>
      <c r="O252" s="1" t="str">
        <f>VLOOKUP(A252,HORARIOS!A:D,4,0)</f>
        <v>12:00 hrs</v>
      </c>
      <c r="P252" s="9" t="str">
        <f>VLOOKUP(A252,HORARIOS!A:E,5,0)</f>
        <v>17:00 hrs</v>
      </c>
    </row>
    <row r="253" spans="1:16" ht="15.75" customHeight="1" x14ac:dyDescent="0.25">
      <c r="A253" s="1" t="str">
        <f t="shared" si="0"/>
        <v>601928</v>
      </c>
      <c r="B253" s="1">
        <v>283</v>
      </c>
      <c r="C253" s="1">
        <v>14</v>
      </c>
      <c r="D253" s="1">
        <v>6019</v>
      </c>
      <c r="E253" s="1" t="s">
        <v>60</v>
      </c>
      <c r="F253" s="1" t="s">
        <v>36</v>
      </c>
      <c r="G253" s="1" t="s">
        <v>98</v>
      </c>
      <c r="H253" s="1" t="s">
        <v>352</v>
      </c>
      <c r="I253" s="1" t="s">
        <v>496</v>
      </c>
      <c r="J253" s="1" t="s">
        <v>497</v>
      </c>
      <c r="K253" s="1">
        <v>12</v>
      </c>
      <c r="L253" s="1" t="s">
        <v>101</v>
      </c>
      <c r="M253" s="1" t="str">
        <f>VLOOKUP(D253,HORARIOS!B:H,7,0)</f>
        <v>Dia 5</v>
      </c>
      <c r="N253" s="1">
        <f>VLOOKUP(D253,HORARIOS!B:I,8,0)</f>
        <v>28</v>
      </c>
      <c r="O253" s="1" t="str">
        <f>VLOOKUP(A253,HORARIOS!A:D,4,0)</f>
        <v>12:00 hrs</v>
      </c>
      <c r="P253" s="9" t="str">
        <f>VLOOKUP(A253,HORARIOS!A:E,5,0)</f>
        <v>17:00 hrs</v>
      </c>
    </row>
    <row r="254" spans="1:16" ht="15.75" customHeight="1" x14ac:dyDescent="0.25">
      <c r="A254" s="1" t="str">
        <f t="shared" si="0"/>
        <v>601928</v>
      </c>
      <c r="B254" s="1">
        <v>284</v>
      </c>
      <c r="C254" s="1">
        <v>14</v>
      </c>
      <c r="D254" s="1">
        <v>6019</v>
      </c>
      <c r="E254" s="1" t="s">
        <v>60</v>
      </c>
      <c r="F254" s="1" t="s">
        <v>36</v>
      </c>
      <c r="G254" s="1" t="s">
        <v>98</v>
      </c>
      <c r="H254" s="1" t="s">
        <v>352</v>
      </c>
      <c r="I254" s="1" t="s">
        <v>498</v>
      </c>
      <c r="J254" s="1" t="s">
        <v>499</v>
      </c>
      <c r="K254" s="1">
        <v>12</v>
      </c>
      <c r="L254" s="1" t="s">
        <v>101</v>
      </c>
      <c r="M254" s="1" t="str">
        <f>VLOOKUP(D254,HORARIOS!B:H,7,0)</f>
        <v>Dia 5</v>
      </c>
      <c r="N254" s="1">
        <f>VLOOKUP(D254,HORARIOS!B:I,8,0)</f>
        <v>28</v>
      </c>
      <c r="O254" s="1" t="str">
        <f>VLOOKUP(A254,HORARIOS!A:D,4,0)</f>
        <v>12:00 hrs</v>
      </c>
      <c r="P254" s="9" t="str">
        <f>VLOOKUP(A254,HORARIOS!A:E,5,0)</f>
        <v>17:00 hrs</v>
      </c>
    </row>
    <row r="255" spans="1:16" ht="15.75" customHeight="1" x14ac:dyDescent="0.25">
      <c r="A255" s="1" t="str">
        <f t="shared" si="0"/>
        <v>601928</v>
      </c>
      <c r="B255" s="1">
        <v>285</v>
      </c>
      <c r="C255" s="1">
        <v>14</v>
      </c>
      <c r="D255" s="1">
        <v>6019</v>
      </c>
      <c r="E255" s="1" t="s">
        <v>60</v>
      </c>
      <c r="F255" s="1" t="s">
        <v>36</v>
      </c>
      <c r="G255" s="1" t="s">
        <v>98</v>
      </c>
      <c r="H255" s="1" t="s">
        <v>352</v>
      </c>
      <c r="I255" s="1" t="s">
        <v>500</v>
      </c>
      <c r="J255" s="1" t="s">
        <v>501</v>
      </c>
      <c r="K255" s="1">
        <v>12</v>
      </c>
      <c r="L255" s="1" t="s">
        <v>101</v>
      </c>
      <c r="M255" s="1" t="str">
        <f>VLOOKUP(D255,HORARIOS!B:H,7,0)</f>
        <v>Dia 5</v>
      </c>
      <c r="N255" s="1">
        <f>VLOOKUP(D255,HORARIOS!B:I,8,0)</f>
        <v>28</v>
      </c>
      <c r="O255" s="1" t="str">
        <f>VLOOKUP(A255,HORARIOS!A:D,4,0)</f>
        <v>12:00 hrs</v>
      </c>
      <c r="P255" s="9" t="str">
        <f>VLOOKUP(A255,HORARIOS!A:E,5,0)</f>
        <v>17:00 hrs</v>
      </c>
    </row>
    <row r="256" spans="1:16" ht="15.75" customHeight="1" x14ac:dyDescent="0.25">
      <c r="A256" s="1" t="str">
        <f t="shared" si="0"/>
        <v>601928</v>
      </c>
      <c r="B256" s="1">
        <v>286</v>
      </c>
      <c r="C256" s="1">
        <v>14</v>
      </c>
      <c r="D256" s="1">
        <v>6019</v>
      </c>
      <c r="E256" s="1" t="s">
        <v>60</v>
      </c>
      <c r="F256" s="1" t="s">
        <v>36</v>
      </c>
      <c r="G256" s="1" t="s">
        <v>98</v>
      </c>
      <c r="H256" s="1" t="s">
        <v>352</v>
      </c>
      <c r="I256" s="1" t="s">
        <v>502</v>
      </c>
      <c r="J256" s="1" t="s">
        <v>503</v>
      </c>
      <c r="K256" s="1">
        <v>12</v>
      </c>
      <c r="L256" s="1" t="s">
        <v>101</v>
      </c>
      <c r="M256" s="1" t="str">
        <f>VLOOKUP(D256,HORARIOS!B:H,7,0)</f>
        <v>Dia 5</v>
      </c>
      <c r="N256" s="1">
        <f>VLOOKUP(D256,HORARIOS!B:I,8,0)</f>
        <v>28</v>
      </c>
      <c r="O256" s="1" t="str">
        <f>VLOOKUP(A256,HORARIOS!A:D,4,0)</f>
        <v>12:00 hrs</v>
      </c>
      <c r="P256" s="9" t="str">
        <f>VLOOKUP(A256,HORARIOS!A:E,5,0)</f>
        <v>17:00 hrs</v>
      </c>
    </row>
    <row r="257" spans="1:16" ht="15.75" customHeight="1" x14ac:dyDescent="0.25">
      <c r="A257" s="1" t="str">
        <f t="shared" si="0"/>
        <v>601928</v>
      </c>
      <c r="B257" s="1">
        <v>287</v>
      </c>
      <c r="C257" s="1">
        <v>14</v>
      </c>
      <c r="D257" s="1">
        <v>6019</v>
      </c>
      <c r="E257" s="1" t="s">
        <v>60</v>
      </c>
      <c r="F257" s="1" t="s">
        <v>36</v>
      </c>
      <c r="G257" s="1" t="s">
        <v>114</v>
      </c>
      <c r="H257" s="1" t="s">
        <v>39</v>
      </c>
      <c r="I257" s="1" t="s">
        <v>52</v>
      </c>
      <c r="J257" s="1" t="s">
        <v>52</v>
      </c>
      <c r="K257" s="1">
        <v>2</v>
      </c>
      <c r="L257" s="1" t="s">
        <v>115</v>
      </c>
      <c r="M257" s="1" t="str">
        <f>VLOOKUP(D257,HORARIOS!B:H,7,0)</f>
        <v>Dia 5</v>
      </c>
      <c r="N257" s="1">
        <f>VLOOKUP(D257,HORARIOS!B:I,8,0)</f>
        <v>28</v>
      </c>
      <c r="O257" s="1" t="str">
        <f>VLOOKUP(A257,HORARIOS!A:D,4,0)</f>
        <v>12:00 hrs</v>
      </c>
      <c r="P257" s="9" t="str">
        <f>VLOOKUP(A257,HORARIOS!A:E,5,0)</f>
        <v>17:00 hrs</v>
      </c>
    </row>
    <row r="258" spans="1:16" ht="15.75" customHeight="1" x14ac:dyDescent="0.25">
      <c r="A258" s="1" t="str">
        <f t="shared" si="0"/>
        <v>601928</v>
      </c>
      <c r="B258" s="1">
        <v>288</v>
      </c>
      <c r="C258" s="1">
        <v>14</v>
      </c>
      <c r="D258" s="1">
        <v>6019</v>
      </c>
      <c r="E258" s="1" t="s">
        <v>60</v>
      </c>
      <c r="F258" s="1" t="s">
        <v>36</v>
      </c>
      <c r="G258" s="1" t="s">
        <v>134</v>
      </c>
      <c r="H258" s="1" t="s">
        <v>135</v>
      </c>
      <c r="I258" s="1" t="s">
        <v>504</v>
      </c>
      <c r="J258" s="1" t="s">
        <v>505</v>
      </c>
      <c r="K258" s="1">
        <v>12</v>
      </c>
      <c r="L258" s="1" t="s">
        <v>138</v>
      </c>
      <c r="M258" s="1" t="str">
        <f>VLOOKUP(D258,HORARIOS!B:H,7,0)</f>
        <v>Dia 5</v>
      </c>
      <c r="N258" s="1">
        <f>VLOOKUP(D258,HORARIOS!B:I,8,0)</f>
        <v>28</v>
      </c>
      <c r="O258" s="1" t="str">
        <f>VLOOKUP(A258,HORARIOS!A:D,4,0)</f>
        <v>12:00 hrs</v>
      </c>
      <c r="P258" s="9" t="str">
        <f>VLOOKUP(A258,HORARIOS!A:E,5,0)</f>
        <v>17:00 hrs</v>
      </c>
    </row>
    <row r="259" spans="1:16" ht="15.75" customHeight="1" x14ac:dyDescent="0.25">
      <c r="A259" s="1" t="str">
        <f t="shared" si="0"/>
        <v>601928</v>
      </c>
      <c r="B259" s="1">
        <v>289</v>
      </c>
      <c r="C259" s="1">
        <v>14</v>
      </c>
      <c r="D259" s="1">
        <v>6019</v>
      </c>
      <c r="E259" s="1" t="s">
        <v>60</v>
      </c>
      <c r="F259" s="1" t="s">
        <v>36</v>
      </c>
      <c r="G259" s="1" t="s">
        <v>145</v>
      </c>
      <c r="H259" s="1" t="s">
        <v>52</v>
      </c>
      <c r="I259" s="1" t="s">
        <v>506</v>
      </c>
      <c r="J259" s="1" t="s">
        <v>507</v>
      </c>
      <c r="K259" s="1">
        <v>12</v>
      </c>
      <c r="M259" s="1" t="str">
        <f>VLOOKUP(D259,HORARIOS!B:H,7,0)</f>
        <v>Dia 5</v>
      </c>
      <c r="N259" s="1">
        <f>VLOOKUP(D259,HORARIOS!B:I,8,0)</f>
        <v>28</v>
      </c>
      <c r="O259" s="1" t="str">
        <f>VLOOKUP(A259,HORARIOS!A:D,4,0)</f>
        <v>12:00 hrs</v>
      </c>
      <c r="P259" s="9" t="str">
        <f>VLOOKUP(A259,HORARIOS!A:E,5,0)</f>
        <v>17:00 hrs</v>
      </c>
    </row>
    <row r="260" spans="1:16" ht="15.75" customHeight="1" x14ac:dyDescent="0.25">
      <c r="A260" s="1" t="str">
        <f t="shared" si="0"/>
        <v>601928</v>
      </c>
      <c r="B260" s="1">
        <v>291</v>
      </c>
      <c r="C260" s="1">
        <v>14</v>
      </c>
      <c r="D260" s="1">
        <v>6019</v>
      </c>
      <c r="E260" s="1" t="s">
        <v>60</v>
      </c>
      <c r="F260" s="1" t="s">
        <v>36</v>
      </c>
      <c r="G260" s="1" t="s">
        <v>159</v>
      </c>
      <c r="H260" s="1" t="s">
        <v>160</v>
      </c>
      <c r="I260" s="1" t="s">
        <v>508</v>
      </c>
      <c r="J260" s="1" t="s">
        <v>509</v>
      </c>
      <c r="K260" s="1">
        <v>12</v>
      </c>
      <c r="M260" s="1" t="str">
        <f>VLOOKUP(D260,HORARIOS!B:H,7,0)</f>
        <v>Dia 5</v>
      </c>
      <c r="N260" s="1">
        <f>VLOOKUP(D260,HORARIOS!B:I,8,0)</f>
        <v>28</v>
      </c>
      <c r="O260" s="1" t="str">
        <f>VLOOKUP(A260,HORARIOS!A:D,4,0)</f>
        <v>12:00 hrs</v>
      </c>
      <c r="P260" s="9" t="str">
        <f>VLOOKUP(A260,HORARIOS!A:E,5,0)</f>
        <v>17:00 hrs</v>
      </c>
    </row>
    <row r="261" spans="1:16" ht="15.75" customHeight="1" x14ac:dyDescent="0.25">
      <c r="A261" s="1" t="str">
        <f t="shared" si="0"/>
        <v>60209</v>
      </c>
      <c r="B261" s="1">
        <v>292</v>
      </c>
      <c r="C261" s="1">
        <v>13</v>
      </c>
      <c r="D261" s="1">
        <v>6020</v>
      </c>
      <c r="E261" s="1" t="s">
        <v>65</v>
      </c>
      <c r="F261" s="1" t="s">
        <v>36</v>
      </c>
      <c r="G261" s="1" t="s">
        <v>37</v>
      </c>
      <c r="H261" s="1" t="s">
        <v>39</v>
      </c>
      <c r="I261" s="1" t="s">
        <v>510</v>
      </c>
      <c r="J261" s="1" t="s">
        <v>511</v>
      </c>
      <c r="K261" s="1">
        <v>12</v>
      </c>
      <c r="L261" s="1" t="s">
        <v>41</v>
      </c>
      <c r="M261" s="1" t="str">
        <f>VLOOKUP(D261,HORARIOS!B:H,7,0)</f>
        <v>Día 2</v>
      </c>
      <c r="N261" s="1">
        <f>VLOOKUP(D261,HORARIOS!B:I,8,0)</f>
        <v>9</v>
      </c>
      <c r="O261" s="1" t="str">
        <f>VLOOKUP(A261,HORARIOS!A:D,4,0)</f>
        <v>10:30 hrs</v>
      </c>
      <c r="P261" s="9" t="str">
        <f>VLOOKUP(A261,HORARIOS!A:E,5,0)</f>
        <v>14:30 hrs</v>
      </c>
    </row>
    <row r="262" spans="1:16" ht="15.75" customHeight="1" x14ac:dyDescent="0.25">
      <c r="A262" s="1" t="str">
        <f t="shared" si="0"/>
        <v>60209</v>
      </c>
      <c r="B262" s="1">
        <v>293</v>
      </c>
      <c r="C262" s="1">
        <v>13</v>
      </c>
      <c r="D262" s="1">
        <v>6020</v>
      </c>
      <c r="E262" s="1" t="s">
        <v>65</v>
      </c>
      <c r="F262" s="1" t="s">
        <v>36</v>
      </c>
      <c r="G262" s="1" t="s">
        <v>51</v>
      </c>
      <c r="H262" s="1" t="s">
        <v>52</v>
      </c>
      <c r="I262" s="1" t="s">
        <v>512</v>
      </c>
      <c r="J262" s="1" t="s">
        <v>513</v>
      </c>
      <c r="K262" s="1">
        <v>12</v>
      </c>
      <c r="M262" s="1" t="str">
        <f>VLOOKUP(D262,HORARIOS!B:H,7,0)</f>
        <v>Día 2</v>
      </c>
      <c r="N262" s="1">
        <f>VLOOKUP(D262,HORARIOS!B:I,8,0)</f>
        <v>9</v>
      </c>
      <c r="O262" s="1" t="str">
        <f>VLOOKUP(A262,HORARIOS!A:D,4,0)</f>
        <v>10:30 hrs</v>
      </c>
      <c r="P262" s="9" t="str">
        <f>VLOOKUP(A262,HORARIOS!A:E,5,0)</f>
        <v>14:30 hrs</v>
      </c>
    </row>
    <row r="263" spans="1:16" ht="15.75" customHeight="1" x14ac:dyDescent="0.25">
      <c r="A263" s="1" t="str">
        <f t="shared" si="0"/>
        <v>60209</v>
      </c>
      <c r="B263" s="1">
        <v>294</v>
      </c>
      <c r="C263" s="1">
        <v>13</v>
      </c>
      <c r="D263" s="1">
        <v>6020</v>
      </c>
      <c r="E263" s="1" t="s">
        <v>65</v>
      </c>
      <c r="F263" s="1" t="s">
        <v>36</v>
      </c>
      <c r="G263" s="1" t="s">
        <v>61</v>
      </c>
      <c r="H263" s="1" t="s">
        <v>62</v>
      </c>
      <c r="I263" s="1" t="s">
        <v>514</v>
      </c>
      <c r="J263" s="1" t="s">
        <v>514</v>
      </c>
      <c r="K263" s="1">
        <v>12</v>
      </c>
      <c r="L263" s="1" t="s">
        <v>64</v>
      </c>
      <c r="M263" s="1" t="str">
        <f>VLOOKUP(D263,HORARIOS!B:H,7,0)</f>
        <v>Día 2</v>
      </c>
      <c r="N263" s="1">
        <f>VLOOKUP(D263,HORARIOS!B:I,8,0)</f>
        <v>9</v>
      </c>
      <c r="O263" s="1" t="str">
        <f>VLOOKUP(A263,HORARIOS!A:D,4,0)</f>
        <v>10:30 hrs</v>
      </c>
      <c r="P263" s="9" t="str">
        <f>VLOOKUP(A263,HORARIOS!A:E,5,0)</f>
        <v>14:30 hrs</v>
      </c>
    </row>
    <row r="264" spans="1:16" ht="15.75" customHeight="1" x14ac:dyDescent="0.25">
      <c r="A264" s="1" t="str">
        <f t="shared" si="0"/>
        <v>60209</v>
      </c>
      <c r="B264" s="1">
        <v>295</v>
      </c>
      <c r="C264" s="1">
        <v>13</v>
      </c>
      <c r="D264" s="1">
        <v>6020</v>
      </c>
      <c r="E264" s="1" t="s">
        <v>65</v>
      </c>
      <c r="F264" s="1" t="s">
        <v>36</v>
      </c>
      <c r="G264" s="1" t="s">
        <v>72</v>
      </c>
      <c r="H264" s="1" t="s">
        <v>73</v>
      </c>
      <c r="I264" s="1" t="s">
        <v>515</v>
      </c>
      <c r="J264" s="1" t="s">
        <v>516</v>
      </c>
      <c r="K264" s="1">
        <v>12</v>
      </c>
      <c r="M264" s="1" t="str">
        <f>VLOOKUP(D264,HORARIOS!B:H,7,0)</f>
        <v>Día 2</v>
      </c>
      <c r="N264" s="1">
        <f>VLOOKUP(D264,HORARIOS!B:I,8,0)</f>
        <v>9</v>
      </c>
      <c r="O264" s="1" t="str">
        <f>VLOOKUP(A264,HORARIOS!A:D,4,0)</f>
        <v>10:30 hrs</v>
      </c>
      <c r="P264" s="9" t="str">
        <f>VLOOKUP(A264,HORARIOS!A:E,5,0)</f>
        <v>14:30 hrs</v>
      </c>
    </row>
    <row r="265" spans="1:16" ht="15.75" customHeight="1" x14ac:dyDescent="0.25">
      <c r="A265" s="1" t="str">
        <f t="shared" si="0"/>
        <v>60209</v>
      </c>
      <c r="B265" s="1">
        <v>296</v>
      </c>
      <c r="C265" s="1">
        <v>13</v>
      </c>
      <c r="D265" s="1">
        <v>6020</v>
      </c>
      <c r="E265" s="1" t="s">
        <v>65</v>
      </c>
      <c r="F265" s="1" t="s">
        <v>36</v>
      </c>
      <c r="G265" s="1" t="s">
        <v>88</v>
      </c>
      <c r="H265" s="1" t="s">
        <v>90</v>
      </c>
      <c r="I265" s="1" t="s">
        <v>517</v>
      </c>
      <c r="J265" s="1" t="s">
        <v>518</v>
      </c>
      <c r="K265" s="1">
        <v>12</v>
      </c>
      <c r="M265" s="1" t="str">
        <f>VLOOKUP(D265,HORARIOS!B:H,7,0)</f>
        <v>Día 2</v>
      </c>
      <c r="N265" s="1">
        <f>VLOOKUP(D265,HORARIOS!B:I,8,0)</f>
        <v>9</v>
      </c>
      <c r="O265" s="1" t="str">
        <f>VLOOKUP(A265,HORARIOS!A:D,4,0)</f>
        <v>10:30 hrs</v>
      </c>
      <c r="P265" s="9" t="str">
        <f>VLOOKUP(A265,HORARIOS!A:E,5,0)</f>
        <v>14:30 hrs</v>
      </c>
    </row>
    <row r="266" spans="1:16" ht="15.75" customHeight="1" x14ac:dyDescent="0.25">
      <c r="A266" s="1" t="str">
        <f t="shared" si="0"/>
        <v>60209</v>
      </c>
      <c r="B266" s="1">
        <v>297</v>
      </c>
      <c r="C266" s="1">
        <v>13</v>
      </c>
      <c r="D266" s="1">
        <v>6020</v>
      </c>
      <c r="E266" s="1" t="s">
        <v>65</v>
      </c>
      <c r="F266" s="1" t="s">
        <v>36</v>
      </c>
      <c r="G266" s="1" t="s">
        <v>96</v>
      </c>
      <c r="H266" s="1" t="s">
        <v>62</v>
      </c>
      <c r="I266" s="1" t="s">
        <v>519</v>
      </c>
      <c r="J266" s="1" t="s">
        <v>519</v>
      </c>
      <c r="K266" s="1">
        <v>12</v>
      </c>
      <c r="M266" s="1" t="str">
        <f>VLOOKUP(D266,HORARIOS!B:H,7,0)</f>
        <v>Día 2</v>
      </c>
      <c r="N266" s="1">
        <f>VLOOKUP(D266,HORARIOS!B:I,8,0)</f>
        <v>9</v>
      </c>
      <c r="O266" s="1" t="str">
        <f>VLOOKUP(A266,HORARIOS!A:D,4,0)</f>
        <v>10:30 hrs</v>
      </c>
      <c r="P266" s="9" t="str">
        <f>VLOOKUP(A266,HORARIOS!A:E,5,0)</f>
        <v>14:30 hrs</v>
      </c>
    </row>
    <row r="267" spans="1:16" ht="15.75" customHeight="1" x14ac:dyDescent="0.25">
      <c r="A267" s="1" t="str">
        <f t="shared" si="0"/>
        <v>60209</v>
      </c>
      <c r="B267" s="1">
        <v>299</v>
      </c>
      <c r="C267" s="1">
        <v>13</v>
      </c>
      <c r="D267" s="1">
        <v>6020</v>
      </c>
      <c r="E267" s="1" t="s">
        <v>65</v>
      </c>
      <c r="F267" s="1" t="s">
        <v>36</v>
      </c>
      <c r="G267" s="1" t="s">
        <v>98</v>
      </c>
      <c r="H267" s="1" t="s">
        <v>352</v>
      </c>
      <c r="I267" s="1" t="s">
        <v>520</v>
      </c>
      <c r="J267" s="1" t="s">
        <v>521</v>
      </c>
      <c r="K267" s="1">
        <v>12</v>
      </c>
      <c r="L267" s="1" t="s">
        <v>101</v>
      </c>
      <c r="M267" s="1" t="str">
        <f>VLOOKUP(D267,HORARIOS!B:H,7,0)</f>
        <v>Día 2</v>
      </c>
      <c r="N267" s="1">
        <f>VLOOKUP(D267,HORARIOS!B:I,8,0)</f>
        <v>9</v>
      </c>
      <c r="O267" s="1" t="str">
        <f>VLOOKUP(A267,HORARIOS!A:D,4,0)</f>
        <v>10:30 hrs</v>
      </c>
      <c r="P267" s="9" t="str">
        <f>VLOOKUP(A267,HORARIOS!A:E,5,0)</f>
        <v>14:30 hrs</v>
      </c>
    </row>
    <row r="268" spans="1:16" ht="15.75" customHeight="1" x14ac:dyDescent="0.25">
      <c r="A268" s="1" t="str">
        <f t="shared" si="0"/>
        <v>60209</v>
      </c>
      <c r="B268" s="1">
        <v>300</v>
      </c>
      <c r="C268" s="1">
        <v>13</v>
      </c>
      <c r="D268" s="1">
        <v>6020</v>
      </c>
      <c r="E268" s="1" t="s">
        <v>65</v>
      </c>
      <c r="F268" s="1" t="s">
        <v>36</v>
      </c>
      <c r="G268" s="1" t="s">
        <v>98</v>
      </c>
      <c r="H268" s="1" t="s">
        <v>352</v>
      </c>
      <c r="I268" s="1" t="s">
        <v>522</v>
      </c>
      <c r="J268" s="1" t="s">
        <v>523</v>
      </c>
      <c r="K268" s="1">
        <v>12</v>
      </c>
      <c r="L268" s="1" t="s">
        <v>101</v>
      </c>
      <c r="M268" s="1" t="str">
        <f>VLOOKUP(D268,HORARIOS!B:H,7,0)</f>
        <v>Día 2</v>
      </c>
      <c r="N268" s="1">
        <f>VLOOKUP(D268,HORARIOS!B:I,8,0)</f>
        <v>9</v>
      </c>
      <c r="O268" s="1" t="str">
        <f>VLOOKUP(A268,HORARIOS!A:D,4,0)</f>
        <v>10:30 hrs</v>
      </c>
      <c r="P268" s="9" t="str">
        <f>VLOOKUP(A268,HORARIOS!A:E,5,0)</f>
        <v>14:30 hrs</v>
      </c>
    </row>
    <row r="269" spans="1:16" ht="15.75" customHeight="1" x14ac:dyDescent="0.25">
      <c r="A269" s="1" t="str">
        <f t="shared" si="0"/>
        <v>60209</v>
      </c>
      <c r="B269" s="1">
        <v>301</v>
      </c>
      <c r="C269" s="1">
        <v>13</v>
      </c>
      <c r="D269" s="1">
        <v>6020</v>
      </c>
      <c r="E269" s="1" t="s">
        <v>65</v>
      </c>
      <c r="F269" s="1" t="s">
        <v>36</v>
      </c>
      <c r="G269" s="1" t="s">
        <v>98</v>
      </c>
      <c r="H269" s="1" t="s">
        <v>352</v>
      </c>
      <c r="I269" s="1" t="s">
        <v>524</v>
      </c>
      <c r="J269" s="1" t="s">
        <v>525</v>
      </c>
      <c r="K269" s="1">
        <v>12</v>
      </c>
      <c r="L269" s="1" t="s">
        <v>101</v>
      </c>
      <c r="M269" s="1" t="str">
        <f>VLOOKUP(D269,HORARIOS!B:H,7,0)</f>
        <v>Día 2</v>
      </c>
      <c r="N269" s="1">
        <f>VLOOKUP(D269,HORARIOS!B:I,8,0)</f>
        <v>9</v>
      </c>
      <c r="O269" s="1" t="str">
        <f>VLOOKUP(A269,HORARIOS!A:D,4,0)</f>
        <v>10:30 hrs</v>
      </c>
      <c r="P269" s="9" t="str">
        <f>VLOOKUP(A269,HORARIOS!A:E,5,0)</f>
        <v>14:30 hrs</v>
      </c>
    </row>
    <row r="270" spans="1:16" ht="15.75" customHeight="1" x14ac:dyDescent="0.25">
      <c r="A270" s="1" t="str">
        <f t="shared" si="0"/>
        <v>60209</v>
      </c>
      <c r="B270" s="1">
        <v>302</v>
      </c>
      <c r="C270" s="1">
        <v>13</v>
      </c>
      <c r="D270" s="1">
        <v>6020</v>
      </c>
      <c r="E270" s="1" t="s">
        <v>65</v>
      </c>
      <c r="F270" s="1" t="s">
        <v>36</v>
      </c>
      <c r="G270" s="1" t="s">
        <v>114</v>
      </c>
      <c r="H270" s="1" t="s">
        <v>39</v>
      </c>
      <c r="I270" s="1" t="s">
        <v>52</v>
      </c>
      <c r="J270" s="1" t="s">
        <v>52</v>
      </c>
      <c r="K270" s="1">
        <v>2</v>
      </c>
      <c r="L270" s="1" t="s">
        <v>115</v>
      </c>
      <c r="M270" s="1" t="str">
        <f>VLOOKUP(D270,HORARIOS!B:H,7,0)</f>
        <v>Día 2</v>
      </c>
      <c r="N270" s="1">
        <f>VLOOKUP(D270,HORARIOS!B:I,8,0)</f>
        <v>9</v>
      </c>
      <c r="O270" s="1" t="str">
        <f>VLOOKUP(A270,HORARIOS!A:D,4,0)</f>
        <v>10:30 hrs</v>
      </c>
      <c r="P270" s="9" t="str">
        <f>VLOOKUP(A270,HORARIOS!A:E,5,0)</f>
        <v>14:30 hrs</v>
      </c>
    </row>
    <row r="271" spans="1:16" ht="15.75" customHeight="1" x14ac:dyDescent="0.25">
      <c r="A271" s="1" t="str">
        <f t="shared" si="0"/>
        <v>60209</v>
      </c>
      <c r="B271" s="1">
        <v>303</v>
      </c>
      <c r="C271" s="1">
        <v>13</v>
      </c>
      <c r="D271" s="1">
        <v>6020</v>
      </c>
      <c r="E271" s="1" t="s">
        <v>65</v>
      </c>
      <c r="F271" s="1" t="s">
        <v>36</v>
      </c>
      <c r="G271" s="1" t="s">
        <v>134</v>
      </c>
      <c r="H271" s="1" t="s">
        <v>135</v>
      </c>
      <c r="I271" s="1" t="s">
        <v>526</v>
      </c>
      <c r="J271" s="1" t="s">
        <v>527</v>
      </c>
      <c r="K271" s="1">
        <v>12</v>
      </c>
      <c r="L271" s="1" t="s">
        <v>138</v>
      </c>
      <c r="M271" s="1" t="str">
        <f>VLOOKUP(D271,HORARIOS!B:H,7,0)</f>
        <v>Día 2</v>
      </c>
      <c r="N271" s="1">
        <f>VLOOKUP(D271,HORARIOS!B:I,8,0)</f>
        <v>9</v>
      </c>
      <c r="O271" s="1" t="str">
        <f>VLOOKUP(A271,HORARIOS!A:D,4,0)</f>
        <v>10:30 hrs</v>
      </c>
      <c r="P271" s="9" t="str">
        <f>VLOOKUP(A271,HORARIOS!A:E,5,0)</f>
        <v>14:30 hrs</v>
      </c>
    </row>
    <row r="272" spans="1:16" ht="15.75" customHeight="1" x14ac:dyDescent="0.25">
      <c r="A272" s="1" t="str">
        <f t="shared" si="0"/>
        <v>60209</v>
      </c>
      <c r="B272" s="1">
        <v>304</v>
      </c>
      <c r="C272" s="1">
        <v>13</v>
      </c>
      <c r="D272" s="1">
        <v>6020</v>
      </c>
      <c r="E272" s="1" t="s">
        <v>65</v>
      </c>
      <c r="F272" s="1" t="s">
        <v>36</v>
      </c>
      <c r="G272" s="1" t="s">
        <v>145</v>
      </c>
      <c r="H272" s="1" t="s">
        <v>52</v>
      </c>
      <c r="I272" s="1" t="s">
        <v>528</v>
      </c>
      <c r="J272" s="1" t="s">
        <v>529</v>
      </c>
      <c r="K272" s="1">
        <v>12</v>
      </c>
      <c r="M272" s="1" t="str">
        <f>VLOOKUP(D272,HORARIOS!B:H,7,0)</f>
        <v>Día 2</v>
      </c>
      <c r="N272" s="1">
        <f>VLOOKUP(D272,HORARIOS!B:I,8,0)</f>
        <v>9</v>
      </c>
      <c r="O272" s="1" t="str">
        <f>VLOOKUP(A272,HORARIOS!A:D,4,0)</f>
        <v>10:30 hrs</v>
      </c>
      <c r="P272" s="9" t="str">
        <f>VLOOKUP(A272,HORARIOS!A:E,5,0)</f>
        <v>14:30 hrs</v>
      </c>
    </row>
    <row r="273" spans="1:16" ht="15.75" customHeight="1" x14ac:dyDescent="0.25">
      <c r="A273" s="1" t="str">
        <f t="shared" si="0"/>
        <v>60209</v>
      </c>
      <c r="B273" s="1">
        <v>305</v>
      </c>
      <c r="C273" s="1">
        <v>13</v>
      </c>
      <c r="D273" s="1">
        <v>6020</v>
      </c>
      <c r="E273" s="1" t="s">
        <v>65</v>
      </c>
      <c r="F273" s="1" t="s">
        <v>36</v>
      </c>
      <c r="G273" s="1" t="s">
        <v>159</v>
      </c>
      <c r="H273" s="1" t="s">
        <v>160</v>
      </c>
      <c r="I273" s="1" t="s">
        <v>530</v>
      </c>
      <c r="J273" s="1" t="s">
        <v>531</v>
      </c>
      <c r="K273" s="1">
        <v>12</v>
      </c>
      <c r="M273" s="1" t="str">
        <f>VLOOKUP(D273,HORARIOS!B:H,7,0)</f>
        <v>Día 2</v>
      </c>
      <c r="N273" s="1">
        <f>VLOOKUP(D273,HORARIOS!B:I,8,0)</f>
        <v>9</v>
      </c>
      <c r="O273" s="1" t="str">
        <f>VLOOKUP(A273,HORARIOS!A:D,4,0)</f>
        <v>10:30 hrs</v>
      </c>
      <c r="P273" s="9" t="str">
        <f>VLOOKUP(A273,HORARIOS!A:E,5,0)</f>
        <v>14:30 hrs</v>
      </c>
    </row>
    <row r="274" spans="1:16" ht="15.75" customHeight="1" x14ac:dyDescent="0.25">
      <c r="A274" s="1" t="str">
        <f t="shared" si="0"/>
        <v>60218</v>
      </c>
      <c r="B274" s="1">
        <v>307</v>
      </c>
      <c r="C274" s="1">
        <v>13</v>
      </c>
      <c r="D274" s="1">
        <v>6021</v>
      </c>
      <c r="E274" s="1" t="s">
        <v>44</v>
      </c>
      <c r="F274" s="1" t="s">
        <v>36</v>
      </c>
      <c r="G274" s="1" t="s">
        <v>37</v>
      </c>
      <c r="H274" s="1" t="s">
        <v>39</v>
      </c>
      <c r="I274" s="1" t="s">
        <v>532</v>
      </c>
      <c r="J274" s="1" t="s">
        <v>533</v>
      </c>
      <c r="K274" s="1">
        <v>12</v>
      </c>
      <c r="L274" s="1" t="s">
        <v>41</v>
      </c>
      <c r="M274" s="1" t="str">
        <f>VLOOKUP(D274,HORARIOS!B:H,7,0)</f>
        <v>Día 2</v>
      </c>
      <c r="N274" s="1">
        <f>VLOOKUP(D274,HORARIOS!B:I,8,0)</f>
        <v>8</v>
      </c>
      <c r="O274" s="1" t="str">
        <f>VLOOKUP(A274,HORARIOS!A:D,4,0)</f>
        <v>09:30 hrs</v>
      </c>
      <c r="P274" s="9" t="str">
        <f>VLOOKUP(A274,HORARIOS!A:E,5,0)</f>
        <v>13:30 hrs</v>
      </c>
    </row>
    <row r="275" spans="1:16" ht="15.75" customHeight="1" x14ac:dyDescent="0.25">
      <c r="A275" s="1" t="str">
        <f t="shared" si="0"/>
        <v>60218</v>
      </c>
      <c r="B275" s="1">
        <v>308</v>
      </c>
      <c r="C275" s="1">
        <v>13</v>
      </c>
      <c r="D275" s="1">
        <v>6021</v>
      </c>
      <c r="E275" s="1" t="s">
        <v>44</v>
      </c>
      <c r="F275" s="1" t="s">
        <v>36</v>
      </c>
      <c r="G275" s="1" t="s">
        <v>51</v>
      </c>
      <c r="H275" s="1" t="s">
        <v>52</v>
      </c>
      <c r="I275" s="1" t="s">
        <v>534</v>
      </c>
      <c r="J275" s="1" t="s">
        <v>535</v>
      </c>
      <c r="K275" s="1">
        <v>12</v>
      </c>
      <c r="M275" s="1" t="str">
        <f>VLOOKUP(D275,HORARIOS!B:H,7,0)</f>
        <v>Día 2</v>
      </c>
      <c r="N275" s="1">
        <f>VLOOKUP(D275,HORARIOS!B:I,8,0)</f>
        <v>8</v>
      </c>
      <c r="O275" s="1" t="str">
        <f>VLOOKUP(A275,HORARIOS!A:D,4,0)</f>
        <v>09:30 hrs</v>
      </c>
      <c r="P275" s="9" t="str">
        <f>VLOOKUP(A275,HORARIOS!A:E,5,0)</f>
        <v>13:30 hrs</v>
      </c>
    </row>
    <row r="276" spans="1:16" ht="15.75" customHeight="1" x14ac:dyDescent="0.25">
      <c r="A276" s="1" t="str">
        <f t="shared" si="0"/>
        <v>60218</v>
      </c>
      <c r="B276" s="1">
        <v>309</v>
      </c>
      <c r="C276" s="1">
        <v>13</v>
      </c>
      <c r="D276" s="1">
        <v>6021</v>
      </c>
      <c r="E276" s="1" t="s">
        <v>44</v>
      </c>
      <c r="F276" s="1" t="s">
        <v>36</v>
      </c>
      <c r="G276" s="1" t="s">
        <v>61</v>
      </c>
      <c r="H276" s="1" t="s">
        <v>62</v>
      </c>
      <c r="I276" s="1" t="s">
        <v>536</v>
      </c>
      <c r="J276" s="1" t="s">
        <v>536</v>
      </c>
      <c r="K276" s="1">
        <v>12</v>
      </c>
      <c r="L276" s="1" t="s">
        <v>64</v>
      </c>
      <c r="M276" s="1" t="str">
        <f>VLOOKUP(D276,HORARIOS!B:H,7,0)</f>
        <v>Día 2</v>
      </c>
      <c r="N276" s="1">
        <f>VLOOKUP(D276,HORARIOS!B:I,8,0)</f>
        <v>8</v>
      </c>
      <c r="O276" s="1" t="str">
        <f>VLOOKUP(A276,HORARIOS!A:D,4,0)</f>
        <v>09:30 hrs</v>
      </c>
      <c r="P276" s="9" t="str">
        <f>VLOOKUP(A276,HORARIOS!A:E,5,0)</f>
        <v>13:30 hrs</v>
      </c>
    </row>
    <row r="277" spans="1:16" ht="15.75" customHeight="1" x14ac:dyDescent="0.25">
      <c r="A277" s="1" t="str">
        <f t="shared" si="0"/>
        <v>60218</v>
      </c>
      <c r="B277" s="1">
        <v>310</v>
      </c>
      <c r="C277" s="1">
        <v>13</v>
      </c>
      <c r="D277" s="1">
        <v>6021</v>
      </c>
      <c r="E277" s="1" t="s">
        <v>44</v>
      </c>
      <c r="F277" s="1" t="s">
        <v>36</v>
      </c>
      <c r="G277" s="1" t="s">
        <v>72</v>
      </c>
      <c r="H277" s="1" t="s">
        <v>73</v>
      </c>
      <c r="I277" s="1" t="s">
        <v>537</v>
      </c>
      <c r="J277" s="1" t="s">
        <v>538</v>
      </c>
      <c r="K277" s="1">
        <v>12</v>
      </c>
      <c r="M277" s="1" t="str">
        <f>VLOOKUP(D277,HORARIOS!B:H,7,0)</f>
        <v>Día 2</v>
      </c>
      <c r="N277" s="1">
        <f>VLOOKUP(D277,HORARIOS!B:I,8,0)</f>
        <v>8</v>
      </c>
      <c r="O277" s="1" t="str">
        <f>VLOOKUP(A277,HORARIOS!A:D,4,0)</f>
        <v>09:30 hrs</v>
      </c>
      <c r="P277" s="9" t="str">
        <f>VLOOKUP(A277,HORARIOS!A:E,5,0)</f>
        <v>13:30 hrs</v>
      </c>
    </row>
    <row r="278" spans="1:16" ht="15.75" customHeight="1" x14ac:dyDescent="0.25">
      <c r="A278" s="1" t="str">
        <f t="shared" si="0"/>
        <v>60218</v>
      </c>
      <c r="B278" s="1">
        <v>311</v>
      </c>
      <c r="C278" s="1">
        <v>13</v>
      </c>
      <c r="D278" s="1">
        <v>6021</v>
      </c>
      <c r="E278" s="1" t="s">
        <v>44</v>
      </c>
      <c r="F278" s="1" t="s">
        <v>36</v>
      </c>
      <c r="G278" s="1" t="s">
        <v>88</v>
      </c>
      <c r="H278" s="1" t="s">
        <v>90</v>
      </c>
      <c r="I278" s="1" t="s">
        <v>539</v>
      </c>
      <c r="J278" s="1" t="s">
        <v>539</v>
      </c>
      <c r="K278" s="1">
        <v>12</v>
      </c>
      <c r="M278" s="1" t="str">
        <f>VLOOKUP(D278,HORARIOS!B:H,7,0)</f>
        <v>Día 2</v>
      </c>
      <c r="N278" s="1">
        <f>VLOOKUP(D278,HORARIOS!B:I,8,0)</f>
        <v>8</v>
      </c>
      <c r="O278" s="1" t="str">
        <f>VLOOKUP(A278,HORARIOS!A:D,4,0)</f>
        <v>09:30 hrs</v>
      </c>
      <c r="P278" s="9" t="str">
        <f>VLOOKUP(A278,HORARIOS!A:E,5,0)</f>
        <v>13:30 hrs</v>
      </c>
    </row>
    <row r="279" spans="1:16" ht="15.75" customHeight="1" x14ac:dyDescent="0.25">
      <c r="A279" s="1" t="str">
        <f t="shared" si="0"/>
        <v>60218</v>
      </c>
      <c r="B279" s="1">
        <v>312</v>
      </c>
      <c r="C279" s="1">
        <v>13</v>
      </c>
      <c r="D279" s="1">
        <v>6021</v>
      </c>
      <c r="E279" s="1" t="s">
        <v>44</v>
      </c>
      <c r="F279" s="1" t="s">
        <v>36</v>
      </c>
      <c r="G279" s="1" t="s">
        <v>96</v>
      </c>
      <c r="H279" s="1" t="s">
        <v>62</v>
      </c>
      <c r="I279" s="1" t="s">
        <v>540</v>
      </c>
      <c r="J279" s="1" t="s">
        <v>540</v>
      </c>
      <c r="K279" s="1">
        <v>12</v>
      </c>
      <c r="M279" s="1" t="str">
        <f>VLOOKUP(D279,HORARIOS!B:H,7,0)</f>
        <v>Día 2</v>
      </c>
      <c r="N279" s="1">
        <f>VLOOKUP(D279,HORARIOS!B:I,8,0)</f>
        <v>8</v>
      </c>
      <c r="O279" s="1" t="str">
        <f>VLOOKUP(A279,HORARIOS!A:D,4,0)</f>
        <v>09:30 hrs</v>
      </c>
      <c r="P279" s="9" t="str">
        <f>VLOOKUP(A279,HORARIOS!A:E,5,0)</f>
        <v>13:30 hrs</v>
      </c>
    </row>
    <row r="280" spans="1:16" ht="15.75" customHeight="1" x14ac:dyDescent="0.25">
      <c r="A280" s="1" t="str">
        <f t="shared" si="0"/>
        <v>60218</v>
      </c>
      <c r="B280" s="1">
        <v>313</v>
      </c>
      <c r="C280" s="1">
        <v>13</v>
      </c>
      <c r="D280" s="1">
        <v>6021</v>
      </c>
      <c r="E280" s="1" t="s">
        <v>44</v>
      </c>
      <c r="F280" s="1" t="s">
        <v>36</v>
      </c>
      <c r="G280" s="1" t="s">
        <v>98</v>
      </c>
      <c r="H280" s="1" t="s">
        <v>352</v>
      </c>
      <c r="I280" s="1" t="s">
        <v>541</v>
      </c>
      <c r="J280" s="1" t="s">
        <v>542</v>
      </c>
      <c r="K280" s="1">
        <v>12</v>
      </c>
      <c r="L280" s="1" t="s">
        <v>101</v>
      </c>
      <c r="M280" s="1" t="str">
        <f>VLOOKUP(D280,HORARIOS!B:H,7,0)</f>
        <v>Día 2</v>
      </c>
      <c r="N280" s="1">
        <f>VLOOKUP(D280,HORARIOS!B:I,8,0)</f>
        <v>8</v>
      </c>
      <c r="O280" s="1" t="str">
        <f>VLOOKUP(A280,HORARIOS!A:D,4,0)</f>
        <v>09:30 hrs</v>
      </c>
      <c r="P280" s="9" t="str">
        <f>VLOOKUP(A280,HORARIOS!A:E,5,0)</f>
        <v>13:30 hrs</v>
      </c>
    </row>
    <row r="281" spans="1:16" ht="15.75" customHeight="1" x14ac:dyDescent="0.25">
      <c r="A281" s="1" t="str">
        <f t="shared" si="0"/>
        <v>60218</v>
      </c>
      <c r="B281" s="1">
        <v>315</v>
      </c>
      <c r="C281" s="1">
        <v>13</v>
      </c>
      <c r="D281" s="1">
        <v>6021</v>
      </c>
      <c r="E281" s="1" t="s">
        <v>44</v>
      </c>
      <c r="F281" s="1" t="s">
        <v>36</v>
      </c>
      <c r="G281" s="1" t="s">
        <v>98</v>
      </c>
      <c r="H281" s="1" t="s">
        <v>352</v>
      </c>
      <c r="I281" s="1" t="s">
        <v>543</v>
      </c>
      <c r="J281" s="1" t="s">
        <v>544</v>
      </c>
      <c r="K281" s="1">
        <v>12</v>
      </c>
      <c r="L281" s="1" t="s">
        <v>101</v>
      </c>
      <c r="M281" s="1" t="str">
        <f>VLOOKUP(D281,HORARIOS!B:H,7,0)</f>
        <v>Día 2</v>
      </c>
      <c r="N281" s="1">
        <f>VLOOKUP(D281,HORARIOS!B:I,8,0)</f>
        <v>8</v>
      </c>
      <c r="O281" s="1" t="str">
        <f>VLOOKUP(A281,HORARIOS!A:D,4,0)</f>
        <v>09:30 hrs</v>
      </c>
      <c r="P281" s="9" t="str">
        <f>VLOOKUP(A281,HORARIOS!A:E,5,0)</f>
        <v>13:30 hrs</v>
      </c>
    </row>
    <row r="282" spans="1:16" ht="15.75" customHeight="1" x14ac:dyDescent="0.25">
      <c r="A282" s="1" t="str">
        <f t="shared" si="0"/>
        <v>60218</v>
      </c>
      <c r="B282" s="1">
        <v>316</v>
      </c>
      <c r="C282" s="1">
        <v>13</v>
      </c>
      <c r="D282" s="1">
        <v>6021</v>
      </c>
      <c r="E282" s="1" t="s">
        <v>44</v>
      </c>
      <c r="F282" s="1" t="s">
        <v>36</v>
      </c>
      <c r="G282" s="1" t="s">
        <v>98</v>
      </c>
      <c r="H282" s="1" t="s">
        <v>352</v>
      </c>
      <c r="I282" s="1" t="s">
        <v>545</v>
      </c>
      <c r="J282" s="1" t="s">
        <v>546</v>
      </c>
      <c r="K282" s="1">
        <v>12</v>
      </c>
      <c r="L282" s="1" t="s">
        <v>101</v>
      </c>
      <c r="M282" s="1" t="str">
        <f>VLOOKUP(D282,HORARIOS!B:H,7,0)</f>
        <v>Día 2</v>
      </c>
      <c r="N282" s="1">
        <f>VLOOKUP(D282,HORARIOS!B:I,8,0)</f>
        <v>8</v>
      </c>
      <c r="O282" s="1" t="str">
        <f>VLOOKUP(A282,HORARIOS!A:D,4,0)</f>
        <v>09:30 hrs</v>
      </c>
      <c r="P282" s="9" t="str">
        <f>VLOOKUP(A282,HORARIOS!A:E,5,0)</f>
        <v>13:30 hrs</v>
      </c>
    </row>
    <row r="283" spans="1:16" ht="15.75" customHeight="1" x14ac:dyDescent="0.25">
      <c r="A283" s="1" t="str">
        <f t="shared" si="0"/>
        <v>60218</v>
      </c>
      <c r="B283" s="1">
        <v>317</v>
      </c>
      <c r="C283" s="1">
        <v>13</v>
      </c>
      <c r="D283" s="1">
        <v>6021</v>
      </c>
      <c r="E283" s="1" t="s">
        <v>44</v>
      </c>
      <c r="F283" s="1" t="s">
        <v>36</v>
      </c>
      <c r="G283" s="1" t="s">
        <v>114</v>
      </c>
      <c r="H283" s="1" t="s">
        <v>39</v>
      </c>
      <c r="I283" s="1" t="s">
        <v>52</v>
      </c>
      <c r="J283" s="1" t="s">
        <v>52</v>
      </c>
      <c r="K283" s="1">
        <v>2</v>
      </c>
      <c r="L283" s="1" t="s">
        <v>115</v>
      </c>
      <c r="M283" s="1" t="str">
        <f>VLOOKUP(D283,HORARIOS!B:H,7,0)</f>
        <v>Día 2</v>
      </c>
      <c r="N283" s="1">
        <f>VLOOKUP(D283,HORARIOS!B:I,8,0)</f>
        <v>8</v>
      </c>
      <c r="O283" s="1" t="str">
        <f>VLOOKUP(A283,HORARIOS!A:D,4,0)</f>
        <v>09:30 hrs</v>
      </c>
      <c r="P283" s="9" t="str">
        <f>VLOOKUP(A283,HORARIOS!A:E,5,0)</f>
        <v>13:30 hrs</v>
      </c>
    </row>
    <row r="284" spans="1:16" ht="15.75" customHeight="1" x14ac:dyDescent="0.25">
      <c r="A284" s="1" t="str">
        <f t="shared" si="0"/>
        <v>60218</v>
      </c>
      <c r="B284" s="1">
        <v>318</v>
      </c>
      <c r="C284" s="1">
        <v>13</v>
      </c>
      <c r="D284" s="1">
        <v>6021</v>
      </c>
      <c r="E284" s="1" t="s">
        <v>44</v>
      </c>
      <c r="F284" s="1" t="s">
        <v>36</v>
      </c>
      <c r="G284" s="1" t="s">
        <v>134</v>
      </c>
      <c r="H284" s="1" t="s">
        <v>135</v>
      </c>
      <c r="I284" s="1" t="s">
        <v>547</v>
      </c>
      <c r="J284" s="1" t="s">
        <v>548</v>
      </c>
      <c r="K284" s="1">
        <v>12</v>
      </c>
      <c r="L284" s="1" t="s">
        <v>138</v>
      </c>
      <c r="M284" s="1" t="str">
        <f>VLOOKUP(D284,HORARIOS!B:H,7,0)</f>
        <v>Día 2</v>
      </c>
      <c r="N284" s="1">
        <f>VLOOKUP(D284,HORARIOS!B:I,8,0)</f>
        <v>8</v>
      </c>
      <c r="O284" s="1" t="str">
        <f>VLOOKUP(A284,HORARIOS!A:D,4,0)</f>
        <v>09:30 hrs</v>
      </c>
      <c r="P284" s="9" t="str">
        <f>VLOOKUP(A284,HORARIOS!A:E,5,0)</f>
        <v>13:30 hrs</v>
      </c>
    </row>
    <row r="285" spans="1:16" ht="15.75" customHeight="1" x14ac:dyDescent="0.25">
      <c r="A285" s="1" t="str">
        <f t="shared" si="0"/>
        <v>60218</v>
      </c>
      <c r="B285" s="1">
        <v>319</v>
      </c>
      <c r="C285" s="1">
        <v>13</v>
      </c>
      <c r="D285" s="1">
        <v>6021</v>
      </c>
      <c r="E285" s="1" t="s">
        <v>44</v>
      </c>
      <c r="F285" s="1" t="s">
        <v>36</v>
      </c>
      <c r="G285" s="1" t="s">
        <v>145</v>
      </c>
      <c r="H285" s="1" t="s">
        <v>52</v>
      </c>
      <c r="I285" s="1" t="s">
        <v>549</v>
      </c>
      <c r="J285" s="1" t="s">
        <v>550</v>
      </c>
      <c r="K285" s="1">
        <v>12</v>
      </c>
      <c r="M285" s="1" t="str">
        <f>VLOOKUP(D285,HORARIOS!B:H,7,0)</f>
        <v>Día 2</v>
      </c>
      <c r="N285" s="1">
        <f>VLOOKUP(D285,HORARIOS!B:I,8,0)</f>
        <v>8</v>
      </c>
      <c r="O285" s="1" t="str">
        <f>VLOOKUP(A285,HORARIOS!A:D,4,0)</f>
        <v>09:30 hrs</v>
      </c>
      <c r="P285" s="9" t="str">
        <f>VLOOKUP(A285,HORARIOS!A:E,5,0)</f>
        <v>13:30 hrs</v>
      </c>
    </row>
    <row r="286" spans="1:16" ht="15.75" customHeight="1" x14ac:dyDescent="0.25">
      <c r="A286" s="1" t="str">
        <f t="shared" si="0"/>
        <v>60218</v>
      </c>
      <c r="B286" s="1">
        <v>320</v>
      </c>
      <c r="C286" s="1">
        <v>13</v>
      </c>
      <c r="D286" s="1">
        <v>6021</v>
      </c>
      <c r="E286" s="1" t="s">
        <v>44</v>
      </c>
      <c r="F286" s="1" t="s">
        <v>36</v>
      </c>
      <c r="G286" s="1" t="s">
        <v>159</v>
      </c>
      <c r="H286" s="1" t="s">
        <v>160</v>
      </c>
      <c r="I286" s="1" t="s">
        <v>551</v>
      </c>
      <c r="J286" s="1" t="s">
        <v>552</v>
      </c>
      <c r="K286" s="1">
        <v>12</v>
      </c>
      <c r="M286" s="1" t="str">
        <f>VLOOKUP(D286,HORARIOS!B:H,7,0)</f>
        <v>Día 2</v>
      </c>
      <c r="N286" s="1">
        <f>VLOOKUP(D286,HORARIOS!B:I,8,0)</f>
        <v>8</v>
      </c>
      <c r="O286" s="1" t="str">
        <f>VLOOKUP(A286,HORARIOS!A:D,4,0)</f>
        <v>09:30 hrs</v>
      </c>
      <c r="P286" s="9" t="str">
        <f>VLOOKUP(A286,HORARIOS!A:E,5,0)</f>
        <v>13:30 hrs</v>
      </c>
    </row>
    <row r="287" spans="1:16" ht="15.75" customHeight="1" x14ac:dyDescent="0.25">
      <c r="A287" s="1" t="str">
        <f t="shared" si="0"/>
        <v>602214</v>
      </c>
      <c r="B287" s="1">
        <v>321</v>
      </c>
      <c r="C287" s="1">
        <v>13</v>
      </c>
      <c r="D287" s="1">
        <v>6022</v>
      </c>
      <c r="E287" s="1" t="s">
        <v>67</v>
      </c>
      <c r="F287" s="1" t="s">
        <v>36</v>
      </c>
      <c r="G287" s="1" t="s">
        <v>37</v>
      </c>
      <c r="H287" s="1" t="s">
        <v>39</v>
      </c>
      <c r="I287" s="1" t="s">
        <v>553</v>
      </c>
      <c r="J287" s="1" t="s">
        <v>554</v>
      </c>
      <c r="K287" s="1">
        <v>12</v>
      </c>
      <c r="L287" s="1" t="s">
        <v>41</v>
      </c>
      <c r="M287" s="1" t="str">
        <f>VLOOKUP(D287,HORARIOS!B:H,7,0)</f>
        <v>Día 3</v>
      </c>
      <c r="N287" s="1">
        <f>VLOOKUP(D287,HORARIOS!B:I,8,0)</f>
        <v>14</v>
      </c>
      <c r="O287" s="1" t="str">
        <f>VLOOKUP(A287,HORARIOS!A:D,4,0)</f>
        <v>08:00 hrs</v>
      </c>
      <c r="P287" s="9" t="str">
        <f>VLOOKUP(A287,HORARIOS!A:E,5,0)</f>
        <v>12:00 hrs</v>
      </c>
    </row>
    <row r="288" spans="1:16" ht="15.75" customHeight="1" x14ac:dyDescent="0.25">
      <c r="A288" s="1" t="str">
        <f t="shared" si="0"/>
        <v>602214</v>
      </c>
      <c r="B288" s="1">
        <v>323</v>
      </c>
      <c r="C288" s="1">
        <v>13</v>
      </c>
      <c r="D288" s="1">
        <v>6022</v>
      </c>
      <c r="E288" s="1" t="s">
        <v>67</v>
      </c>
      <c r="F288" s="1" t="s">
        <v>36</v>
      </c>
      <c r="G288" s="1" t="s">
        <v>51</v>
      </c>
      <c r="H288" s="1" t="s">
        <v>52</v>
      </c>
      <c r="I288" s="1" t="s">
        <v>555</v>
      </c>
      <c r="J288" s="1" t="s">
        <v>556</v>
      </c>
      <c r="K288" s="1">
        <v>12</v>
      </c>
      <c r="M288" s="1" t="str">
        <f>VLOOKUP(D288,HORARIOS!B:H,7,0)</f>
        <v>Día 3</v>
      </c>
      <c r="N288" s="1">
        <f>VLOOKUP(D288,HORARIOS!B:I,8,0)</f>
        <v>14</v>
      </c>
      <c r="O288" s="1" t="str">
        <f>VLOOKUP(A288,HORARIOS!A:D,4,0)</f>
        <v>08:00 hrs</v>
      </c>
      <c r="P288" s="9" t="str">
        <f>VLOOKUP(A288,HORARIOS!A:E,5,0)</f>
        <v>12:00 hrs</v>
      </c>
    </row>
    <row r="289" spans="1:16" ht="15.75" customHeight="1" x14ac:dyDescent="0.25">
      <c r="A289" s="1" t="str">
        <f t="shared" si="0"/>
        <v>602214</v>
      </c>
      <c r="B289" s="1">
        <v>324</v>
      </c>
      <c r="C289" s="1">
        <v>13</v>
      </c>
      <c r="D289" s="1">
        <v>6022</v>
      </c>
      <c r="E289" s="1" t="s">
        <v>67</v>
      </c>
      <c r="F289" s="1" t="s">
        <v>36</v>
      </c>
      <c r="G289" s="1" t="s">
        <v>61</v>
      </c>
      <c r="H289" s="1" t="s">
        <v>62</v>
      </c>
      <c r="I289" s="1" t="s">
        <v>557</v>
      </c>
      <c r="J289" s="1" t="s">
        <v>557</v>
      </c>
      <c r="K289" s="1">
        <v>12</v>
      </c>
      <c r="L289" s="1" t="s">
        <v>64</v>
      </c>
      <c r="M289" s="1" t="str">
        <f>VLOOKUP(D289,HORARIOS!B:H,7,0)</f>
        <v>Día 3</v>
      </c>
      <c r="N289" s="1">
        <f>VLOOKUP(D289,HORARIOS!B:I,8,0)</f>
        <v>14</v>
      </c>
      <c r="O289" s="1" t="str">
        <f>VLOOKUP(A289,HORARIOS!A:D,4,0)</f>
        <v>08:00 hrs</v>
      </c>
      <c r="P289" s="9" t="str">
        <f>VLOOKUP(A289,HORARIOS!A:E,5,0)</f>
        <v>12:00 hrs</v>
      </c>
    </row>
    <row r="290" spans="1:16" ht="15.75" customHeight="1" x14ac:dyDescent="0.25">
      <c r="A290" s="1" t="str">
        <f t="shared" si="0"/>
        <v>602214</v>
      </c>
      <c r="B290" s="1">
        <v>325</v>
      </c>
      <c r="C290" s="1">
        <v>13</v>
      </c>
      <c r="D290" s="1">
        <v>6022</v>
      </c>
      <c r="E290" s="1" t="s">
        <v>67</v>
      </c>
      <c r="F290" s="1" t="s">
        <v>36</v>
      </c>
      <c r="G290" s="1" t="s">
        <v>72</v>
      </c>
      <c r="H290" s="1" t="s">
        <v>73</v>
      </c>
      <c r="I290" s="1" t="s">
        <v>558</v>
      </c>
      <c r="J290" s="1" t="s">
        <v>559</v>
      </c>
      <c r="K290" s="1">
        <v>12</v>
      </c>
      <c r="M290" s="1" t="str">
        <f>VLOOKUP(D290,HORARIOS!B:H,7,0)</f>
        <v>Día 3</v>
      </c>
      <c r="N290" s="1">
        <f>VLOOKUP(D290,HORARIOS!B:I,8,0)</f>
        <v>14</v>
      </c>
      <c r="O290" s="1" t="str">
        <f>VLOOKUP(A290,HORARIOS!A:D,4,0)</f>
        <v>08:00 hrs</v>
      </c>
      <c r="P290" s="9" t="str">
        <f>VLOOKUP(A290,HORARIOS!A:E,5,0)</f>
        <v>12:00 hrs</v>
      </c>
    </row>
    <row r="291" spans="1:16" ht="15.75" customHeight="1" x14ac:dyDescent="0.25">
      <c r="A291" s="1" t="str">
        <f t="shared" si="0"/>
        <v>602214</v>
      </c>
      <c r="B291" s="1">
        <v>326</v>
      </c>
      <c r="C291" s="1">
        <v>13</v>
      </c>
      <c r="D291" s="1">
        <v>6022</v>
      </c>
      <c r="E291" s="1" t="s">
        <v>67</v>
      </c>
      <c r="F291" s="1" t="s">
        <v>36</v>
      </c>
      <c r="G291" s="1" t="s">
        <v>88</v>
      </c>
      <c r="H291" s="1" t="s">
        <v>90</v>
      </c>
      <c r="I291" s="1" t="s">
        <v>560</v>
      </c>
      <c r="J291" s="1" t="s">
        <v>561</v>
      </c>
      <c r="K291" s="1">
        <v>12</v>
      </c>
      <c r="M291" s="1" t="str">
        <f>VLOOKUP(D291,HORARIOS!B:H,7,0)</f>
        <v>Día 3</v>
      </c>
      <c r="N291" s="1">
        <f>VLOOKUP(D291,HORARIOS!B:I,8,0)</f>
        <v>14</v>
      </c>
      <c r="O291" s="1" t="str">
        <f>VLOOKUP(A291,HORARIOS!A:D,4,0)</f>
        <v>08:00 hrs</v>
      </c>
      <c r="P291" s="9" t="str">
        <f>VLOOKUP(A291,HORARIOS!A:E,5,0)</f>
        <v>12:00 hrs</v>
      </c>
    </row>
    <row r="292" spans="1:16" ht="15.75" customHeight="1" x14ac:dyDescent="0.25">
      <c r="A292" s="1" t="str">
        <f t="shared" si="0"/>
        <v>602214</v>
      </c>
      <c r="B292" s="1">
        <v>327</v>
      </c>
      <c r="C292" s="1">
        <v>13</v>
      </c>
      <c r="D292" s="1">
        <v>6022</v>
      </c>
      <c r="E292" s="1" t="s">
        <v>67</v>
      </c>
      <c r="F292" s="1" t="s">
        <v>36</v>
      </c>
      <c r="G292" s="1" t="s">
        <v>96</v>
      </c>
      <c r="H292" s="1" t="s">
        <v>62</v>
      </c>
      <c r="I292" s="1" t="s">
        <v>562</v>
      </c>
      <c r="J292" s="1" t="s">
        <v>562</v>
      </c>
      <c r="K292" s="1">
        <v>12</v>
      </c>
      <c r="M292" s="1" t="str">
        <f>VLOOKUP(D292,HORARIOS!B:H,7,0)</f>
        <v>Día 3</v>
      </c>
      <c r="N292" s="1">
        <f>VLOOKUP(D292,HORARIOS!B:I,8,0)</f>
        <v>14</v>
      </c>
      <c r="O292" s="1" t="str">
        <f>VLOOKUP(A292,HORARIOS!A:D,4,0)</f>
        <v>08:00 hrs</v>
      </c>
      <c r="P292" s="9" t="str">
        <f>VLOOKUP(A292,HORARIOS!A:E,5,0)</f>
        <v>12:00 hrs</v>
      </c>
    </row>
    <row r="293" spans="1:16" ht="15.75" customHeight="1" x14ac:dyDescent="0.25">
      <c r="A293" s="1" t="str">
        <f t="shared" si="0"/>
        <v>602214</v>
      </c>
      <c r="B293" s="1">
        <v>328</v>
      </c>
      <c r="C293" s="1">
        <v>13</v>
      </c>
      <c r="D293" s="1">
        <v>6022</v>
      </c>
      <c r="E293" s="1" t="s">
        <v>67</v>
      </c>
      <c r="F293" s="1" t="s">
        <v>36</v>
      </c>
      <c r="G293" s="1" t="s">
        <v>98</v>
      </c>
      <c r="H293" s="1" t="s">
        <v>563</v>
      </c>
      <c r="I293" s="1" t="s">
        <v>564</v>
      </c>
      <c r="J293" s="1" t="s">
        <v>565</v>
      </c>
      <c r="K293" s="1">
        <v>12</v>
      </c>
      <c r="L293" s="1" t="s">
        <v>101</v>
      </c>
      <c r="M293" s="1" t="str">
        <f>VLOOKUP(D293,HORARIOS!B:H,7,0)</f>
        <v>Día 3</v>
      </c>
      <c r="N293" s="1">
        <f>VLOOKUP(D293,HORARIOS!B:I,8,0)</f>
        <v>14</v>
      </c>
      <c r="O293" s="1" t="str">
        <f>VLOOKUP(A293,HORARIOS!A:D,4,0)</f>
        <v>08:00 hrs</v>
      </c>
      <c r="P293" s="9" t="str">
        <f>VLOOKUP(A293,HORARIOS!A:E,5,0)</f>
        <v>12:00 hrs</v>
      </c>
    </row>
    <row r="294" spans="1:16" ht="15.75" customHeight="1" x14ac:dyDescent="0.25">
      <c r="A294" s="1" t="str">
        <f t="shared" si="0"/>
        <v>602214</v>
      </c>
      <c r="B294" s="1">
        <v>329</v>
      </c>
      <c r="C294" s="1">
        <v>13</v>
      </c>
      <c r="D294" s="1">
        <v>6022</v>
      </c>
      <c r="E294" s="1" t="s">
        <v>67</v>
      </c>
      <c r="F294" s="1" t="s">
        <v>36</v>
      </c>
      <c r="G294" s="1" t="s">
        <v>98</v>
      </c>
      <c r="H294" s="1" t="s">
        <v>563</v>
      </c>
      <c r="I294" s="1" t="s">
        <v>566</v>
      </c>
      <c r="J294" s="1" t="s">
        <v>567</v>
      </c>
      <c r="K294" s="1">
        <v>12</v>
      </c>
      <c r="L294" s="1" t="s">
        <v>101</v>
      </c>
      <c r="M294" s="1" t="str">
        <f>VLOOKUP(D294,HORARIOS!B:H,7,0)</f>
        <v>Día 3</v>
      </c>
      <c r="N294" s="1">
        <f>VLOOKUP(D294,HORARIOS!B:I,8,0)</f>
        <v>14</v>
      </c>
      <c r="O294" s="1" t="str">
        <f>VLOOKUP(A294,HORARIOS!A:D,4,0)</f>
        <v>08:00 hrs</v>
      </c>
      <c r="P294" s="9" t="str">
        <f>VLOOKUP(A294,HORARIOS!A:E,5,0)</f>
        <v>12:00 hrs</v>
      </c>
    </row>
    <row r="295" spans="1:16" ht="15.75" customHeight="1" x14ac:dyDescent="0.25">
      <c r="A295" s="1" t="str">
        <f t="shared" si="0"/>
        <v>602214</v>
      </c>
      <c r="B295" s="1">
        <v>331</v>
      </c>
      <c r="C295" s="1">
        <v>13</v>
      </c>
      <c r="D295" s="1">
        <v>6022</v>
      </c>
      <c r="E295" s="1" t="s">
        <v>67</v>
      </c>
      <c r="F295" s="1" t="s">
        <v>36</v>
      </c>
      <c r="G295" s="1" t="s">
        <v>98</v>
      </c>
      <c r="H295" s="1" t="s">
        <v>563</v>
      </c>
      <c r="I295" s="1" t="s">
        <v>568</v>
      </c>
      <c r="J295" s="1" t="s">
        <v>569</v>
      </c>
      <c r="K295" s="1">
        <v>12</v>
      </c>
      <c r="L295" s="1" t="s">
        <v>101</v>
      </c>
      <c r="M295" s="1" t="str">
        <f>VLOOKUP(D295,HORARIOS!B:H,7,0)</f>
        <v>Día 3</v>
      </c>
      <c r="N295" s="1">
        <f>VLOOKUP(D295,HORARIOS!B:I,8,0)</f>
        <v>14</v>
      </c>
      <c r="O295" s="1" t="str">
        <f>VLOOKUP(A295,HORARIOS!A:D,4,0)</f>
        <v>08:00 hrs</v>
      </c>
      <c r="P295" s="9" t="str">
        <f>VLOOKUP(A295,HORARIOS!A:E,5,0)</f>
        <v>12:00 hrs</v>
      </c>
    </row>
    <row r="296" spans="1:16" ht="15.75" customHeight="1" x14ac:dyDescent="0.25">
      <c r="A296" s="1" t="str">
        <f t="shared" si="0"/>
        <v>602214</v>
      </c>
      <c r="B296" s="1">
        <v>332</v>
      </c>
      <c r="C296" s="1">
        <v>13</v>
      </c>
      <c r="D296" s="1">
        <v>6022</v>
      </c>
      <c r="E296" s="1" t="s">
        <v>67</v>
      </c>
      <c r="F296" s="1" t="s">
        <v>36</v>
      </c>
      <c r="G296" s="1" t="s">
        <v>114</v>
      </c>
      <c r="H296" s="1" t="s">
        <v>39</v>
      </c>
      <c r="I296" s="1" t="s">
        <v>52</v>
      </c>
      <c r="J296" s="1" t="s">
        <v>52</v>
      </c>
      <c r="K296" s="1">
        <v>2</v>
      </c>
      <c r="L296" s="1" t="s">
        <v>115</v>
      </c>
      <c r="M296" s="1" t="str">
        <f>VLOOKUP(D296,HORARIOS!B:H,7,0)</f>
        <v>Día 3</v>
      </c>
      <c r="N296" s="1">
        <f>VLOOKUP(D296,HORARIOS!B:I,8,0)</f>
        <v>14</v>
      </c>
      <c r="O296" s="1" t="str">
        <f>VLOOKUP(A296,HORARIOS!A:D,4,0)</f>
        <v>08:00 hrs</v>
      </c>
      <c r="P296" s="9" t="str">
        <f>VLOOKUP(A296,HORARIOS!A:E,5,0)</f>
        <v>12:00 hrs</v>
      </c>
    </row>
    <row r="297" spans="1:16" ht="15.75" customHeight="1" x14ac:dyDescent="0.25">
      <c r="A297" s="1" t="str">
        <f t="shared" si="0"/>
        <v>602214</v>
      </c>
      <c r="B297" s="1">
        <v>333</v>
      </c>
      <c r="C297" s="1">
        <v>13</v>
      </c>
      <c r="D297" s="1">
        <v>6022</v>
      </c>
      <c r="E297" s="1" t="s">
        <v>67</v>
      </c>
      <c r="F297" s="1" t="s">
        <v>36</v>
      </c>
      <c r="G297" s="1" t="s">
        <v>134</v>
      </c>
      <c r="H297" s="1" t="s">
        <v>135</v>
      </c>
      <c r="I297" s="1" t="s">
        <v>570</v>
      </c>
      <c r="J297" s="1" t="s">
        <v>571</v>
      </c>
      <c r="K297" s="1">
        <v>12</v>
      </c>
      <c r="L297" s="1" t="s">
        <v>138</v>
      </c>
      <c r="M297" s="1" t="str">
        <f>VLOOKUP(D297,HORARIOS!B:H,7,0)</f>
        <v>Día 3</v>
      </c>
      <c r="N297" s="1">
        <f>VLOOKUP(D297,HORARIOS!B:I,8,0)</f>
        <v>14</v>
      </c>
      <c r="O297" s="1" t="str">
        <f>VLOOKUP(A297,HORARIOS!A:D,4,0)</f>
        <v>08:00 hrs</v>
      </c>
      <c r="P297" s="9" t="str">
        <f>VLOOKUP(A297,HORARIOS!A:E,5,0)</f>
        <v>12:00 hrs</v>
      </c>
    </row>
    <row r="298" spans="1:16" ht="15.75" customHeight="1" x14ac:dyDescent="0.25">
      <c r="A298" s="1" t="str">
        <f t="shared" si="0"/>
        <v>602214</v>
      </c>
      <c r="B298" s="1">
        <v>334</v>
      </c>
      <c r="C298" s="1">
        <v>13</v>
      </c>
      <c r="D298" s="1">
        <v>6022</v>
      </c>
      <c r="E298" s="1" t="s">
        <v>67</v>
      </c>
      <c r="F298" s="1" t="s">
        <v>36</v>
      </c>
      <c r="G298" s="1" t="s">
        <v>145</v>
      </c>
      <c r="H298" s="1" t="s">
        <v>52</v>
      </c>
      <c r="I298" s="1" t="s">
        <v>572</v>
      </c>
      <c r="J298" s="1" t="s">
        <v>573</v>
      </c>
      <c r="K298" s="1">
        <v>12</v>
      </c>
      <c r="M298" s="1" t="str">
        <f>VLOOKUP(D298,HORARIOS!B:H,7,0)</f>
        <v>Día 3</v>
      </c>
      <c r="N298" s="1">
        <f>VLOOKUP(D298,HORARIOS!B:I,8,0)</f>
        <v>14</v>
      </c>
      <c r="O298" s="1" t="str">
        <f>VLOOKUP(A298,HORARIOS!A:D,4,0)</f>
        <v>08:00 hrs</v>
      </c>
      <c r="P298" s="9" t="str">
        <f>VLOOKUP(A298,HORARIOS!A:E,5,0)</f>
        <v>12:00 hrs</v>
      </c>
    </row>
    <row r="299" spans="1:16" ht="15.75" customHeight="1" x14ac:dyDescent="0.25">
      <c r="A299" s="1" t="str">
        <f t="shared" si="0"/>
        <v>602214</v>
      </c>
      <c r="B299" s="1">
        <v>335</v>
      </c>
      <c r="C299" s="1">
        <v>13</v>
      </c>
      <c r="D299" s="1">
        <v>6022</v>
      </c>
      <c r="E299" s="1" t="s">
        <v>67</v>
      </c>
      <c r="F299" s="1" t="s">
        <v>36</v>
      </c>
      <c r="G299" s="1" t="s">
        <v>159</v>
      </c>
      <c r="H299" s="1" t="s">
        <v>160</v>
      </c>
      <c r="I299" s="1" t="s">
        <v>574</v>
      </c>
      <c r="J299" s="1" t="s">
        <v>575</v>
      </c>
      <c r="K299" s="1">
        <v>12</v>
      </c>
      <c r="M299" s="1" t="str">
        <f>VLOOKUP(D299,HORARIOS!B:H,7,0)</f>
        <v>Día 3</v>
      </c>
      <c r="N299" s="1">
        <f>VLOOKUP(D299,HORARIOS!B:I,8,0)</f>
        <v>14</v>
      </c>
      <c r="O299" s="1" t="str">
        <f>VLOOKUP(A299,HORARIOS!A:D,4,0)</f>
        <v>08:00 hrs</v>
      </c>
      <c r="P299" s="9" t="str">
        <f>VLOOKUP(A299,HORARIOS!A:E,5,0)</f>
        <v>12:00 hrs</v>
      </c>
    </row>
    <row r="300" spans="1:16" ht="15.75" customHeight="1" x14ac:dyDescent="0.25">
      <c r="A300" s="1" t="str">
        <f t="shared" si="0"/>
        <v>602322</v>
      </c>
      <c r="B300" s="1">
        <v>336</v>
      </c>
      <c r="C300" s="1">
        <v>14</v>
      </c>
      <c r="D300" s="1">
        <v>6023</v>
      </c>
      <c r="E300" s="1" t="s">
        <v>70</v>
      </c>
      <c r="F300" s="1" t="s">
        <v>36</v>
      </c>
      <c r="G300" s="1" t="s">
        <v>37</v>
      </c>
      <c r="H300" s="1" t="s">
        <v>39</v>
      </c>
      <c r="I300" s="1" t="s">
        <v>576</v>
      </c>
      <c r="J300" s="1" t="s">
        <v>577</v>
      </c>
      <c r="K300" s="1">
        <v>12</v>
      </c>
      <c r="L300" s="1" t="s">
        <v>41</v>
      </c>
      <c r="M300" s="1" t="str">
        <f>VLOOKUP(D300,HORARIOS!B:H,7,0)</f>
        <v>Día 4</v>
      </c>
      <c r="N300" s="1">
        <f>VLOOKUP(D300,HORARIOS!B:I,8,0)</f>
        <v>22</v>
      </c>
      <c r="O300" s="1" t="str">
        <f>VLOOKUP(A300,HORARIOS!A:D,4,0)</f>
        <v>08:00 hrs</v>
      </c>
      <c r="P300" s="9" t="str">
        <f>VLOOKUP(A300,HORARIOS!A:E,5,0)</f>
        <v>12:30 hrs</v>
      </c>
    </row>
    <row r="301" spans="1:16" ht="15.75" customHeight="1" x14ac:dyDescent="0.25">
      <c r="A301" s="1" t="str">
        <f t="shared" si="0"/>
        <v>602322</v>
      </c>
      <c r="B301" s="1">
        <v>337</v>
      </c>
      <c r="C301" s="1">
        <v>14</v>
      </c>
      <c r="D301" s="1">
        <v>6023</v>
      </c>
      <c r="E301" s="1" t="s">
        <v>70</v>
      </c>
      <c r="F301" s="1" t="s">
        <v>36</v>
      </c>
      <c r="G301" s="1" t="s">
        <v>51</v>
      </c>
      <c r="H301" s="1" t="s">
        <v>52</v>
      </c>
      <c r="I301" s="1" t="s">
        <v>578</v>
      </c>
      <c r="J301" s="1" t="s">
        <v>579</v>
      </c>
      <c r="K301" s="1">
        <v>12</v>
      </c>
      <c r="M301" s="1" t="str">
        <f>VLOOKUP(D301,HORARIOS!B:H,7,0)</f>
        <v>Día 4</v>
      </c>
      <c r="N301" s="1">
        <f>VLOOKUP(D301,HORARIOS!B:I,8,0)</f>
        <v>22</v>
      </c>
      <c r="O301" s="1" t="str">
        <f>VLOOKUP(A301,HORARIOS!A:D,4,0)</f>
        <v>08:00 hrs</v>
      </c>
      <c r="P301" s="9" t="str">
        <f>VLOOKUP(A301,HORARIOS!A:E,5,0)</f>
        <v>12:30 hrs</v>
      </c>
    </row>
    <row r="302" spans="1:16" ht="15.75" customHeight="1" x14ac:dyDescent="0.25">
      <c r="A302" s="1" t="str">
        <f t="shared" si="0"/>
        <v>602322</v>
      </c>
      <c r="B302" s="1">
        <v>339</v>
      </c>
      <c r="C302" s="1">
        <v>14</v>
      </c>
      <c r="D302" s="1">
        <v>6023</v>
      </c>
      <c r="E302" s="1" t="s">
        <v>70</v>
      </c>
      <c r="F302" s="1" t="s">
        <v>36</v>
      </c>
      <c r="G302" s="1" t="s">
        <v>61</v>
      </c>
      <c r="H302" s="1" t="s">
        <v>62</v>
      </c>
      <c r="I302" s="1" t="s">
        <v>580</v>
      </c>
      <c r="J302" s="1" t="s">
        <v>580</v>
      </c>
      <c r="K302" s="1">
        <v>12</v>
      </c>
      <c r="L302" s="1" t="s">
        <v>64</v>
      </c>
      <c r="M302" s="1" t="str">
        <f>VLOOKUP(D302,HORARIOS!B:H,7,0)</f>
        <v>Día 4</v>
      </c>
      <c r="N302" s="1">
        <f>VLOOKUP(D302,HORARIOS!B:I,8,0)</f>
        <v>22</v>
      </c>
      <c r="O302" s="1" t="str">
        <f>VLOOKUP(A302,HORARIOS!A:D,4,0)</f>
        <v>08:00 hrs</v>
      </c>
      <c r="P302" s="9" t="str">
        <f>VLOOKUP(A302,HORARIOS!A:E,5,0)</f>
        <v>12:30 hrs</v>
      </c>
    </row>
    <row r="303" spans="1:16" ht="15.75" customHeight="1" x14ac:dyDescent="0.25">
      <c r="A303" s="1" t="str">
        <f t="shared" si="0"/>
        <v>602322</v>
      </c>
      <c r="B303" s="1">
        <v>340</v>
      </c>
      <c r="C303" s="1">
        <v>14</v>
      </c>
      <c r="D303" s="1">
        <v>6023</v>
      </c>
      <c r="E303" s="1" t="s">
        <v>70</v>
      </c>
      <c r="F303" s="1" t="s">
        <v>36</v>
      </c>
      <c r="G303" s="1" t="s">
        <v>72</v>
      </c>
      <c r="H303" s="1" t="s">
        <v>73</v>
      </c>
      <c r="I303" s="1" t="s">
        <v>581</v>
      </c>
      <c r="J303" s="1" t="s">
        <v>582</v>
      </c>
      <c r="K303" s="1">
        <v>12</v>
      </c>
      <c r="M303" s="1" t="str">
        <f>VLOOKUP(D303,HORARIOS!B:H,7,0)</f>
        <v>Día 4</v>
      </c>
      <c r="N303" s="1">
        <f>VLOOKUP(D303,HORARIOS!B:I,8,0)</f>
        <v>22</v>
      </c>
      <c r="O303" s="1" t="str">
        <f>VLOOKUP(A303,HORARIOS!A:D,4,0)</f>
        <v>08:00 hrs</v>
      </c>
      <c r="P303" s="9" t="str">
        <f>VLOOKUP(A303,HORARIOS!A:E,5,0)</f>
        <v>12:30 hrs</v>
      </c>
    </row>
    <row r="304" spans="1:16" ht="15.75" customHeight="1" x14ac:dyDescent="0.25">
      <c r="A304" s="1" t="str">
        <f t="shared" si="0"/>
        <v>602322</v>
      </c>
      <c r="B304" s="1">
        <v>341</v>
      </c>
      <c r="C304" s="1">
        <v>14</v>
      </c>
      <c r="D304" s="1">
        <v>6023</v>
      </c>
      <c r="E304" s="1" t="s">
        <v>70</v>
      </c>
      <c r="F304" s="1" t="s">
        <v>36</v>
      </c>
      <c r="G304" s="1" t="s">
        <v>88</v>
      </c>
      <c r="H304" s="1" t="s">
        <v>90</v>
      </c>
      <c r="I304" s="1" t="s">
        <v>583</v>
      </c>
      <c r="J304" s="1" t="s">
        <v>584</v>
      </c>
      <c r="K304" s="1">
        <v>12</v>
      </c>
      <c r="M304" s="1" t="str">
        <f>VLOOKUP(D304,HORARIOS!B:H,7,0)</f>
        <v>Día 4</v>
      </c>
      <c r="N304" s="1">
        <f>VLOOKUP(D304,HORARIOS!B:I,8,0)</f>
        <v>22</v>
      </c>
      <c r="O304" s="1" t="str">
        <f>VLOOKUP(A304,HORARIOS!A:D,4,0)</f>
        <v>08:00 hrs</v>
      </c>
      <c r="P304" s="9" t="str">
        <f>VLOOKUP(A304,HORARIOS!A:E,5,0)</f>
        <v>12:30 hrs</v>
      </c>
    </row>
    <row r="305" spans="1:16" ht="15.75" customHeight="1" x14ac:dyDescent="0.25">
      <c r="A305" s="1" t="str">
        <f t="shared" si="0"/>
        <v>602322</v>
      </c>
      <c r="B305" s="1">
        <v>342</v>
      </c>
      <c r="C305" s="1">
        <v>14</v>
      </c>
      <c r="D305" s="1">
        <v>6023</v>
      </c>
      <c r="E305" s="1" t="s">
        <v>70</v>
      </c>
      <c r="F305" s="1" t="s">
        <v>36</v>
      </c>
      <c r="G305" s="1" t="s">
        <v>96</v>
      </c>
      <c r="H305" s="1" t="s">
        <v>62</v>
      </c>
      <c r="I305" s="1" t="s">
        <v>585</v>
      </c>
      <c r="J305" s="1" t="s">
        <v>585</v>
      </c>
      <c r="K305" s="1">
        <v>12</v>
      </c>
      <c r="M305" s="1" t="str">
        <f>VLOOKUP(D305,HORARIOS!B:H,7,0)</f>
        <v>Día 4</v>
      </c>
      <c r="N305" s="1">
        <f>VLOOKUP(D305,HORARIOS!B:I,8,0)</f>
        <v>22</v>
      </c>
      <c r="O305" s="1" t="str">
        <f>VLOOKUP(A305,HORARIOS!A:D,4,0)</f>
        <v>08:00 hrs</v>
      </c>
      <c r="P305" s="9" t="str">
        <f>VLOOKUP(A305,HORARIOS!A:E,5,0)</f>
        <v>12:30 hrs</v>
      </c>
    </row>
    <row r="306" spans="1:16" ht="15.75" customHeight="1" x14ac:dyDescent="0.25">
      <c r="A306" s="1" t="str">
        <f t="shared" si="0"/>
        <v>602322</v>
      </c>
      <c r="B306" s="1">
        <v>343</v>
      </c>
      <c r="C306" s="1">
        <v>14</v>
      </c>
      <c r="D306" s="1">
        <v>6023</v>
      </c>
      <c r="E306" s="1" t="s">
        <v>70</v>
      </c>
      <c r="F306" s="1" t="s">
        <v>36</v>
      </c>
      <c r="G306" s="1" t="s">
        <v>98</v>
      </c>
      <c r="H306" s="1" t="s">
        <v>39</v>
      </c>
      <c r="I306" s="1" t="s">
        <v>586</v>
      </c>
      <c r="J306" s="1" t="s">
        <v>586</v>
      </c>
      <c r="K306" s="1">
        <v>12</v>
      </c>
      <c r="L306" s="1" t="s">
        <v>101</v>
      </c>
      <c r="M306" s="1" t="str">
        <f>VLOOKUP(D306,HORARIOS!B:H,7,0)</f>
        <v>Día 4</v>
      </c>
      <c r="N306" s="1">
        <f>VLOOKUP(D306,HORARIOS!B:I,8,0)</f>
        <v>22</v>
      </c>
      <c r="O306" s="1" t="str">
        <f>VLOOKUP(A306,HORARIOS!A:D,4,0)</f>
        <v>08:00 hrs</v>
      </c>
      <c r="P306" s="9" t="str">
        <f>VLOOKUP(A306,HORARIOS!A:E,5,0)</f>
        <v>12:30 hrs</v>
      </c>
    </row>
    <row r="307" spans="1:16" ht="15.75" customHeight="1" x14ac:dyDescent="0.25">
      <c r="A307" s="1" t="str">
        <f t="shared" si="0"/>
        <v>602322</v>
      </c>
      <c r="B307" s="1">
        <v>344</v>
      </c>
      <c r="C307" s="1">
        <v>14</v>
      </c>
      <c r="D307" s="1">
        <v>6023</v>
      </c>
      <c r="E307" s="1" t="s">
        <v>70</v>
      </c>
      <c r="F307" s="1" t="s">
        <v>36</v>
      </c>
      <c r="G307" s="1" t="s">
        <v>98</v>
      </c>
      <c r="H307" s="1" t="s">
        <v>39</v>
      </c>
      <c r="I307" s="1" t="s">
        <v>587</v>
      </c>
      <c r="J307" s="1" t="s">
        <v>587</v>
      </c>
      <c r="K307" s="1">
        <v>12</v>
      </c>
      <c r="L307" s="1" t="s">
        <v>101</v>
      </c>
      <c r="M307" s="1" t="str">
        <f>VLOOKUP(D307,HORARIOS!B:H,7,0)</f>
        <v>Día 4</v>
      </c>
      <c r="N307" s="1">
        <f>VLOOKUP(D307,HORARIOS!B:I,8,0)</f>
        <v>22</v>
      </c>
      <c r="O307" s="1" t="str">
        <f>VLOOKUP(A307,HORARIOS!A:D,4,0)</f>
        <v>08:00 hrs</v>
      </c>
      <c r="P307" s="9" t="str">
        <f>VLOOKUP(A307,HORARIOS!A:E,5,0)</f>
        <v>12:30 hrs</v>
      </c>
    </row>
    <row r="308" spans="1:16" ht="15.75" customHeight="1" x14ac:dyDescent="0.25">
      <c r="A308" s="1" t="str">
        <f t="shared" si="0"/>
        <v>602322</v>
      </c>
      <c r="B308" s="1">
        <v>345</v>
      </c>
      <c r="C308" s="1">
        <v>14</v>
      </c>
      <c r="D308" s="1">
        <v>6023</v>
      </c>
      <c r="E308" s="1" t="s">
        <v>70</v>
      </c>
      <c r="F308" s="1" t="s">
        <v>36</v>
      </c>
      <c r="G308" s="1" t="s">
        <v>98</v>
      </c>
      <c r="H308" s="1" t="s">
        <v>39</v>
      </c>
      <c r="I308" s="1" t="s">
        <v>588</v>
      </c>
      <c r="J308" s="1" t="s">
        <v>588</v>
      </c>
      <c r="K308" s="1">
        <v>12</v>
      </c>
      <c r="L308" s="1" t="s">
        <v>101</v>
      </c>
      <c r="M308" s="1" t="str">
        <f>VLOOKUP(D308,HORARIOS!B:H,7,0)</f>
        <v>Día 4</v>
      </c>
      <c r="N308" s="1">
        <f>VLOOKUP(D308,HORARIOS!B:I,8,0)</f>
        <v>22</v>
      </c>
      <c r="O308" s="1" t="str">
        <f>VLOOKUP(A308,HORARIOS!A:D,4,0)</f>
        <v>08:00 hrs</v>
      </c>
      <c r="P308" s="9" t="str">
        <f>VLOOKUP(A308,HORARIOS!A:E,5,0)</f>
        <v>12:30 hrs</v>
      </c>
    </row>
    <row r="309" spans="1:16" ht="15.75" customHeight="1" x14ac:dyDescent="0.25">
      <c r="A309" s="1" t="str">
        <f t="shared" si="0"/>
        <v>602322</v>
      </c>
      <c r="B309" s="1">
        <v>347</v>
      </c>
      <c r="C309" s="1">
        <v>14</v>
      </c>
      <c r="D309" s="1">
        <v>6023</v>
      </c>
      <c r="E309" s="1" t="s">
        <v>70</v>
      </c>
      <c r="F309" s="1" t="s">
        <v>36</v>
      </c>
      <c r="G309" s="1" t="s">
        <v>98</v>
      </c>
      <c r="H309" s="1" t="s">
        <v>39</v>
      </c>
      <c r="I309" s="1" t="s">
        <v>589</v>
      </c>
      <c r="J309" s="1" t="s">
        <v>589</v>
      </c>
      <c r="K309" s="1">
        <v>12</v>
      </c>
      <c r="L309" s="1" t="s">
        <v>101</v>
      </c>
      <c r="M309" s="1" t="str">
        <f>VLOOKUP(D309,HORARIOS!B:H,7,0)</f>
        <v>Día 4</v>
      </c>
      <c r="N309" s="1">
        <f>VLOOKUP(D309,HORARIOS!B:I,8,0)</f>
        <v>22</v>
      </c>
      <c r="O309" s="1" t="str">
        <f>VLOOKUP(A309,HORARIOS!A:D,4,0)</f>
        <v>08:00 hrs</v>
      </c>
      <c r="P309" s="9" t="str">
        <f>VLOOKUP(A309,HORARIOS!A:E,5,0)</f>
        <v>12:30 hrs</v>
      </c>
    </row>
    <row r="310" spans="1:16" ht="15.75" customHeight="1" x14ac:dyDescent="0.25">
      <c r="A310" s="1" t="str">
        <f t="shared" si="0"/>
        <v>602322</v>
      </c>
      <c r="B310" s="1">
        <v>348</v>
      </c>
      <c r="C310" s="1">
        <v>14</v>
      </c>
      <c r="D310" s="1">
        <v>6023</v>
      </c>
      <c r="E310" s="1" t="s">
        <v>70</v>
      </c>
      <c r="F310" s="1" t="s">
        <v>36</v>
      </c>
      <c r="G310" s="1" t="s">
        <v>114</v>
      </c>
      <c r="H310" s="1" t="s">
        <v>39</v>
      </c>
      <c r="I310" s="1" t="s">
        <v>52</v>
      </c>
      <c r="J310" s="1" t="s">
        <v>52</v>
      </c>
      <c r="K310" s="1">
        <v>2</v>
      </c>
      <c r="L310" s="1" t="s">
        <v>115</v>
      </c>
      <c r="M310" s="1" t="str">
        <f>VLOOKUP(D310,HORARIOS!B:H,7,0)</f>
        <v>Día 4</v>
      </c>
      <c r="N310" s="1">
        <f>VLOOKUP(D310,HORARIOS!B:I,8,0)</f>
        <v>22</v>
      </c>
      <c r="O310" s="1" t="str">
        <f>VLOOKUP(A310,HORARIOS!A:D,4,0)</f>
        <v>08:00 hrs</v>
      </c>
      <c r="P310" s="9" t="str">
        <f>VLOOKUP(A310,HORARIOS!A:E,5,0)</f>
        <v>12:30 hrs</v>
      </c>
    </row>
    <row r="311" spans="1:16" ht="15.75" customHeight="1" x14ac:dyDescent="0.25">
      <c r="A311" s="1" t="str">
        <f t="shared" si="0"/>
        <v>602322</v>
      </c>
      <c r="B311" s="1">
        <v>349</v>
      </c>
      <c r="C311" s="1">
        <v>14</v>
      </c>
      <c r="D311" s="1">
        <v>6023</v>
      </c>
      <c r="E311" s="1" t="s">
        <v>70</v>
      </c>
      <c r="F311" s="1" t="s">
        <v>36</v>
      </c>
      <c r="G311" s="1" t="s">
        <v>134</v>
      </c>
      <c r="H311" s="1" t="s">
        <v>135</v>
      </c>
      <c r="I311" s="1" t="s">
        <v>590</v>
      </c>
      <c r="J311" s="1" t="s">
        <v>591</v>
      </c>
      <c r="K311" s="1">
        <v>12</v>
      </c>
      <c r="L311" s="1" t="s">
        <v>138</v>
      </c>
      <c r="M311" s="1" t="str">
        <f>VLOOKUP(D311,HORARIOS!B:H,7,0)</f>
        <v>Día 4</v>
      </c>
      <c r="N311" s="1">
        <f>VLOOKUP(D311,HORARIOS!B:I,8,0)</f>
        <v>22</v>
      </c>
      <c r="O311" s="1" t="str">
        <f>VLOOKUP(A311,HORARIOS!A:D,4,0)</f>
        <v>08:00 hrs</v>
      </c>
      <c r="P311" s="9" t="str">
        <f>VLOOKUP(A311,HORARIOS!A:E,5,0)</f>
        <v>12:30 hrs</v>
      </c>
    </row>
    <row r="312" spans="1:16" ht="15.75" customHeight="1" x14ac:dyDescent="0.25">
      <c r="A312" s="1" t="str">
        <f t="shared" si="0"/>
        <v>602322</v>
      </c>
      <c r="B312" s="1">
        <v>350</v>
      </c>
      <c r="C312" s="1">
        <v>14</v>
      </c>
      <c r="D312" s="1">
        <v>6023</v>
      </c>
      <c r="E312" s="1" t="s">
        <v>70</v>
      </c>
      <c r="F312" s="1" t="s">
        <v>36</v>
      </c>
      <c r="G312" s="1" t="s">
        <v>145</v>
      </c>
      <c r="H312" s="1" t="s">
        <v>52</v>
      </c>
      <c r="I312" s="1" t="s">
        <v>592</v>
      </c>
      <c r="J312" s="1" t="s">
        <v>593</v>
      </c>
      <c r="K312" s="1">
        <v>12</v>
      </c>
      <c r="M312" s="1" t="str">
        <f>VLOOKUP(D312,HORARIOS!B:H,7,0)</f>
        <v>Día 4</v>
      </c>
      <c r="N312" s="1">
        <f>VLOOKUP(D312,HORARIOS!B:I,8,0)</f>
        <v>22</v>
      </c>
      <c r="O312" s="1" t="str">
        <f>VLOOKUP(A312,HORARIOS!A:D,4,0)</f>
        <v>08:00 hrs</v>
      </c>
      <c r="P312" s="9" t="str">
        <f>VLOOKUP(A312,HORARIOS!A:E,5,0)</f>
        <v>12:30 hrs</v>
      </c>
    </row>
    <row r="313" spans="1:16" ht="15.75" customHeight="1" x14ac:dyDescent="0.25">
      <c r="A313" s="1" t="str">
        <f t="shared" si="0"/>
        <v>602322</v>
      </c>
      <c r="B313" s="1">
        <v>351</v>
      </c>
      <c r="C313" s="1">
        <v>14</v>
      </c>
      <c r="D313" s="1">
        <v>6023</v>
      </c>
      <c r="E313" s="1" t="s">
        <v>70</v>
      </c>
      <c r="F313" s="1" t="s">
        <v>36</v>
      </c>
      <c r="G313" s="1" t="s">
        <v>159</v>
      </c>
      <c r="H313" s="1" t="s">
        <v>160</v>
      </c>
      <c r="I313" s="1" t="s">
        <v>594</v>
      </c>
      <c r="J313" s="1" t="s">
        <v>594</v>
      </c>
      <c r="K313" s="1">
        <v>12</v>
      </c>
      <c r="M313" s="1" t="str">
        <f>VLOOKUP(D313,HORARIOS!B:H,7,0)</f>
        <v>Día 4</v>
      </c>
      <c r="N313" s="1">
        <f>VLOOKUP(D313,HORARIOS!B:I,8,0)</f>
        <v>22</v>
      </c>
      <c r="O313" s="1" t="str">
        <f>VLOOKUP(A313,HORARIOS!A:D,4,0)</f>
        <v>08:00 hrs</v>
      </c>
      <c r="P313" s="9" t="str">
        <f>VLOOKUP(A313,HORARIOS!A:E,5,0)</f>
        <v>12:30 hrs</v>
      </c>
    </row>
    <row r="314" spans="1:16" ht="15.75" customHeight="1" x14ac:dyDescent="0.25">
      <c r="A314" s="1" t="str">
        <f t="shared" si="0"/>
        <v>602433</v>
      </c>
      <c r="B314" s="1">
        <v>352</v>
      </c>
      <c r="C314" s="1">
        <v>13</v>
      </c>
      <c r="D314" s="1">
        <v>6024</v>
      </c>
      <c r="E314" s="1" t="s">
        <v>71</v>
      </c>
      <c r="F314" s="1" t="s">
        <v>36</v>
      </c>
      <c r="G314" s="1" t="s">
        <v>37</v>
      </c>
      <c r="H314" s="1" t="s">
        <v>39</v>
      </c>
      <c r="I314" s="1" t="s">
        <v>595</v>
      </c>
      <c r="J314" s="1" t="s">
        <v>596</v>
      </c>
      <c r="K314" s="1">
        <v>12</v>
      </c>
      <c r="L314" s="1" t="s">
        <v>41</v>
      </c>
      <c r="M314" s="1" t="str">
        <f>VLOOKUP(D314,HORARIOS!B:H,7,0)</f>
        <v>Día 6</v>
      </c>
      <c r="N314" s="1">
        <f>VLOOKUP(D314,HORARIOS!B:I,8,0)</f>
        <v>33</v>
      </c>
      <c r="O314" s="1" t="str">
        <f>VLOOKUP(A314,HORARIOS!A:D,4,0)</f>
        <v>09:00 hrs</v>
      </c>
      <c r="P314" s="1" t="str">
        <f>VLOOKUP(A314,HORARIOS!A:E,5,0)</f>
        <v>13:00 hrs</v>
      </c>
    </row>
    <row r="315" spans="1:16" ht="15.75" customHeight="1" x14ac:dyDescent="0.25">
      <c r="A315" s="1" t="str">
        <f t="shared" si="0"/>
        <v>602433</v>
      </c>
      <c r="B315" s="1">
        <v>353</v>
      </c>
      <c r="C315" s="1">
        <v>13</v>
      </c>
      <c r="D315" s="1">
        <v>6024</v>
      </c>
      <c r="E315" s="1" t="s">
        <v>71</v>
      </c>
      <c r="F315" s="1" t="s">
        <v>36</v>
      </c>
      <c r="G315" s="1" t="s">
        <v>51</v>
      </c>
      <c r="H315" s="1" t="s">
        <v>52</v>
      </c>
      <c r="I315" s="1" t="s">
        <v>597</v>
      </c>
      <c r="J315" s="1" t="s">
        <v>598</v>
      </c>
      <c r="K315" s="1">
        <v>12</v>
      </c>
      <c r="M315" s="1" t="str">
        <f>VLOOKUP(D315,HORARIOS!B:H,7,0)</f>
        <v>Día 6</v>
      </c>
      <c r="N315" s="1">
        <f>VLOOKUP(D315,HORARIOS!B:I,8,0)</f>
        <v>33</v>
      </c>
      <c r="O315" s="1" t="str">
        <f>VLOOKUP(A315,HORARIOS!A:D,4,0)</f>
        <v>09:00 hrs</v>
      </c>
      <c r="P315" s="1" t="str">
        <f>VLOOKUP(A315,HORARIOS!A:E,5,0)</f>
        <v>13:00 hrs</v>
      </c>
    </row>
    <row r="316" spans="1:16" ht="15.75" customHeight="1" x14ac:dyDescent="0.25">
      <c r="A316" s="1" t="str">
        <f t="shared" si="0"/>
        <v>602433</v>
      </c>
      <c r="B316" s="1">
        <v>355</v>
      </c>
      <c r="C316" s="1">
        <v>13</v>
      </c>
      <c r="D316" s="1">
        <v>6024</v>
      </c>
      <c r="E316" s="1" t="s">
        <v>71</v>
      </c>
      <c r="F316" s="1" t="s">
        <v>36</v>
      </c>
      <c r="G316" s="1" t="s">
        <v>61</v>
      </c>
      <c r="H316" s="1" t="s">
        <v>62</v>
      </c>
      <c r="I316" s="1" t="s">
        <v>599</v>
      </c>
      <c r="J316" s="1" t="s">
        <v>599</v>
      </c>
      <c r="K316" s="1">
        <v>12</v>
      </c>
      <c r="L316" s="1" t="s">
        <v>64</v>
      </c>
      <c r="M316" s="1" t="str">
        <f>VLOOKUP(D316,HORARIOS!B:H,7,0)</f>
        <v>Día 6</v>
      </c>
      <c r="N316" s="1">
        <f>VLOOKUP(D316,HORARIOS!B:I,8,0)</f>
        <v>33</v>
      </c>
      <c r="O316" s="1" t="str">
        <f>VLOOKUP(A316,HORARIOS!A:D,4,0)</f>
        <v>09:00 hrs</v>
      </c>
      <c r="P316" s="1" t="str">
        <f>VLOOKUP(A316,HORARIOS!A:E,5,0)</f>
        <v>13:00 hrs</v>
      </c>
    </row>
    <row r="317" spans="1:16" ht="15.75" customHeight="1" x14ac:dyDescent="0.25">
      <c r="A317" s="1" t="str">
        <f t="shared" si="0"/>
        <v>602433</v>
      </c>
      <c r="B317" s="1">
        <v>356</v>
      </c>
      <c r="C317" s="1">
        <v>13</v>
      </c>
      <c r="D317" s="1">
        <v>6024</v>
      </c>
      <c r="E317" s="1" t="s">
        <v>71</v>
      </c>
      <c r="F317" s="1" t="s">
        <v>36</v>
      </c>
      <c r="G317" s="1" t="s">
        <v>72</v>
      </c>
      <c r="H317" s="1" t="s">
        <v>73</v>
      </c>
      <c r="I317" s="1" t="s">
        <v>600</v>
      </c>
      <c r="J317" s="1" t="s">
        <v>601</v>
      </c>
      <c r="K317" s="1">
        <v>12</v>
      </c>
      <c r="M317" s="1" t="str">
        <f>VLOOKUP(D317,HORARIOS!B:H,7,0)</f>
        <v>Día 6</v>
      </c>
      <c r="N317" s="1">
        <f>VLOOKUP(D317,HORARIOS!B:I,8,0)</f>
        <v>33</v>
      </c>
      <c r="O317" s="1" t="str">
        <f>VLOOKUP(A317,HORARIOS!A:D,4,0)</f>
        <v>09:00 hrs</v>
      </c>
      <c r="P317" s="1" t="str">
        <f>VLOOKUP(A317,HORARIOS!A:E,5,0)</f>
        <v>13:00 hrs</v>
      </c>
    </row>
    <row r="318" spans="1:16" ht="15.75" customHeight="1" x14ac:dyDescent="0.25">
      <c r="A318" s="1" t="str">
        <f t="shared" si="0"/>
        <v>602433</v>
      </c>
      <c r="B318" s="1">
        <v>357</v>
      </c>
      <c r="C318" s="1">
        <v>13</v>
      </c>
      <c r="D318" s="1">
        <v>6024</v>
      </c>
      <c r="E318" s="1" t="s">
        <v>71</v>
      </c>
      <c r="F318" s="1" t="s">
        <v>36</v>
      </c>
      <c r="G318" s="1" t="s">
        <v>88</v>
      </c>
      <c r="H318" s="1" t="s">
        <v>90</v>
      </c>
      <c r="I318" s="1" t="s">
        <v>602</v>
      </c>
      <c r="J318" s="1" t="s">
        <v>603</v>
      </c>
      <c r="K318" s="1">
        <v>12</v>
      </c>
      <c r="M318" s="1" t="str">
        <f>VLOOKUP(D318,HORARIOS!B:H,7,0)</f>
        <v>Día 6</v>
      </c>
      <c r="N318" s="1">
        <f>VLOOKUP(D318,HORARIOS!B:I,8,0)</f>
        <v>33</v>
      </c>
      <c r="O318" s="1" t="str">
        <f>VLOOKUP(A318,HORARIOS!A:D,4,0)</f>
        <v>09:00 hrs</v>
      </c>
      <c r="P318" s="1" t="str">
        <f>VLOOKUP(A318,HORARIOS!A:E,5,0)</f>
        <v>13:00 hrs</v>
      </c>
    </row>
    <row r="319" spans="1:16" ht="15.75" customHeight="1" x14ac:dyDescent="0.25">
      <c r="A319" s="1" t="str">
        <f t="shared" si="0"/>
        <v>602433</v>
      </c>
      <c r="B319" s="1">
        <v>358</v>
      </c>
      <c r="C319" s="1">
        <v>13</v>
      </c>
      <c r="D319" s="1">
        <v>6024</v>
      </c>
      <c r="E319" s="1" t="s">
        <v>71</v>
      </c>
      <c r="F319" s="1" t="s">
        <v>36</v>
      </c>
      <c r="G319" s="1" t="s">
        <v>96</v>
      </c>
      <c r="H319" s="1" t="s">
        <v>62</v>
      </c>
      <c r="I319" s="1" t="s">
        <v>604</v>
      </c>
      <c r="J319" s="1" t="s">
        <v>604</v>
      </c>
      <c r="K319" s="1">
        <v>12</v>
      </c>
      <c r="M319" s="1" t="str">
        <f>VLOOKUP(D319,HORARIOS!B:H,7,0)</f>
        <v>Día 6</v>
      </c>
      <c r="N319" s="1">
        <f>VLOOKUP(D319,HORARIOS!B:I,8,0)</f>
        <v>33</v>
      </c>
      <c r="O319" s="1" t="str">
        <f>VLOOKUP(A319,HORARIOS!A:D,4,0)</f>
        <v>09:00 hrs</v>
      </c>
      <c r="P319" s="1" t="str">
        <f>VLOOKUP(A319,HORARIOS!A:E,5,0)</f>
        <v>13:00 hrs</v>
      </c>
    </row>
    <row r="320" spans="1:16" ht="15.75" customHeight="1" x14ac:dyDescent="0.25">
      <c r="A320" s="1" t="str">
        <f t="shared" si="0"/>
        <v>602433</v>
      </c>
      <c r="B320" s="1">
        <v>359</v>
      </c>
      <c r="C320" s="1">
        <v>13</v>
      </c>
      <c r="D320" s="1">
        <v>6024</v>
      </c>
      <c r="E320" s="1" t="s">
        <v>71</v>
      </c>
      <c r="F320" s="1" t="s">
        <v>36</v>
      </c>
      <c r="G320" s="1" t="s">
        <v>98</v>
      </c>
      <c r="H320" s="1" t="s">
        <v>39</v>
      </c>
      <c r="I320" s="1" t="s">
        <v>605</v>
      </c>
      <c r="J320" s="1" t="s">
        <v>605</v>
      </c>
      <c r="K320" s="1">
        <v>12</v>
      </c>
      <c r="L320" s="1" t="s">
        <v>101</v>
      </c>
      <c r="M320" s="1" t="str">
        <f>VLOOKUP(D320,HORARIOS!B:H,7,0)</f>
        <v>Día 6</v>
      </c>
      <c r="N320" s="1">
        <f>VLOOKUP(D320,HORARIOS!B:I,8,0)</f>
        <v>33</v>
      </c>
      <c r="O320" s="1" t="str">
        <f>VLOOKUP(A320,HORARIOS!A:D,4,0)</f>
        <v>09:00 hrs</v>
      </c>
      <c r="P320" s="1" t="str">
        <f>VLOOKUP(A320,HORARIOS!A:E,5,0)</f>
        <v>13:00 hrs</v>
      </c>
    </row>
    <row r="321" spans="1:16" ht="15.75" customHeight="1" x14ac:dyDescent="0.25">
      <c r="A321" s="1" t="str">
        <f t="shared" si="0"/>
        <v>602433</v>
      </c>
      <c r="B321" s="1">
        <v>360</v>
      </c>
      <c r="C321" s="1">
        <v>13</v>
      </c>
      <c r="D321" s="1">
        <v>6024</v>
      </c>
      <c r="E321" s="1" t="s">
        <v>71</v>
      </c>
      <c r="F321" s="1" t="s">
        <v>36</v>
      </c>
      <c r="G321" s="1" t="s">
        <v>98</v>
      </c>
      <c r="H321" s="1" t="s">
        <v>39</v>
      </c>
      <c r="I321" s="1" t="s">
        <v>606</v>
      </c>
      <c r="J321" s="1" t="s">
        <v>606</v>
      </c>
      <c r="K321" s="1">
        <v>12</v>
      </c>
      <c r="L321" s="1" t="s">
        <v>101</v>
      </c>
      <c r="M321" s="1" t="str">
        <f>VLOOKUP(D321,HORARIOS!B:H,7,0)</f>
        <v>Día 6</v>
      </c>
      <c r="N321" s="1">
        <f>VLOOKUP(D321,HORARIOS!B:I,8,0)</f>
        <v>33</v>
      </c>
      <c r="O321" s="1" t="str">
        <f>VLOOKUP(A321,HORARIOS!A:D,4,0)</f>
        <v>09:00 hrs</v>
      </c>
      <c r="P321" s="1" t="str">
        <f>VLOOKUP(A321,HORARIOS!A:E,5,0)</f>
        <v>13:00 hrs</v>
      </c>
    </row>
    <row r="322" spans="1:16" ht="15.75" customHeight="1" x14ac:dyDescent="0.25">
      <c r="A322" s="1" t="str">
        <f t="shared" si="0"/>
        <v>602433</v>
      </c>
      <c r="B322" s="1">
        <v>361</v>
      </c>
      <c r="C322" s="1">
        <v>13</v>
      </c>
      <c r="D322" s="1">
        <v>6024</v>
      </c>
      <c r="E322" s="1" t="s">
        <v>71</v>
      </c>
      <c r="F322" s="1" t="s">
        <v>36</v>
      </c>
      <c r="G322" s="1" t="s">
        <v>98</v>
      </c>
      <c r="H322" s="1" t="s">
        <v>39</v>
      </c>
      <c r="I322" s="1" t="s">
        <v>607</v>
      </c>
      <c r="J322" s="1" t="s">
        <v>607</v>
      </c>
      <c r="K322" s="1">
        <v>12</v>
      </c>
      <c r="L322" s="1" t="s">
        <v>101</v>
      </c>
      <c r="M322" s="1" t="str">
        <f>VLOOKUP(D322,HORARIOS!B:H,7,0)</f>
        <v>Día 6</v>
      </c>
      <c r="N322" s="1">
        <f>VLOOKUP(D322,HORARIOS!B:I,8,0)</f>
        <v>33</v>
      </c>
      <c r="O322" s="1" t="str">
        <f>VLOOKUP(A322,HORARIOS!A:D,4,0)</f>
        <v>09:00 hrs</v>
      </c>
      <c r="P322" s="1" t="str">
        <f>VLOOKUP(A322,HORARIOS!A:E,5,0)</f>
        <v>13:00 hrs</v>
      </c>
    </row>
    <row r="323" spans="1:16" ht="15.75" customHeight="1" x14ac:dyDescent="0.25">
      <c r="A323" s="1" t="str">
        <f t="shared" si="0"/>
        <v>602433</v>
      </c>
      <c r="B323" s="1">
        <v>363</v>
      </c>
      <c r="C323" s="1">
        <v>13</v>
      </c>
      <c r="D323" s="1">
        <v>6024</v>
      </c>
      <c r="E323" s="1" t="s">
        <v>71</v>
      </c>
      <c r="F323" s="1" t="s">
        <v>36</v>
      </c>
      <c r="G323" s="1" t="s">
        <v>114</v>
      </c>
      <c r="H323" s="1" t="s">
        <v>39</v>
      </c>
      <c r="I323" s="1" t="s">
        <v>52</v>
      </c>
      <c r="J323" s="1" t="s">
        <v>52</v>
      </c>
      <c r="K323" s="1">
        <v>2</v>
      </c>
      <c r="L323" s="1" t="s">
        <v>115</v>
      </c>
      <c r="M323" s="1" t="str">
        <f>VLOOKUP(D323,HORARIOS!B:H,7,0)</f>
        <v>Día 6</v>
      </c>
      <c r="N323" s="1">
        <f>VLOOKUP(D323,HORARIOS!B:I,8,0)</f>
        <v>33</v>
      </c>
      <c r="O323" s="1" t="str">
        <f>VLOOKUP(A323,HORARIOS!A:D,4,0)</f>
        <v>09:00 hrs</v>
      </c>
      <c r="P323" s="1" t="str">
        <f>VLOOKUP(A323,HORARIOS!A:E,5,0)</f>
        <v>13:00 hrs</v>
      </c>
    </row>
    <row r="324" spans="1:16" ht="15.75" customHeight="1" x14ac:dyDescent="0.25">
      <c r="A324" s="1" t="str">
        <f t="shared" si="0"/>
        <v>602433</v>
      </c>
      <c r="B324" s="1">
        <v>364</v>
      </c>
      <c r="C324" s="1">
        <v>13</v>
      </c>
      <c r="D324" s="1">
        <v>6024</v>
      </c>
      <c r="E324" s="1" t="s">
        <v>71</v>
      </c>
      <c r="F324" s="1" t="s">
        <v>36</v>
      </c>
      <c r="G324" s="1" t="s">
        <v>134</v>
      </c>
      <c r="H324" s="1" t="s">
        <v>135</v>
      </c>
      <c r="I324" s="1" t="s">
        <v>608</v>
      </c>
      <c r="J324" s="1" t="s">
        <v>609</v>
      </c>
      <c r="K324" s="1">
        <v>12</v>
      </c>
      <c r="L324" s="1" t="s">
        <v>138</v>
      </c>
      <c r="M324" s="1" t="str">
        <f>VLOOKUP(D324,HORARIOS!B:H,7,0)</f>
        <v>Día 6</v>
      </c>
      <c r="N324" s="1">
        <f>VLOOKUP(D324,HORARIOS!B:I,8,0)</f>
        <v>33</v>
      </c>
      <c r="O324" s="1" t="str">
        <f>VLOOKUP(A324,HORARIOS!A:D,4,0)</f>
        <v>09:00 hrs</v>
      </c>
      <c r="P324" s="1" t="str">
        <f>VLOOKUP(A324,HORARIOS!A:E,5,0)</f>
        <v>13:00 hrs</v>
      </c>
    </row>
    <row r="325" spans="1:16" ht="15.75" customHeight="1" x14ac:dyDescent="0.25">
      <c r="A325" s="1" t="str">
        <f t="shared" si="0"/>
        <v>602433</v>
      </c>
      <c r="B325" s="1">
        <v>365</v>
      </c>
      <c r="C325" s="1">
        <v>13</v>
      </c>
      <c r="D325" s="1">
        <v>6024</v>
      </c>
      <c r="E325" s="1" t="s">
        <v>71</v>
      </c>
      <c r="F325" s="1" t="s">
        <v>36</v>
      </c>
      <c r="G325" s="1" t="s">
        <v>145</v>
      </c>
      <c r="H325" s="1" t="s">
        <v>52</v>
      </c>
      <c r="I325" s="1" t="s">
        <v>610</v>
      </c>
      <c r="J325" s="1" t="s">
        <v>611</v>
      </c>
      <c r="K325" s="1">
        <v>12</v>
      </c>
      <c r="M325" s="1" t="str">
        <f>VLOOKUP(D325,HORARIOS!B:H,7,0)</f>
        <v>Día 6</v>
      </c>
      <c r="N325" s="1">
        <f>VLOOKUP(D325,HORARIOS!B:I,8,0)</f>
        <v>33</v>
      </c>
      <c r="O325" s="1" t="str">
        <f>VLOOKUP(A325,HORARIOS!A:D,4,0)</f>
        <v>09:00 hrs</v>
      </c>
      <c r="P325" s="1" t="str">
        <f>VLOOKUP(A325,HORARIOS!A:E,5,0)</f>
        <v>13:00 hrs</v>
      </c>
    </row>
    <row r="326" spans="1:16" ht="15.75" customHeight="1" x14ac:dyDescent="0.25">
      <c r="A326" s="1" t="str">
        <f t="shared" si="0"/>
        <v>602433</v>
      </c>
      <c r="B326" s="1">
        <v>366</v>
      </c>
      <c r="C326" s="1">
        <v>13</v>
      </c>
      <c r="D326" s="1">
        <v>6024</v>
      </c>
      <c r="E326" s="1" t="s">
        <v>71</v>
      </c>
      <c r="F326" s="1" t="s">
        <v>36</v>
      </c>
      <c r="G326" s="1" t="s">
        <v>159</v>
      </c>
      <c r="H326" s="1" t="s">
        <v>160</v>
      </c>
      <c r="I326" s="1" t="s">
        <v>612</v>
      </c>
      <c r="J326" s="1" t="s">
        <v>613</v>
      </c>
      <c r="K326" s="1">
        <v>12</v>
      </c>
      <c r="M326" s="1" t="str">
        <f>VLOOKUP(D326,HORARIOS!B:H,7,0)</f>
        <v>Día 6</v>
      </c>
      <c r="N326" s="1">
        <f>VLOOKUP(D326,HORARIOS!B:I,8,0)</f>
        <v>33</v>
      </c>
      <c r="O326" s="1" t="str">
        <f>VLOOKUP(A326,HORARIOS!A:D,4,0)</f>
        <v>09:00 hrs</v>
      </c>
      <c r="P326" s="1" t="str">
        <f>VLOOKUP(A326,HORARIOS!A:E,5,0)</f>
        <v>13:00 hrs</v>
      </c>
    </row>
    <row r="327" spans="1:16" ht="15.75" customHeight="1" x14ac:dyDescent="0.25"/>
    <row r="328" spans="1:16" ht="15.75" customHeight="1" x14ac:dyDescent="0.25"/>
    <row r="329" spans="1:16" ht="15.75" customHeight="1" x14ac:dyDescent="0.25"/>
    <row r="330" spans="1:16" ht="15.75" customHeight="1" x14ac:dyDescent="0.25"/>
    <row r="331" spans="1:16" ht="15.75" customHeight="1" x14ac:dyDescent="0.25"/>
    <row r="332" spans="1:16" ht="15.75" customHeight="1" x14ac:dyDescent="0.25"/>
    <row r="333" spans="1:16" ht="15.75" customHeight="1" x14ac:dyDescent="0.25"/>
    <row r="334" spans="1:16" ht="15.75" customHeight="1" x14ac:dyDescent="0.25"/>
    <row r="335" spans="1:16" ht="15.75" customHeight="1" x14ac:dyDescent="0.25"/>
    <row r="336" spans="1:1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</sheetData>
  <autoFilter ref="A5:P326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56"/>
  <sheetViews>
    <sheetView tabSelected="1" topLeftCell="A638" workbookViewId="0">
      <selection activeCell="A557" sqref="A557:E558"/>
    </sheetView>
  </sheetViews>
  <sheetFormatPr baseColWidth="10" defaultRowHeight="15" x14ac:dyDescent="0.25"/>
  <cols>
    <col min="1" max="1" width="5.140625" style="128" customWidth="1"/>
    <col min="2" max="2" width="27.140625" style="128" customWidth="1"/>
    <col min="3" max="3" width="13.140625" style="128" bestFit="1" customWidth="1"/>
    <col min="4" max="4" width="18.7109375" style="128" customWidth="1"/>
    <col min="5" max="5" width="77.140625" style="128" customWidth="1"/>
    <col min="6" max="16384" width="11.42578125" style="128"/>
  </cols>
  <sheetData>
    <row r="2" spans="1:12" ht="15.75" x14ac:dyDescent="0.25">
      <c r="E2" s="129" t="s">
        <v>2</v>
      </c>
      <c r="F2" s="130"/>
      <c r="G2" s="130"/>
      <c r="H2" s="130"/>
      <c r="I2" s="130"/>
      <c r="J2" s="130"/>
      <c r="K2" s="130"/>
      <c r="L2" s="130"/>
    </row>
    <row r="3" spans="1:12" ht="15.75" x14ac:dyDescent="0.25">
      <c r="E3" s="129" t="s">
        <v>3</v>
      </c>
      <c r="F3" s="130"/>
      <c r="G3" s="130"/>
      <c r="H3" s="130"/>
      <c r="I3" s="130"/>
      <c r="J3" s="130"/>
      <c r="K3" s="130"/>
      <c r="L3" s="130"/>
    </row>
    <row r="4" spans="1:12" ht="15.75" x14ac:dyDescent="0.25">
      <c r="E4" s="131" t="s">
        <v>7</v>
      </c>
      <c r="F4" s="132"/>
      <c r="G4" s="132"/>
      <c r="H4" s="132"/>
      <c r="I4" s="132"/>
      <c r="J4" s="132"/>
      <c r="K4" s="132"/>
      <c r="L4" s="132"/>
    </row>
    <row r="5" spans="1:12" x14ac:dyDescent="0.25">
      <c r="E5" s="133" t="s">
        <v>624</v>
      </c>
    </row>
    <row r="6" spans="1:12" ht="12" customHeight="1" x14ac:dyDescent="0.25">
      <c r="A6" s="142" t="str">
        <f>VLOOKUP(A9,[1]BD!C:D,2,0)</f>
        <v>Chalco de Diaz Covarrubias</v>
      </c>
      <c r="B6" s="142"/>
      <c r="C6" s="142"/>
      <c r="D6" s="142"/>
      <c r="E6" s="142"/>
    </row>
    <row r="7" spans="1:12" x14ac:dyDescent="0.25">
      <c r="A7" s="142"/>
      <c r="B7" s="142"/>
      <c r="C7" s="142"/>
      <c r="D7" s="142"/>
      <c r="E7" s="142"/>
    </row>
    <row r="8" spans="1:12" x14ac:dyDescent="0.25">
      <c r="A8" s="143" t="s">
        <v>21</v>
      </c>
      <c r="B8" s="143"/>
      <c r="C8" s="143"/>
      <c r="D8" s="143"/>
      <c r="E8" s="134" t="s">
        <v>23</v>
      </c>
    </row>
    <row r="9" spans="1:12" ht="34.5" customHeight="1" x14ac:dyDescent="0.25">
      <c r="A9" s="144">
        <v>6001</v>
      </c>
      <c r="B9" s="144"/>
      <c r="C9" s="144"/>
      <c r="D9" s="144"/>
      <c r="E9" s="135"/>
    </row>
    <row r="10" spans="1:12" ht="16.5" customHeight="1" x14ac:dyDescent="0.25">
      <c r="A10" s="136" t="s">
        <v>625</v>
      </c>
      <c r="B10" s="136" t="s">
        <v>24</v>
      </c>
      <c r="C10" s="136" t="s">
        <v>25</v>
      </c>
      <c r="D10" s="136" t="s">
        <v>626</v>
      </c>
      <c r="E10" s="136" t="s">
        <v>30</v>
      </c>
    </row>
    <row r="11" spans="1:12" ht="16.5" customHeight="1" x14ac:dyDescent="0.25">
      <c r="A11" s="136">
        <v>1</v>
      </c>
      <c r="B11" s="137" t="s">
        <v>37</v>
      </c>
      <c r="C11" s="137" t="s">
        <v>39</v>
      </c>
      <c r="D11" s="138" t="s">
        <v>40</v>
      </c>
      <c r="E11" s="135" t="s">
        <v>41</v>
      </c>
      <c r="F11" s="128" t="s">
        <v>627</v>
      </c>
      <c r="H11" s="128" t="s">
        <v>628</v>
      </c>
      <c r="J11" s="128" t="s">
        <v>629</v>
      </c>
    </row>
    <row r="12" spans="1:12" ht="16.5" customHeight="1" x14ac:dyDescent="0.25">
      <c r="A12" s="136">
        <v>2</v>
      </c>
      <c r="B12" s="137" t="s">
        <v>51</v>
      </c>
      <c r="C12" s="137" t="s">
        <v>52</v>
      </c>
      <c r="D12" s="138" t="s">
        <v>54</v>
      </c>
      <c r="E12" s="135"/>
    </row>
    <row r="13" spans="1:12" ht="16.5" customHeight="1" x14ac:dyDescent="0.25">
      <c r="A13" s="136">
        <v>3</v>
      </c>
      <c r="B13" s="137" t="s">
        <v>61</v>
      </c>
      <c r="C13" s="137" t="s">
        <v>62</v>
      </c>
      <c r="D13" s="138" t="s">
        <v>63</v>
      </c>
      <c r="E13" s="135" t="s">
        <v>64</v>
      </c>
    </row>
    <row r="14" spans="1:12" ht="16.5" customHeight="1" x14ac:dyDescent="0.25">
      <c r="A14" s="136">
        <v>4</v>
      </c>
      <c r="B14" s="137" t="s">
        <v>72</v>
      </c>
      <c r="C14" s="137" t="s">
        <v>73</v>
      </c>
      <c r="D14" s="138" t="s">
        <v>74</v>
      </c>
      <c r="E14" s="135"/>
    </row>
    <row r="15" spans="1:12" ht="16.5" customHeight="1" x14ac:dyDescent="0.25">
      <c r="A15" s="136">
        <v>5</v>
      </c>
      <c r="B15" s="137" t="s">
        <v>88</v>
      </c>
      <c r="C15" s="137" t="s">
        <v>90</v>
      </c>
      <c r="D15" s="138" t="s">
        <v>93</v>
      </c>
      <c r="E15" s="135"/>
    </row>
    <row r="16" spans="1:12" ht="16.5" customHeight="1" x14ac:dyDescent="0.25">
      <c r="A16" s="136">
        <v>6</v>
      </c>
      <c r="B16" s="137" t="s">
        <v>96</v>
      </c>
      <c r="C16" s="137" t="s">
        <v>62</v>
      </c>
      <c r="D16" s="138" t="s">
        <v>97</v>
      </c>
      <c r="E16" s="135"/>
    </row>
    <row r="17" spans="1:5" ht="16.5" customHeight="1" x14ac:dyDescent="0.25">
      <c r="A17" s="136">
        <v>7</v>
      </c>
      <c r="B17" s="137" t="s">
        <v>98</v>
      </c>
      <c r="C17" s="137" t="s">
        <v>99</v>
      </c>
      <c r="D17" s="138" t="s">
        <v>100</v>
      </c>
      <c r="E17" s="135" t="s">
        <v>101</v>
      </c>
    </row>
    <row r="18" spans="1:5" ht="16.5" customHeight="1" x14ac:dyDescent="0.25">
      <c r="A18" s="136">
        <v>8</v>
      </c>
      <c r="B18" s="137" t="s">
        <v>98</v>
      </c>
      <c r="C18" s="137" t="s">
        <v>99</v>
      </c>
      <c r="D18" s="138" t="s">
        <v>102</v>
      </c>
      <c r="E18" s="135" t="s">
        <v>101</v>
      </c>
    </row>
    <row r="19" spans="1:5" ht="16.5" customHeight="1" x14ac:dyDescent="0.25">
      <c r="A19" s="136">
        <v>9</v>
      </c>
      <c r="B19" s="137" t="s">
        <v>98</v>
      </c>
      <c r="C19" s="137" t="s">
        <v>99</v>
      </c>
      <c r="D19" s="138" t="s">
        <v>103</v>
      </c>
      <c r="E19" s="135" t="s">
        <v>101</v>
      </c>
    </row>
    <row r="20" spans="1:5" ht="16.5" customHeight="1" x14ac:dyDescent="0.25">
      <c r="A20" s="136">
        <v>10</v>
      </c>
      <c r="B20" s="137" t="s">
        <v>114</v>
      </c>
      <c r="C20" s="137" t="s">
        <v>39</v>
      </c>
      <c r="D20" s="138" t="s">
        <v>52</v>
      </c>
      <c r="E20" s="135" t="s">
        <v>115</v>
      </c>
    </row>
    <row r="21" spans="1:5" ht="29.25" customHeight="1" x14ac:dyDescent="0.25">
      <c r="A21" s="136">
        <v>11</v>
      </c>
      <c r="B21" s="137" t="s">
        <v>134</v>
      </c>
      <c r="C21" s="137" t="s">
        <v>135</v>
      </c>
      <c r="D21" s="138" t="s">
        <v>137</v>
      </c>
      <c r="E21" s="139" t="s">
        <v>138</v>
      </c>
    </row>
    <row r="22" spans="1:5" ht="16.5" customHeight="1" x14ac:dyDescent="0.25">
      <c r="A22" s="136">
        <v>12</v>
      </c>
      <c r="B22" s="137" t="s">
        <v>145</v>
      </c>
      <c r="C22" s="137" t="s">
        <v>52</v>
      </c>
      <c r="D22" s="138" t="s">
        <v>147</v>
      </c>
      <c r="E22" s="135"/>
    </row>
    <row r="23" spans="1:5" ht="16.5" customHeight="1" x14ac:dyDescent="0.25">
      <c r="A23" s="136">
        <v>13</v>
      </c>
      <c r="B23" s="137" t="s">
        <v>159</v>
      </c>
      <c r="C23" s="137" t="s">
        <v>160</v>
      </c>
      <c r="D23" s="138" t="s">
        <v>163</v>
      </c>
      <c r="E23" s="135"/>
    </row>
    <row r="24" spans="1:5" ht="16.5" customHeight="1" x14ac:dyDescent="0.25">
      <c r="A24" s="136"/>
      <c r="B24" s="136"/>
      <c r="C24" s="136"/>
      <c r="D24" s="140"/>
      <c r="E24" s="141"/>
    </row>
    <row r="31" spans="1:5" ht="15.75" x14ac:dyDescent="0.25">
      <c r="E31" s="129" t="s">
        <v>2</v>
      </c>
    </row>
    <row r="32" spans="1:5" ht="15.75" x14ac:dyDescent="0.25">
      <c r="E32" s="129" t="s">
        <v>3</v>
      </c>
    </row>
    <row r="33" spans="1:5" ht="15.75" x14ac:dyDescent="0.25">
      <c r="E33" s="131" t="s">
        <v>7</v>
      </c>
    </row>
    <row r="34" spans="1:5" x14ac:dyDescent="0.25">
      <c r="E34" s="133" t="s">
        <v>624</v>
      </c>
    </row>
    <row r="35" spans="1:5" x14ac:dyDescent="0.25">
      <c r="A35" s="142" t="str">
        <f>VLOOKUP(A38,[1]BD!C:D,2,0)</f>
        <v>Toluca de Lerdo</v>
      </c>
      <c r="B35" s="142"/>
      <c r="C35" s="142"/>
      <c r="D35" s="142"/>
      <c r="E35" s="142"/>
    </row>
    <row r="36" spans="1:5" x14ac:dyDescent="0.25">
      <c r="A36" s="142"/>
      <c r="B36" s="142"/>
      <c r="C36" s="142"/>
      <c r="D36" s="142"/>
      <c r="E36" s="142"/>
    </row>
    <row r="37" spans="1:5" x14ac:dyDescent="0.25">
      <c r="A37" s="143" t="s">
        <v>21</v>
      </c>
      <c r="B37" s="143"/>
      <c r="C37" s="143"/>
      <c r="D37" s="143"/>
      <c r="E37" s="134" t="s">
        <v>23</v>
      </c>
    </row>
    <row r="38" spans="1:5" ht="36" x14ac:dyDescent="0.25">
      <c r="A38" s="144">
        <v>6002</v>
      </c>
      <c r="B38" s="144"/>
      <c r="C38" s="144"/>
      <c r="D38" s="144"/>
      <c r="E38" s="135"/>
    </row>
    <row r="39" spans="1:5" x14ac:dyDescent="0.25">
      <c r="A39" s="136" t="s">
        <v>625</v>
      </c>
      <c r="B39" s="136" t="s">
        <v>24</v>
      </c>
      <c r="C39" s="136" t="s">
        <v>25</v>
      </c>
      <c r="D39" s="136" t="s">
        <v>626</v>
      </c>
      <c r="E39" s="136" t="s">
        <v>30</v>
      </c>
    </row>
    <row r="40" spans="1:5" ht="15.75" x14ac:dyDescent="0.25">
      <c r="A40" s="136">
        <v>1</v>
      </c>
      <c r="B40" s="137" t="s">
        <v>37</v>
      </c>
      <c r="C40" s="137" t="s">
        <v>39</v>
      </c>
      <c r="D40" s="138"/>
      <c r="E40" s="135" t="s">
        <v>171</v>
      </c>
    </row>
    <row r="41" spans="1:5" ht="15.75" x14ac:dyDescent="0.25">
      <c r="A41" s="136">
        <v>2</v>
      </c>
      <c r="B41" s="137" t="s">
        <v>51</v>
      </c>
      <c r="C41" s="137" t="s">
        <v>52</v>
      </c>
      <c r="D41" s="138" t="s">
        <v>179</v>
      </c>
      <c r="E41" s="135"/>
    </row>
    <row r="42" spans="1:5" ht="15.75" x14ac:dyDescent="0.25">
      <c r="A42" s="136">
        <v>3</v>
      </c>
      <c r="B42" s="137" t="s">
        <v>61</v>
      </c>
      <c r="C42" s="137" t="s">
        <v>62</v>
      </c>
      <c r="D42" s="138" t="s">
        <v>183</v>
      </c>
      <c r="E42" s="135"/>
    </row>
    <row r="43" spans="1:5" ht="15.75" x14ac:dyDescent="0.25">
      <c r="A43" s="136">
        <v>4</v>
      </c>
      <c r="B43" s="137" t="s">
        <v>72</v>
      </c>
      <c r="C43" s="137" t="s">
        <v>73</v>
      </c>
      <c r="D43" s="138" t="s">
        <v>185</v>
      </c>
      <c r="E43" s="135"/>
    </row>
    <row r="44" spans="1:5" ht="15.75" x14ac:dyDescent="0.25">
      <c r="A44" s="136">
        <v>5</v>
      </c>
      <c r="B44" s="137" t="s">
        <v>88</v>
      </c>
      <c r="C44" s="137" t="s">
        <v>90</v>
      </c>
      <c r="D44" s="138" t="s">
        <v>186</v>
      </c>
      <c r="E44" s="135"/>
    </row>
    <row r="45" spans="1:5" ht="15.75" x14ac:dyDescent="0.25">
      <c r="A45" s="136">
        <v>6</v>
      </c>
      <c r="B45" s="137" t="s">
        <v>96</v>
      </c>
      <c r="C45" s="137" t="s">
        <v>62</v>
      </c>
      <c r="D45" s="138" t="s">
        <v>188</v>
      </c>
      <c r="E45" s="135"/>
    </row>
    <row r="46" spans="1:5" ht="15.75" x14ac:dyDescent="0.25">
      <c r="A46" s="136">
        <v>7</v>
      </c>
      <c r="B46" s="137" t="s">
        <v>98</v>
      </c>
      <c r="C46" s="137" t="s">
        <v>99</v>
      </c>
      <c r="D46" s="138" t="s">
        <v>189</v>
      </c>
      <c r="E46" s="135" t="s">
        <v>101</v>
      </c>
    </row>
    <row r="47" spans="1:5" ht="15.75" x14ac:dyDescent="0.25">
      <c r="A47" s="136">
        <v>8</v>
      </c>
      <c r="B47" s="137" t="s">
        <v>98</v>
      </c>
      <c r="C47" s="137" t="s">
        <v>99</v>
      </c>
      <c r="D47" s="138" t="s">
        <v>190</v>
      </c>
      <c r="E47" s="135" t="s">
        <v>101</v>
      </c>
    </row>
    <row r="48" spans="1:5" ht="15.75" x14ac:dyDescent="0.25">
      <c r="A48" s="136">
        <v>9</v>
      </c>
      <c r="B48" s="137" t="s">
        <v>114</v>
      </c>
      <c r="C48" s="137" t="s">
        <v>39</v>
      </c>
      <c r="D48" s="138" t="s">
        <v>52</v>
      </c>
      <c r="E48" s="135" t="s">
        <v>115</v>
      </c>
    </row>
    <row r="49" spans="1:5" ht="15.75" x14ac:dyDescent="0.25">
      <c r="A49" s="136">
        <v>10</v>
      </c>
      <c r="B49" s="137" t="s">
        <v>134</v>
      </c>
      <c r="C49" s="137" t="s">
        <v>135</v>
      </c>
      <c r="D49" s="138" t="s">
        <v>192</v>
      </c>
      <c r="E49" s="135" t="s">
        <v>138</v>
      </c>
    </row>
    <row r="50" spans="1:5" ht="15.75" x14ac:dyDescent="0.25">
      <c r="A50" s="136">
        <v>11</v>
      </c>
      <c r="B50" s="137" t="s">
        <v>145</v>
      </c>
      <c r="C50" s="137" t="s">
        <v>52</v>
      </c>
      <c r="D50" s="138" t="s">
        <v>193</v>
      </c>
      <c r="E50" s="139"/>
    </row>
    <row r="51" spans="1:5" ht="15.75" x14ac:dyDescent="0.25">
      <c r="A51" s="136">
        <v>12</v>
      </c>
      <c r="B51" s="137" t="s">
        <v>159</v>
      </c>
      <c r="C51" s="137" t="s">
        <v>160</v>
      </c>
      <c r="D51" s="138" t="s">
        <v>194</v>
      </c>
      <c r="E51" s="135"/>
    </row>
    <row r="52" spans="1:5" ht="15.75" x14ac:dyDescent="0.25">
      <c r="A52" s="136"/>
      <c r="B52" s="136"/>
      <c r="C52" s="136"/>
      <c r="D52" s="140"/>
      <c r="E52" s="141"/>
    </row>
    <row r="56" spans="1:5" ht="15.75" x14ac:dyDescent="0.25">
      <c r="E56" s="129" t="s">
        <v>2</v>
      </c>
    </row>
    <row r="57" spans="1:5" ht="15.75" x14ac:dyDescent="0.25">
      <c r="E57" s="129" t="s">
        <v>3</v>
      </c>
    </row>
    <row r="58" spans="1:5" ht="15.75" x14ac:dyDescent="0.25">
      <c r="E58" s="131" t="s">
        <v>7</v>
      </c>
    </row>
    <row r="59" spans="1:5" x14ac:dyDescent="0.25">
      <c r="E59" s="133" t="s">
        <v>624</v>
      </c>
    </row>
    <row r="60" spans="1:5" x14ac:dyDescent="0.25">
      <c r="A60" s="142" t="str">
        <f>VLOOKUP(A63,[1]BD!C:D,2,0)</f>
        <v>Chimaihuacan</v>
      </c>
      <c r="B60" s="142"/>
      <c r="C60" s="142"/>
      <c r="D60" s="142"/>
      <c r="E60" s="142"/>
    </row>
    <row r="61" spans="1:5" x14ac:dyDescent="0.25">
      <c r="A61" s="142"/>
      <c r="B61" s="142"/>
      <c r="C61" s="142"/>
      <c r="D61" s="142"/>
      <c r="E61" s="142"/>
    </row>
    <row r="62" spans="1:5" x14ac:dyDescent="0.25">
      <c r="A62" s="143" t="s">
        <v>21</v>
      </c>
      <c r="B62" s="143"/>
      <c r="C62" s="143"/>
      <c r="D62" s="143"/>
      <c r="E62" s="134" t="s">
        <v>23</v>
      </c>
    </row>
    <row r="63" spans="1:5" ht="36" x14ac:dyDescent="0.25">
      <c r="A63" s="144">
        <v>6003</v>
      </c>
      <c r="B63" s="144"/>
      <c r="C63" s="144"/>
      <c r="D63" s="144"/>
      <c r="E63" s="135"/>
    </row>
    <row r="64" spans="1:5" x14ac:dyDescent="0.25">
      <c r="A64" s="136" t="s">
        <v>625</v>
      </c>
      <c r="B64" s="136" t="s">
        <v>24</v>
      </c>
      <c r="C64" s="136" t="s">
        <v>25</v>
      </c>
      <c r="D64" s="136" t="s">
        <v>626</v>
      </c>
      <c r="E64" s="136" t="s">
        <v>30</v>
      </c>
    </row>
    <row r="65" spans="1:5" ht="15.75" x14ac:dyDescent="0.25">
      <c r="A65" s="136">
        <v>1</v>
      </c>
      <c r="B65" s="137" t="s">
        <v>37</v>
      </c>
      <c r="C65" s="137" t="s">
        <v>39</v>
      </c>
      <c r="D65" s="138" t="s">
        <v>195</v>
      </c>
      <c r="E65" s="135" t="s">
        <v>41</v>
      </c>
    </row>
    <row r="66" spans="1:5" ht="15.75" x14ac:dyDescent="0.25">
      <c r="A66" s="136">
        <v>2</v>
      </c>
      <c r="B66" s="137" t="s">
        <v>51</v>
      </c>
      <c r="C66" s="137" t="s">
        <v>52</v>
      </c>
      <c r="D66" s="138" t="s">
        <v>196</v>
      </c>
      <c r="E66" s="135"/>
    </row>
    <row r="67" spans="1:5" ht="15.75" x14ac:dyDescent="0.25">
      <c r="A67" s="136">
        <v>3</v>
      </c>
      <c r="B67" s="137" t="s">
        <v>61</v>
      </c>
      <c r="C67" s="137" t="s">
        <v>62</v>
      </c>
      <c r="D67" s="138" t="s">
        <v>197</v>
      </c>
      <c r="E67" s="135" t="s">
        <v>64</v>
      </c>
    </row>
    <row r="68" spans="1:5" ht="15.75" x14ac:dyDescent="0.25">
      <c r="A68" s="136">
        <v>4</v>
      </c>
      <c r="B68" s="137" t="s">
        <v>72</v>
      </c>
      <c r="C68" s="137" t="s">
        <v>73</v>
      </c>
      <c r="D68" s="138" t="s">
        <v>198</v>
      </c>
      <c r="E68" s="135"/>
    </row>
    <row r="69" spans="1:5" ht="15.75" x14ac:dyDescent="0.25">
      <c r="A69" s="136">
        <v>5</v>
      </c>
      <c r="B69" s="137" t="s">
        <v>88</v>
      </c>
      <c r="C69" s="137" t="s">
        <v>90</v>
      </c>
      <c r="D69" s="138" t="s">
        <v>199</v>
      </c>
      <c r="E69" s="135"/>
    </row>
    <row r="70" spans="1:5" ht="15.75" x14ac:dyDescent="0.25">
      <c r="A70" s="136">
        <v>6</v>
      </c>
      <c r="B70" s="137" t="s">
        <v>96</v>
      </c>
      <c r="C70" s="137" t="s">
        <v>62</v>
      </c>
      <c r="D70" s="138" t="s">
        <v>200</v>
      </c>
      <c r="E70" s="135"/>
    </row>
    <row r="71" spans="1:5" ht="15.75" x14ac:dyDescent="0.25">
      <c r="A71" s="136">
        <v>7</v>
      </c>
      <c r="B71" s="137" t="s">
        <v>98</v>
      </c>
      <c r="C71" s="137" t="s">
        <v>99</v>
      </c>
      <c r="D71" s="138" t="s">
        <v>201</v>
      </c>
      <c r="E71" s="135" t="s">
        <v>101</v>
      </c>
    </row>
    <row r="72" spans="1:5" ht="15.75" x14ac:dyDescent="0.25">
      <c r="A72" s="136">
        <v>8</v>
      </c>
      <c r="B72" s="137" t="s">
        <v>98</v>
      </c>
      <c r="C72" s="137" t="s">
        <v>99</v>
      </c>
      <c r="D72" s="138" t="s">
        <v>202</v>
      </c>
      <c r="E72" s="135" t="s">
        <v>101</v>
      </c>
    </row>
    <row r="73" spans="1:5" ht="15.75" x14ac:dyDescent="0.25">
      <c r="A73" s="136">
        <v>9</v>
      </c>
      <c r="B73" s="137" t="s">
        <v>98</v>
      </c>
      <c r="C73" s="137" t="s">
        <v>99</v>
      </c>
      <c r="D73" s="138" t="s">
        <v>203</v>
      </c>
      <c r="E73" s="135" t="s">
        <v>101</v>
      </c>
    </row>
    <row r="74" spans="1:5" ht="15.75" x14ac:dyDescent="0.25">
      <c r="A74" s="136">
        <v>10</v>
      </c>
      <c r="B74" s="137" t="s">
        <v>98</v>
      </c>
      <c r="C74" s="137" t="s">
        <v>99</v>
      </c>
      <c r="D74" s="138" t="s">
        <v>204</v>
      </c>
      <c r="E74" s="135" t="s">
        <v>101</v>
      </c>
    </row>
    <row r="75" spans="1:5" ht="15.75" x14ac:dyDescent="0.25">
      <c r="A75" s="136">
        <v>11</v>
      </c>
      <c r="B75" s="137" t="s">
        <v>98</v>
      </c>
      <c r="C75" s="137" t="s">
        <v>99</v>
      </c>
      <c r="D75" s="138" t="s">
        <v>205</v>
      </c>
      <c r="E75" s="139" t="s">
        <v>101</v>
      </c>
    </row>
    <row r="76" spans="1:5" ht="15.75" x14ac:dyDescent="0.25">
      <c r="A76" s="136">
        <v>12</v>
      </c>
      <c r="B76" s="137" t="s">
        <v>98</v>
      </c>
      <c r="C76" s="137" t="s">
        <v>99</v>
      </c>
      <c r="D76" s="138" t="s">
        <v>206</v>
      </c>
      <c r="E76" s="139" t="s">
        <v>101</v>
      </c>
    </row>
    <row r="77" spans="1:5" ht="15.75" x14ac:dyDescent="0.25">
      <c r="A77" s="136">
        <v>13</v>
      </c>
      <c r="B77" s="137" t="s">
        <v>98</v>
      </c>
      <c r="C77" s="137" t="s">
        <v>99</v>
      </c>
      <c r="D77" s="138" t="s">
        <v>207</v>
      </c>
      <c r="E77" s="139" t="s">
        <v>101</v>
      </c>
    </row>
    <row r="78" spans="1:5" ht="15.75" x14ac:dyDescent="0.25">
      <c r="A78" s="136">
        <v>14</v>
      </c>
      <c r="B78" s="137" t="s">
        <v>114</v>
      </c>
      <c r="C78" s="137" t="s">
        <v>39</v>
      </c>
      <c r="D78" s="138" t="s">
        <v>52</v>
      </c>
      <c r="E78" s="139" t="s">
        <v>115</v>
      </c>
    </row>
    <row r="79" spans="1:5" ht="30" x14ac:dyDescent="0.25">
      <c r="A79" s="136">
        <v>15</v>
      </c>
      <c r="B79" s="137" t="s">
        <v>134</v>
      </c>
      <c r="C79" s="137" t="s">
        <v>135</v>
      </c>
      <c r="D79" s="138" t="s">
        <v>209</v>
      </c>
      <c r="E79" s="139" t="s">
        <v>138</v>
      </c>
    </row>
    <row r="80" spans="1:5" ht="15.75" x14ac:dyDescent="0.25">
      <c r="A80" s="136">
        <v>16</v>
      </c>
      <c r="B80" s="137" t="s">
        <v>145</v>
      </c>
      <c r="C80" s="137" t="s">
        <v>52</v>
      </c>
      <c r="D80" s="138" t="s">
        <v>210</v>
      </c>
      <c r="E80" s="139"/>
    </row>
    <row r="81" spans="1:5" ht="15.75" x14ac:dyDescent="0.25">
      <c r="A81" s="136">
        <v>17</v>
      </c>
      <c r="B81" s="137" t="s">
        <v>159</v>
      </c>
      <c r="C81" s="137" t="s">
        <v>160</v>
      </c>
      <c r="D81" s="138" t="s">
        <v>211</v>
      </c>
      <c r="E81" s="139"/>
    </row>
    <row r="82" spans="1:5" x14ac:dyDescent="0.25">
      <c r="A82" s="136"/>
      <c r="B82" s="136"/>
      <c r="C82" s="136"/>
      <c r="D82" s="136"/>
      <c r="E82" s="136"/>
    </row>
    <row r="87" spans="1:5" ht="15.75" x14ac:dyDescent="0.25">
      <c r="E87" s="129" t="s">
        <v>2</v>
      </c>
    </row>
    <row r="88" spans="1:5" ht="15.75" x14ac:dyDescent="0.25">
      <c r="E88" s="129" t="s">
        <v>3</v>
      </c>
    </row>
    <row r="89" spans="1:5" ht="15.75" x14ac:dyDescent="0.25">
      <c r="E89" s="131" t="s">
        <v>7</v>
      </c>
    </row>
    <row r="90" spans="1:5" x14ac:dyDescent="0.25">
      <c r="E90" s="133" t="s">
        <v>624</v>
      </c>
    </row>
    <row r="91" spans="1:5" x14ac:dyDescent="0.25">
      <c r="A91" s="142" t="str">
        <f>VLOOKUP(A94,[1]BD!C:D,2,0)</f>
        <v>Lerma de Villada</v>
      </c>
      <c r="B91" s="142"/>
      <c r="C91" s="142"/>
      <c r="D91" s="142"/>
      <c r="E91" s="142"/>
    </row>
    <row r="92" spans="1:5" x14ac:dyDescent="0.25">
      <c r="A92" s="142"/>
      <c r="B92" s="142"/>
      <c r="C92" s="142"/>
      <c r="D92" s="142"/>
      <c r="E92" s="142"/>
    </row>
    <row r="93" spans="1:5" x14ac:dyDescent="0.25">
      <c r="A93" s="143" t="s">
        <v>21</v>
      </c>
      <c r="B93" s="143"/>
      <c r="C93" s="143"/>
      <c r="D93" s="143"/>
      <c r="E93" s="134" t="s">
        <v>23</v>
      </c>
    </row>
    <row r="94" spans="1:5" ht="36" x14ac:dyDescent="0.25">
      <c r="A94" s="144">
        <v>6004</v>
      </c>
      <c r="B94" s="144"/>
      <c r="C94" s="144"/>
      <c r="D94" s="144"/>
      <c r="E94" s="135"/>
    </row>
    <row r="95" spans="1:5" x14ac:dyDescent="0.25">
      <c r="A95" s="136" t="s">
        <v>625</v>
      </c>
      <c r="B95" s="136" t="s">
        <v>24</v>
      </c>
      <c r="C95" s="136" t="s">
        <v>25</v>
      </c>
      <c r="D95" s="136" t="s">
        <v>626</v>
      </c>
      <c r="E95" s="136" t="s">
        <v>30</v>
      </c>
    </row>
    <row r="96" spans="1:5" ht="15.75" x14ac:dyDescent="0.25">
      <c r="A96" s="136">
        <v>1</v>
      </c>
      <c r="B96" s="137" t="s">
        <v>37</v>
      </c>
      <c r="C96" s="137" t="s">
        <v>39</v>
      </c>
      <c r="D96" s="138" t="s">
        <v>212</v>
      </c>
      <c r="E96" s="135" t="s">
        <v>41</v>
      </c>
    </row>
    <row r="97" spans="1:5" ht="15.75" x14ac:dyDescent="0.25">
      <c r="A97" s="136">
        <v>2</v>
      </c>
      <c r="B97" s="137" t="s">
        <v>51</v>
      </c>
      <c r="C97" s="137" t="s">
        <v>52</v>
      </c>
      <c r="D97" s="138" t="s">
        <v>213</v>
      </c>
      <c r="E97" s="135"/>
    </row>
    <row r="98" spans="1:5" ht="15.75" x14ac:dyDescent="0.25">
      <c r="A98" s="136">
        <v>3</v>
      </c>
      <c r="B98" s="137" t="s">
        <v>61</v>
      </c>
      <c r="C98" s="137" t="s">
        <v>62</v>
      </c>
      <c r="D98" s="138" t="s">
        <v>215</v>
      </c>
      <c r="E98" s="135" t="s">
        <v>64</v>
      </c>
    </row>
    <row r="99" spans="1:5" ht="15.75" x14ac:dyDescent="0.25">
      <c r="A99" s="136">
        <v>4</v>
      </c>
      <c r="B99" s="137" t="s">
        <v>72</v>
      </c>
      <c r="C99" s="137" t="s">
        <v>73</v>
      </c>
      <c r="D99" s="138" t="s">
        <v>216</v>
      </c>
      <c r="E99" s="135"/>
    </row>
    <row r="100" spans="1:5" ht="15.75" x14ac:dyDescent="0.25">
      <c r="A100" s="136">
        <v>5</v>
      </c>
      <c r="B100" s="137" t="s">
        <v>88</v>
      </c>
      <c r="C100" s="137" t="s">
        <v>90</v>
      </c>
      <c r="D100" s="138" t="s">
        <v>217</v>
      </c>
      <c r="E100" s="135"/>
    </row>
    <row r="101" spans="1:5" ht="15.75" x14ac:dyDescent="0.25">
      <c r="A101" s="136">
        <v>6</v>
      </c>
      <c r="B101" s="137" t="s">
        <v>96</v>
      </c>
      <c r="C101" s="137" t="s">
        <v>62</v>
      </c>
      <c r="D101" s="138" t="s">
        <v>219</v>
      </c>
      <c r="E101" s="135"/>
    </row>
    <row r="102" spans="1:5" ht="15.75" x14ac:dyDescent="0.25">
      <c r="A102" s="136">
        <v>7</v>
      </c>
      <c r="B102" s="137" t="s">
        <v>98</v>
      </c>
      <c r="C102" s="137" t="s">
        <v>99</v>
      </c>
      <c r="D102" s="138" t="s">
        <v>220</v>
      </c>
      <c r="E102" s="135" t="s">
        <v>101</v>
      </c>
    </row>
    <row r="103" spans="1:5" ht="15.75" x14ac:dyDescent="0.25">
      <c r="A103" s="136">
        <v>8</v>
      </c>
      <c r="B103" s="137" t="s">
        <v>98</v>
      </c>
      <c r="C103" s="137" t="s">
        <v>99</v>
      </c>
      <c r="D103" s="138" t="s">
        <v>221</v>
      </c>
      <c r="E103" s="135" t="s">
        <v>101</v>
      </c>
    </row>
    <row r="104" spans="1:5" ht="15.75" x14ac:dyDescent="0.25">
      <c r="A104" s="136">
        <v>9</v>
      </c>
      <c r="B104" s="137" t="s">
        <v>114</v>
      </c>
      <c r="C104" s="137" t="s">
        <v>39</v>
      </c>
      <c r="D104" s="138" t="s">
        <v>52</v>
      </c>
      <c r="E104" s="135" t="s">
        <v>115</v>
      </c>
    </row>
    <row r="105" spans="1:5" ht="15.75" x14ac:dyDescent="0.25">
      <c r="A105" s="136">
        <v>10</v>
      </c>
      <c r="B105" s="137" t="s">
        <v>134</v>
      </c>
      <c r="C105" s="137" t="s">
        <v>135</v>
      </c>
      <c r="D105" s="138" t="s">
        <v>222</v>
      </c>
      <c r="E105" s="135" t="s">
        <v>223</v>
      </c>
    </row>
    <row r="106" spans="1:5" ht="15.75" x14ac:dyDescent="0.25">
      <c r="A106" s="136">
        <v>11</v>
      </c>
      <c r="B106" s="137" t="s">
        <v>145</v>
      </c>
      <c r="C106" s="137" t="s">
        <v>52</v>
      </c>
      <c r="D106" s="138" t="s">
        <v>224</v>
      </c>
      <c r="E106" s="139"/>
    </row>
    <row r="107" spans="1:5" ht="15.75" x14ac:dyDescent="0.25">
      <c r="A107" s="136">
        <v>12</v>
      </c>
      <c r="B107" s="137" t="s">
        <v>159</v>
      </c>
      <c r="C107" s="137" t="s">
        <v>160</v>
      </c>
      <c r="D107" s="138" t="s">
        <v>225</v>
      </c>
      <c r="E107" s="135"/>
    </row>
    <row r="108" spans="1:5" ht="15.75" x14ac:dyDescent="0.25">
      <c r="A108" s="136"/>
      <c r="B108" s="136"/>
      <c r="C108" s="136"/>
      <c r="D108" s="140"/>
      <c r="E108" s="141"/>
    </row>
    <row r="112" spans="1:5" ht="15.75" x14ac:dyDescent="0.25">
      <c r="E112" s="129" t="s">
        <v>2</v>
      </c>
    </row>
    <row r="113" spans="1:5" ht="15.75" x14ac:dyDescent="0.25">
      <c r="E113" s="129" t="s">
        <v>3</v>
      </c>
    </row>
    <row r="114" spans="1:5" ht="15.75" x14ac:dyDescent="0.25">
      <c r="E114" s="131" t="s">
        <v>7</v>
      </c>
    </row>
    <row r="115" spans="1:5" x14ac:dyDescent="0.25">
      <c r="E115" s="133" t="s">
        <v>624</v>
      </c>
    </row>
    <row r="116" spans="1:5" x14ac:dyDescent="0.25">
      <c r="A116" s="142" t="str">
        <f>VLOOKUP(A119,[1]BD!C:D,2,0)</f>
        <v>Chimalhuacan</v>
      </c>
      <c r="B116" s="142"/>
      <c r="C116" s="142"/>
      <c r="D116" s="142"/>
      <c r="E116" s="142"/>
    </row>
    <row r="117" spans="1:5" x14ac:dyDescent="0.25">
      <c r="A117" s="142"/>
      <c r="B117" s="142"/>
      <c r="C117" s="142"/>
      <c r="D117" s="142"/>
      <c r="E117" s="142"/>
    </row>
    <row r="118" spans="1:5" x14ac:dyDescent="0.25">
      <c r="A118" s="143" t="s">
        <v>21</v>
      </c>
      <c r="B118" s="143"/>
      <c r="C118" s="143"/>
      <c r="D118" s="143"/>
      <c r="E118" s="134" t="s">
        <v>23</v>
      </c>
    </row>
    <row r="119" spans="1:5" ht="36" x14ac:dyDescent="0.25">
      <c r="A119" s="144">
        <v>6005</v>
      </c>
      <c r="B119" s="144"/>
      <c r="C119" s="144"/>
      <c r="D119" s="144"/>
      <c r="E119" s="135"/>
    </row>
    <row r="120" spans="1:5" x14ac:dyDescent="0.25">
      <c r="A120" s="136" t="s">
        <v>625</v>
      </c>
      <c r="B120" s="136" t="s">
        <v>24</v>
      </c>
      <c r="C120" s="136" t="s">
        <v>25</v>
      </c>
      <c r="D120" s="136" t="s">
        <v>626</v>
      </c>
      <c r="E120" s="136" t="s">
        <v>30</v>
      </c>
    </row>
    <row r="121" spans="1:5" ht="15.75" x14ac:dyDescent="0.25">
      <c r="A121" s="136">
        <v>1</v>
      </c>
      <c r="B121" s="137" t="s">
        <v>37</v>
      </c>
      <c r="C121" s="137" t="s">
        <v>39</v>
      </c>
      <c r="D121" s="138" t="s">
        <v>226</v>
      </c>
      <c r="E121" s="135" t="s">
        <v>41</v>
      </c>
    </row>
    <row r="122" spans="1:5" ht="15.75" x14ac:dyDescent="0.25">
      <c r="A122" s="136">
        <v>2</v>
      </c>
      <c r="B122" s="137" t="s">
        <v>51</v>
      </c>
      <c r="C122" s="137" t="s">
        <v>52</v>
      </c>
      <c r="D122" s="138" t="s">
        <v>227</v>
      </c>
      <c r="E122" s="135"/>
    </row>
    <row r="123" spans="1:5" ht="15.75" x14ac:dyDescent="0.25">
      <c r="A123" s="136">
        <v>3</v>
      </c>
      <c r="B123" s="137" t="s">
        <v>61</v>
      </c>
      <c r="C123" s="137" t="s">
        <v>62</v>
      </c>
      <c r="D123" s="138" t="s">
        <v>229</v>
      </c>
      <c r="E123" s="135" t="s">
        <v>64</v>
      </c>
    </row>
    <row r="124" spans="1:5" ht="15.75" x14ac:dyDescent="0.25">
      <c r="A124" s="136">
        <v>4</v>
      </c>
      <c r="B124" s="137" t="s">
        <v>72</v>
      </c>
      <c r="C124" s="137" t="s">
        <v>73</v>
      </c>
      <c r="D124" s="138" t="s">
        <v>230</v>
      </c>
      <c r="E124" s="135"/>
    </row>
    <row r="125" spans="1:5" ht="15.75" x14ac:dyDescent="0.25">
      <c r="A125" s="136">
        <v>5</v>
      </c>
      <c r="B125" s="137" t="s">
        <v>88</v>
      </c>
      <c r="C125" s="137" t="s">
        <v>90</v>
      </c>
      <c r="D125" s="138" t="s">
        <v>231</v>
      </c>
      <c r="E125" s="135"/>
    </row>
    <row r="126" spans="1:5" ht="15.75" x14ac:dyDescent="0.25">
      <c r="A126" s="136">
        <v>6</v>
      </c>
      <c r="B126" s="137" t="s">
        <v>96</v>
      </c>
      <c r="C126" s="137" t="s">
        <v>62</v>
      </c>
      <c r="D126" s="138" t="s">
        <v>233</v>
      </c>
      <c r="E126" s="135"/>
    </row>
    <row r="127" spans="1:5" ht="15.75" x14ac:dyDescent="0.25">
      <c r="A127" s="136">
        <v>7</v>
      </c>
      <c r="B127" s="137" t="s">
        <v>98</v>
      </c>
      <c r="C127" s="137" t="s">
        <v>99</v>
      </c>
      <c r="D127" s="138" t="s">
        <v>234</v>
      </c>
      <c r="E127" s="135" t="s">
        <v>101</v>
      </c>
    </row>
    <row r="128" spans="1:5" ht="15.75" x14ac:dyDescent="0.25">
      <c r="A128" s="136">
        <v>8</v>
      </c>
      <c r="B128" s="137" t="s">
        <v>98</v>
      </c>
      <c r="C128" s="137" t="s">
        <v>99</v>
      </c>
      <c r="D128" s="138" t="s">
        <v>235</v>
      </c>
      <c r="E128" s="135" t="s">
        <v>101</v>
      </c>
    </row>
    <row r="129" spans="1:5" ht="15.75" x14ac:dyDescent="0.25">
      <c r="A129" s="136">
        <v>9</v>
      </c>
      <c r="B129" s="137" t="s">
        <v>98</v>
      </c>
      <c r="C129" s="137" t="s">
        <v>99</v>
      </c>
      <c r="D129" s="138" t="s">
        <v>236</v>
      </c>
      <c r="E129" s="135" t="s">
        <v>101</v>
      </c>
    </row>
    <row r="130" spans="1:5" ht="15.75" x14ac:dyDescent="0.25">
      <c r="A130" s="136">
        <v>10</v>
      </c>
      <c r="B130" s="137" t="s">
        <v>114</v>
      </c>
      <c r="C130" s="137" t="s">
        <v>39</v>
      </c>
      <c r="D130" s="138" t="s">
        <v>52</v>
      </c>
      <c r="E130" s="135" t="s">
        <v>115</v>
      </c>
    </row>
    <row r="131" spans="1:5" ht="30" x14ac:dyDescent="0.25">
      <c r="A131" s="136">
        <v>11</v>
      </c>
      <c r="B131" s="137" t="s">
        <v>134</v>
      </c>
      <c r="C131" s="137" t="s">
        <v>135</v>
      </c>
      <c r="D131" s="138" t="s">
        <v>237</v>
      </c>
      <c r="E131" s="139" t="s">
        <v>138</v>
      </c>
    </row>
    <row r="132" spans="1:5" ht="15.75" x14ac:dyDescent="0.25">
      <c r="A132" s="136">
        <v>12</v>
      </c>
      <c r="B132" s="137" t="s">
        <v>145</v>
      </c>
      <c r="C132" s="137" t="s">
        <v>52</v>
      </c>
      <c r="D132" s="138" t="s">
        <v>238</v>
      </c>
      <c r="E132" s="139"/>
    </row>
    <row r="133" spans="1:5" ht="15.75" x14ac:dyDescent="0.25">
      <c r="A133" s="136">
        <v>13</v>
      </c>
      <c r="B133" s="137" t="s">
        <v>159</v>
      </c>
      <c r="C133" s="137" t="s">
        <v>160</v>
      </c>
      <c r="D133" s="138" t="s">
        <v>239</v>
      </c>
      <c r="E133" s="139"/>
    </row>
    <row r="134" spans="1:5" ht="15.75" x14ac:dyDescent="0.25">
      <c r="A134" s="136"/>
      <c r="B134" s="136"/>
      <c r="C134" s="136"/>
      <c r="D134" s="140"/>
      <c r="E134" s="141"/>
    </row>
    <row r="138" spans="1:5" ht="15.75" x14ac:dyDescent="0.25">
      <c r="E138" s="129" t="s">
        <v>2</v>
      </c>
    </row>
    <row r="139" spans="1:5" ht="15.75" x14ac:dyDescent="0.25">
      <c r="E139" s="129" t="s">
        <v>3</v>
      </c>
    </row>
    <row r="140" spans="1:5" ht="15.75" x14ac:dyDescent="0.25">
      <c r="E140" s="131" t="s">
        <v>7</v>
      </c>
    </row>
    <row r="141" spans="1:5" x14ac:dyDescent="0.25">
      <c r="E141" s="133" t="s">
        <v>624</v>
      </c>
    </row>
    <row r="142" spans="1:5" x14ac:dyDescent="0.25">
      <c r="A142" s="142" t="str">
        <f>VLOOKUP(A145,[1]BD!C:D,2,0)</f>
        <v>Ecatepec de Morelos</v>
      </c>
      <c r="B142" s="142"/>
      <c r="C142" s="142"/>
      <c r="D142" s="142"/>
      <c r="E142" s="142"/>
    </row>
    <row r="143" spans="1:5" x14ac:dyDescent="0.25">
      <c r="A143" s="142"/>
      <c r="B143" s="142"/>
      <c r="C143" s="142"/>
      <c r="D143" s="142"/>
      <c r="E143" s="142"/>
    </row>
    <row r="144" spans="1:5" x14ac:dyDescent="0.25">
      <c r="A144" s="143" t="s">
        <v>21</v>
      </c>
      <c r="B144" s="143"/>
      <c r="C144" s="143"/>
      <c r="D144" s="143"/>
      <c r="E144" s="134" t="s">
        <v>23</v>
      </c>
    </row>
    <row r="145" spans="1:5" ht="36" x14ac:dyDescent="0.25">
      <c r="A145" s="144">
        <v>6006</v>
      </c>
      <c r="B145" s="144"/>
      <c r="C145" s="144"/>
      <c r="D145" s="144"/>
      <c r="E145" s="135"/>
    </row>
    <row r="146" spans="1:5" x14ac:dyDescent="0.25">
      <c r="A146" s="136" t="s">
        <v>625</v>
      </c>
      <c r="B146" s="136" t="s">
        <v>24</v>
      </c>
      <c r="C146" s="136" t="s">
        <v>25</v>
      </c>
      <c r="D146" s="136" t="s">
        <v>626</v>
      </c>
      <c r="E146" s="136" t="s">
        <v>30</v>
      </c>
    </row>
    <row r="147" spans="1:5" ht="15.75" x14ac:dyDescent="0.25">
      <c r="A147" s="136">
        <v>1</v>
      </c>
      <c r="B147" s="137" t="s">
        <v>37</v>
      </c>
      <c r="C147" s="137" t="s">
        <v>39</v>
      </c>
      <c r="D147" s="138" t="s">
        <v>240</v>
      </c>
      <c r="E147" s="135" t="s">
        <v>41</v>
      </c>
    </row>
    <row r="148" spans="1:5" ht="15.75" x14ac:dyDescent="0.25">
      <c r="A148" s="136">
        <v>2</v>
      </c>
      <c r="B148" s="137" t="s">
        <v>51</v>
      </c>
      <c r="C148" s="137" t="s">
        <v>52</v>
      </c>
      <c r="D148" s="138" t="s">
        <v>241</v>
      </c>
      <c r="E148" s="135"/>
    </row>
    <row r="149" spans="1:5" ht="15.75" x14ac:dyDescent="0.25">
      <c r="A149" s="136">
        <v>3</v>
      </c>
      <c r="B149" s="137" t="s">
        <v>61</v>
      </c>
      <c r="C149" s="137" t="s">
        <v>62</v>
      </c>
      <c r="D149" s="138" t="s">
        <v>243</v>
      </c>
      <c r="E149" s="135" t="s">
        <v>64</v>
      </c>
    </row>
    <row r="150" spans="1:5" ht="15.75" x14ac:dyDescent="0.25">
      <c r="A150" s="136">
        <v>4</v>
      </c>
      <c r="B150" s="137" t="s">
        <v>72</v>
      </c>
      <c r="C150" s="137" t="s">
        <v>73</v>
      </c>
      <c r="D150" s="138" t="s">
        <v>245</v>
      </c>
      <c r="E150" s="135"/>
    </row>
    <row r="151" spans="1:5" ht="15.75" x14ac:dyDescent="0.25">
      <c r="A151" s="136">
        <v>5</v>
      </c>
      <c r="B151" s="137" t="s">
        <v>88</v>
      </c>
      <c r="C151" s="137" t="s">
        <v>90</v>
      </c>
      <c r="D151" s="138" t="s">
        <v>247</v>
      </c>
      <c r="E151" s="135"/>
    </row>
    <row r="152" spans="1:5" ht="15.75" x14ac:dyDescent="0.25">
      <c r="A152" s="136">
        <v>6</v>
      </c>
      <c r="B152" s="137" t="s">
        <v>96</v>
      </c>
      <c r="C152" s="137" t="s">
        <v>62</v>
      </c>
      <c r="D152" s="138" t="s">
        <v>249</v>
      </c>
      <c r="E152" s="135"/>
    </row>
    <row r="153" spans="1:5" ht="15.75" x14ac:dyDescent="0.25">
      <c r="A153" s="136">
        <v>7</v>
      </c>
      <c r="B153" s="137" t="s">
        <v>98</v>
      </c>
      <c r="C153" s="137" t="s">
        <v>99</v>
      </c>
      <c r="D153" s="138" t="s">
        <v>250</v>
      </c>
      <c r="E153" s="135" t="s">
        <v>101</v>
      </c>
    </row>
    <row r="154" spans="1:5" ht="15.75" x14ac:dyDescent="0.25">
      <c r="A154" s="136">
        <v>8</v>
      </c>
      <c r="B154" s="137" t="s">
        <v>98</v>
      </c>
      <c r="C154" s="137" t="s">
        <v>99</v>
      </c>
      <c r="D154" s="138" t="s">
        <v>251</v>
      </c>
      <c r="E154" s="135" t="s">
        <v>101</v>
      </c>
    </row>
    <row r="155" spans="1:5" ht="15.75" x14ac:dyDescent="0.25">
      <c r="A155" s="136">
        <v>9</v>
      </c>
      <c r="B155" s="137" t="s">
        <v>98</v>
      </c>
      <c r="C155" s="137" t="s">
        <v>99</v>
      </c>
      <c r="D155" s="138" t="s">
        <v>252</v>
      </c>
      <c r="E155" s="135" t="s">
        <v>101</v>
      </c>
    </row>
    <row r="156" spans="1:5" ht="15.75" x14ac:dyDescent="0.25">
      <c r="A156" s="136">
        <v>10</v>
      </c>
      <c r="B156" s="137" t="s">
        <v>114</v>
      </c>
      <c r="C156" s="137" t="s">
        <v>39</v>
      </c>
      <c r="D156" s="138" t="s">
        <v>52</v>
      </c>
      <c r="E156" s="135" t="s">
        <v>115</v>
      </c>
    </row>
    <row r="157" spans="1:5" ht="30" x14ac:dyDescent="0.25">
      <c r="A157" s="136">
        <v>11</v>
      </c>
      <c r="B157" s="137" t="s">
        <v>134</v>
      </c>
      <c r="C157" s="137" t="s">
        <v>135</v>
      </c>
      <c r="D157" s="138" t="s">
        <v>253</v>
      </c>
      <c r="E157" s="139" t="s">
        <v>138</v>
      </c>
    </row>
    <row r="158" spans="1:5" ht="15.75" x14ac:dyDescent="0.25">
      <c r="A158" s="136">
        <v>12</v>
      </c>
      <c r="B158" s="137" t="s">
        <v>145</v>
      </c>
      <c r="C158" s="137" t="s">
        <v>52</v>
      </c>
      <c r="D158" s="138" t="s">
        <v>254</v>
      </c>
      <c r="E158" s="135"/>
    </row>
    <row r="159" spans="1:5" ht="15.75" x14ac:dyDescent="0.25">
      <c r="A159" s="136">
        <v>13</v>
      </c>
      <c r="B159" s="137" t="s">
        <v>159</v>
      </c>
      <c r="C159" s="137" t="s">
        <v>160</v>
      </c>
      <c r="D159" s="138" t="s">
        <v>255</v>
      </c>
      <c r="E159" s="135"/>
    </row>
    <row r="160" spans="1:5" ht="15.75" x14ac:dyDescent="0.25">
      <c r="A160" s="136"/>
      <c r="B160" s="136"/>
      <c r="C160" s="136"/>
      <c r="D160" s="140"/>
      <c r="E160" s="141"/>
    </row>
    <row r="166" spans="1:5" ht="15.75" x14ac:dyDescent="0.25">
      <c r="E166" s="129" t="s">
        <v>2</v>
      </c>
    </row>
    <row r="167" spans="1:5" ht="15.75" x14ac:dyDescent="0.25">
      <c r="E167" s="129" t="s">
        <v>3</v>
      </c>
    </row>
    <row r="168" spans="1:5" ht="15.75" x14ac:dyDescent="0.25">
      <c r="E168" s="131" t="s">
        <v>7</v>
      </c>
    </row>
    <row r="169" spans="1:5" x14ac:dyDescent="0.25">
      <c r="E169" s="133" t="s">
        <v>624</v>
      </c>
    </row>
    <row r="170" spans="1:5" x14ac:dyDescent="0.25">
      <c r="A170" s="142" t="str">
        <f>VLOOKUP(A173,[1]BD!C:D,2,0)</f>
        <v>Tenancingo de Degollado</v>
      </c>
      <c r="B170" s="142"/>
      <c r="C170" s="142"/>
      <c r="D170" s="142"/>
      <c r="E170" s="142"/>
    </row>
    <row r="171" spans="1:5" x14ac:dyDescent="0.25">
      <c r="A171" s="142"/>
      <c r="B171" s="142"/>
      <c r="C171" s="142"/>
      <c r="D171" s="142"/>
      <c r="E171" s="142"/>
    </row>
    <row r="172" spans="1:5" x14ac:dyDescent="0.25">
      <c r="A172" s="143" t="s">
        <v>21</v>
      </c>
      <c r="B172" s="143"/>
      <c r="C172" s="143"/>
      <c r="D172" s="143"/>
      <c r="E172" s="134" t="s">
        <v>23</v>
      </c>
    </row>
    <row r="173" spans="1:5" ht="36" x14ac:dyDescent="0.25">
      <c r="A173" s="144">
        <v>6007</v>
      </c>
      <c r="B173" s="144"/>
      <c r="C173" s="144"/>
      <c r="D173" s="144"/>
      <c r="E173" s="135"/>
    </row>
    <row r="174" spans="1:5" x14ac:dyDescent="0.25">
      <c r="A174" s="136" t="s">
        <v>625</v>
      </c>
      <c r="B174" s="136" t="s">
        <v>24</v>
      </c>
      <c r="C174" s="136" t="s">
        <v>25</v>
      </c>
      <c r="D174" s="136" t="s">
        <v>626</v>
      </c>
      <c r="E174" s="136" t="s">
        <v>30</v>
      </c>
    </row>
    <row r="175" spans="1:5" ht="15.75" x14ac:dyDescent="0.25">
      <c r="A175" s="136">
        <v>1</v>
      </c>
      <c r="B175" s="137" t="s">
        <v>37</v>
      </c>
      <c r="C175" s="137" t="s">
        <v>39</v>
      </c>
      <c r="D175" s="138" t="s">
        <v>256</v>
      </c>
      <c r="E175" s="135" t="s">
        <v>41</v>
      </c>
    </row>
    <row r="176" spans="1:5" ht="15.75" x14ac:dyDescent="0.25">
      <c r="A176" s="136">
        <v>2</v>
      </c>
      <c r="B176" s="137" t="s">
        <v>51</v>
      </c>
      <c r="C176" s="137" t="s">
        <v>52</v>
      </c>
      <c r="D176" s="138" t="s">
        <v>257</v>
      </c>
      <c r="E176" s="135"/>
    </row>
    <row r="177" spans="1:5" ht="15.75" x14ac:dyDescent="0.25">
      <c r="A177" s="136">
        <v>3</v>
      </c>
      <c r="B177" s="137" t="s">
        <v>61</v>
      </c>
      <c r="C177" s="137" t="s">
        <v>62</v>
      </c>
      <c r="D177" s="138" t="s">
        <v>259</v>
      </c>
      <c r="E177" s="135" t="s">
        <v>64</v>
      </c>
    </row>
    <row r="178" spans="1:5" ht="15.75" x14ac:dyDescent="0.25">
      <c r="A178" s="136">
        <v>4</v>
      </c>
      <c r="B178" s="137" t="s">
        <v>72</v>
      </c>
      <c r="C178" s="137" t="s">
        <v>73</v>
      </c>
      <c r="D178" s="138" t="s">
        <v>260</v>
      </c>
      <c r="E178" s="135"/>
    </row>
    <row r="179" spans="1:5" ht="15.75" x14ac:dyDescent="0.25">
      <c r="A179" s="136">
        <v>5</v>
      </c>
      <c r="B179" s="137" t="s">
        <v>88</v>
      </c>
      <c r="C179" s="137" t="s">
        <v>90</v>
      </c>
      <c r="D179" s="138" t="s">
        <v>261</v>
      </c>
      <c r="E179" s="135"/>
    </row>
    <row r="180" spans="1:5" ht="15.75" x14ac:dyDescent="0.25">
      <c r="A180" s="136">
        <v>6</v>
      </c>
      <c r="B180" s="137" t="s">
        <v>96</v>
      </c>
      <c r="C180" s="137" t="s">
        <v>62</v>
      </c>
      <c r="D180" s="138" t="s">
        <v>263</v>
      </c>
      <c r="E180" s="135"/>
    </row>
    <row r="181" spans="1:5" ht="15.75" x14ac:dyDescent="0.25">
      <c r="A181" s="136">
        <v>7</v>
      </c>
      <c r="B181" s="137" t="s">
        <v>98</v>
      </c>
      <c r="C181" s="137" t="s">
        <v>99</v>
      </c>
      <c r="D181" s="138" t="s">
        <v>264</v>
      </c>
      <c r="E181" s="135" t="s">
        <v>101</v>
      </c>
    </row>
    <row r="182" spans="1:5" ht="15.75" x14ac:dyDescent="0.25">
      <c r="A182" s="136">
        <v>8</v>
      </c>
      <c r="B182" s="137" t="s">
        <v>98</v>
      </c>
      <c r="C182" s="137" t="s">
        <v>99</v>
      </c>
      <c r="D182" s="138" t="s">
        <v>265</v>
      </c>
      <c r="E182" s="135" t="s">
        <v>101</v>
      </c>
    </row>
    <row r="183" spans="1:5" ht="15.75" x14ac:dyDescent="0.25">
      <c r="A183" s="136">
        <v>9</v>
      </c>
      <c r="B183" s="137" t="s">
        <v>98</v>
      </c>
      <c r="C183" s="137" t="s">
        <v>99</v>
      </c>
      <c r="D183" s="138" t="s">
        <v>266</v>
      </c>
      <c r="E183" s="135" t="s">
        <v>101</v>
      </c>
    </row>
    <row r="184" spans="1:5" ht="15.75" x14ac:dyDescent="0.25">
      <c r="A184" s="136">
        <v>10</v>
      </c>
      <c r="B184" s="137" t="s">
        <v>98</v>
      </c>
      <c r="C184" s="137" t="s">
        <v>99</v>
      </c>
      <c r="D184" s="138" t="s">
        <v>267</v>
      </c>
      <c r="E184" s="135" t="s">
        <v>101</v>
      </c>
    </row>
    <row r="185" spans="1:5" ht="15.75" x14ac:dyDescent="0.25">
      <c r="A185" s="136">
        <v>11</v>
      </c>
      <c r="B185" s="137" t="s">
        <v>98</v>
      </c>
      <c r="C185" s="137" t="s">
        <v>99</v>
      </c>
      <c r="D185" s="138" t="s">
        <v>268</v>
      </c>
      <c r="E185" s="139" t="s">
        <v>101</v>
      </c>
    </row>
    <row r="186" spans="1:5" ht="15.75" x14ac:dyDescent="0.25">
      <c r="A186" s="136">
        <v>12</v>
      </c>
      <c r="B186" s="137" t="s">
        <v>114</v>
      </c>
      <c r="C186" s="137" t="s">
        <v>39</v>
      </c>
      <c r="D186" s="138" t="s">
        <v>52</v>
      </c>
      <c r="E186" s="135" t="s">
        <v>115</v>
      </c>
    </row>
    <row r="187" spans="1:5" ht="32.25" customHeight="1" x14ac:dyDescent="0.25">
      <c r="A187" s="136">
        <v>13</v>
      </c>
      <c r="B187" s="137" t="s">
        <v>134</v>
      </c>
      <c r="C187" s="137" t="s">
        <v>135</v>
      </c>
      <c r="D187" s="138" t="s">
        <v>269</v>
      </c>
      <c r="E187" s="139" t="s">
        <v>138</v>
      </c>
    </row>
    <row r="188" spans="1:5" ht="15.75" x14ac:dyDescent="0.25">
      <c r="A188" s="136">
        <v>14</v>
      </c>
      <c r="B188" s="137" t="s">
        <v>145</v>
      </c>
      <c r="C188" s="137" t="s">
        <v>52</v>
      </c>
      <c r="D188" s="138" t="s">
        <v>270</v>
      </c>
      <c r="E188" s="135"/>
    </row>
    <row r="189" spans="1:5" ht="15.75" x14ac:dyDescent="0.25">
      <c r="A189" s="136">
        <v>15</v>
      </c>
      <c r="B189" s="137" t="s">
        <v>159</v>
      </c>
      <c r="C189" s="137" t="s">
        <v>160</v>
      </c>
      <c r="D189" s="138" t="s">
        <v>271</v>
      </c>
      <c r="E189" s="135"/>
    </row>
    <row r="190" spans="1:5" ht="15.75" x14ac:dyDescent="0.25">
      <c r="A190" s="136"/>
      <c r="B190" s="136"/>
      <c r="C190" s="136"/>
      <c r="D190" s="140"/>
      <c r="E190" s="141"/>
    </row>
    <row r="196" spans="1:5" ht="15.75" x14ac:dyDescent="0.25">
      <c r="E196" s="129" t="s">
        <v>2</v>
      </c>
    </row>
    <row r="197" spans="1:5" ht="15.75" x14ac:dyDescent="0.25">
      <c r="E197" s="129" t="s">
        <v>3</v>
      </c>
    </row>
    <row r="198" spans="1:5" ht="15.75" x14ac:dyDescent="0.25">
      <c r="E198" s="131" t="s">
        <v>7</v>
      </c>
    </row>
    <row r="199" spans="1:5" x14ac:dyDescent="0.25">
      <c r="E199" s="133" t="s">
        <v>624</v>
      </c>
    </row>
    <row r="200" spans="1:5" x14ac:dyDescent="0.25">
      <c r="A200" s="142" t="str">
        <f>VLOOKUP(A203,[1]BD!C:D,2,0)</f>
        <v>Ecatepec de Morelos</v>
      </c>
      <c r="B200" s="142"/>
      <c r="C200" s="142"/>
      <c r="D200" s="142"/>
      <c r="E200" s="142"/>
    </row>
    <row r="201" spans="1:5" x14ac:dyDescent="0.25">
      <c r="A201" s="142"/>
      <c r="B201" s="142"/>
      <c r="C201" s="142"/>
      <c r="D201" s="142"/>
      <c r="E201" s="142"/>
    </row>
    <row r="202" spans="1:5" x14ac:dyDescent="0.25">
      <c r="A202" s="143" t="s">
        <v>21</v>
      </c>
      <c r="B202" s="143"/>
      <c r="C202" s="143"/>
      <c r="D202" s="143"/>
      <c r="E202" s="134" t="s">
        <v>23</v>
      </c>
    </row>
    <row r="203" spans="1:5" ht="36" x14ac:dyDescent="0.25">
      <c r="A203" s="144">
        <v>6008</v>
      </c>
      <c r="B203" s="144"/>
      <c r="C203" s="144"/>
      <c r="D203" s="144"/>
      <c r="E203" s="135"/>
    </row>
    <row r="204" spans="1:5" x14ac:dyDescent="0.25">
      <c r="A204" s="136" t="s">
        <v>625</v>
      </c>
      <c r="B204" s="136" t="s">
        <v>24</v>
      </c>
      <c r="C204" s="136" t="s">
        <v>25</v>
      </c>
      <c r="D204" s="136" t="s">
        <v>626</v>
      </c>
      <c r="E204" s="136" t="s">
        <v>30</v>
      </c>
    </row>
    <row r="205" spans="1:5" ht="15.75" x14ac:dyDescent="0.25">
      <c r="A205" s="136">
        <v>1</v>
      </c>
      <c r="B205" s="137" t="s">
        <v>37</v>
      </c>
      <c r="C205" s="137" t="s">
        <v>39</v>
      </c>
      <c r="D205" s="138" t="s">
        <v>272</v>
      </c>
      <c r="E205" s="135" t="s">
        <v>41</v>
      </c>
    </row>
    <row r="206" spans="1:5" ht="15.75" x14ac:dyDescent="0.25">
      <c r="A206" s="136">
        <v>2</v>
      </c>
      <c r="B206" s="137" t="s">
        <v>51</v>
      </c>
      <c r="C206" s="137" t="s">
        <v>52</v>
      </c>
      <c r="D206" s="138" t="s">
        <v>273</v>
      </c>
      <c r="E206" s="135"/>
    </row>
    <row r="207" spans="1:5" ht="15.75" x14ac:dyDescent="0.25">
      <c r="A207" s="136">
        <v>3</v>
      </c>
      <c r="B207" s="137" t="s">
        <v>61</v>
      </c>
      <c r="C207" s="137" t="s">
        <v>62</v>
      </c>
      <c r="D207" s="138" t="s">
        <v>275</v>
      </c>
      <c r="E207" s="135" t="s">
        <v>64</v>
      </c>
    </row>
    <row r="208" spans="1:5" ht="15.75" x14ac:dyDescent="0.25">
      <c r="A208" s="136">
        <v>4</v>
      </c>
      <c r="B208" s="137" t="s">
        <v>72</v>
      </c>
      <c r="C208" s="137" t="s">
        <v>73</v>
      </c>
      <c r="D208" s="138" t="s">
        <v>276</v>
      </c>
      <c r="E208" s="135"/>
    </row>
    <row r="209" spans="1:5" ht="15.75" x14ac:dyDescent="0.25">
      <c r="A209" s="136">
        <v>5</v>
      </c>
      <c r="B209" s="137" t="s">
        <v>88</v>
      </c>
      <c r="C209" s="137" t="s">
        <v>90</v>
      </c>
      <c r="D209" s="138" t="s">
        <v>277</v>
      </c>
      <c r="E209" s="135"/>
    </row>
    <row r="210" spans="1:5" ht="15.75" x14ac:dyDescent="0.25">
      <c r="A210" s="136">
        <v>6</v>
      </c>
      <c r="B210" s="137" t="s">
        <v>96</v>
      </c>
      <c r="C210" s="137" t="s">
        <v>62</v>
      </c>
      <c r="D210" s="138" t="s">
        <v>279</v>
      </c>
      <c r="E210" s="135"/>
    </row>
    <row r="211" spans="1:5" ht="15.75" x14ac:dyDescent="0.25">
      <c r="A211" s="136">
        <v>7</v>
      </c>
      <c r="B211" s="137" t="s">
        <v>98</v>
      </c>
      <c r="C211" s="137" t="s">
        <v>99</v>
      </c>
      <c r="D211" s="138" t="s">
        <v>280</v>
      </c>
      <c r="E211" s="135" t="s">
        <v>101</v>
      </c>
    </row>
    <row r="212" spans="1:5" ht="15.75" x14ac:dyDescent="0.25">
      <c r="A212" s="136">
        <v>8</v>
      </c>
      <c r="B212" s="137" t="s">
        <v>98</v>
      </c>
      <c r="C212" s="137" t="s">
        <v>99</v>
      </c>
      <c r="D212" s="138" t="s">
        <v>281</v>
      </c>
      <c r="E212" s="135" t="s">
        <v>101</v>
      </c>
    </row>
    <row r="213" spans="1:5" ht="15.75" x14ac:dyDescent="0.25">
      <c r="A213" s="136">
        <v>9</v>
      </c>
      <c r="B213" s="137" t="s">
        <v>98</v>
      </c>
      <c r="C213" s="137" t="s">
        <v>99</v>
      </c>
      <c r="D213" s="138" t="s">
        <v>282</v>
      </c>
      <c r="E213" s="135" t="s">
        <v>101</v>
      </c>
    </row>
    <row r="214" spans="1:5" ht="15.75" x14ac:dyDescent="0.25">
      <c r="A214" s="136">
        <v>10</v>
      </c>
      <c r="B214" s="137" t="s">
        <v>98</v>
      </c>
      <c r="C214" s="137" t="s">
        <v>99</v>
      </c>
      <c r="D214" s="138" t="s">
        <v>283</v>
      </c>
      <c r="E214" s="135" t="s">
        <v>101</v>
      </c>
    </row>
    <row r="215" spans="1:5" ht="15.75" x14ac:dyDescent="0.25">
      <c r="A215" s="136">
        <v>11</v>
      </c>
      <c r="B215" s="137" t="s">
        <v>98</v>
      </c>
      <c r="C215" s="137" t="s">
        <v>99</v>
      </c>
      <c r="D215" s="138" t="s">
        <v>284</v>
      </c>
      <c r="E215" s="139" t="s">
        <v>101</v>
      </c>
    </row>
    <row r="216" spans="1:5" ht="15.75" x14ac:dyDescent="0.25">
      <c r="A216" s="136">
        <v>12</v>
      </c>
      <c r="B216" s="137" t="s">
        <v>98</v>
      </c>
      <c r="C216" s="137" t="s">
        <v>99</v>
      </c>
      <c r="D216" s="138" t="s">
        <v>285</v>
      </c>
      <c r="E216" s="139" t="s">
        <v>101</v>
      </c>
    </row>
    <row r="217" spans="1:5" ht="15.75" x14ac:dyDescent="0.25">
      <c r="A217" s="136">
        <v>13</v>
      </c>
      <c r="B217" s="137" t="s">
        <v>114</v>
      </c>
      <c r="C217" s="137" t="s">
        <v>39</v>
      </c>
      <c r="D217" s="138" t="s">
        <v>52</v>
      </c>
      <c r="E217" s="139" t="s">
        <v>115</v>
      </c>
    </row>
    <row r="218" spans="1:5" ht="30" x14ac:dyDescent="0.25">
      <c r="A218" s="136">
        <v>14</v>
      </c>
      <c r="B218" s="137" t="s">
        <v>134</v>
      </c>
      <c r="C218" s="137" t="s">
        <v>135</v>
      </c>
      <c r="D218" s="138" t="s">
        <v>286</v>
      </c>
      <c r="E218" s="139" t="s">
        <v>138</v>
      </c>
    </row>
    <row r="219" spans="1:5" ht="15.75" x14ac:dyDescent="0.25">
      <c r="A219" s="136">
        <v>15</v>
      </c>
      <c r="B219" s="137" t="s">
        <v>145</v>
      </c>
      <c r="C219" s="137" t="s">
        <v>52</v>
      </c>
      <c r="D219" s="138" t="s">
        <v>287</v>
      </c>
      <c r="E219" s="139"/>
    </row>
    <row r="220" spans="1:5" ht="15.75" x14ac:dyDescent="0.25">
      <c r="A220" s="136">
        <v>16</v>
      </c>
      <c r="B220" s="137" t="s">
        <v>159</v>
      </c>
      <c r="C220" s="137" t="s">
        <v>160</v>
      </c>
      <c r="D220" s="138" t="s">
        <v>288</v>
      </c>
      <c r="E220" s="135"/>
    </row>
    <row r="221" spans="1:5" ht="15.75" x14ac:dyDescent="0.25">
      <c r="A221" s="136"/>
      <c r="B221" s="136"/>
      <c r="C221" s="136"/>
      <c r="D221" s="140"/>
      <c r="E221" s="141"/>
    </row>
    <row r="227" spans="1:5" ht="15.75" x14ac:dyDescent="0.25">
      <c r="E227" s="129" t="s">
        <v>2</v>
      </c>
    </row>
    <row r="228" spans="1:5" ht="15.75" x14ac:dyDescent="0.25">
      <c r="E228" s="129" t="s">
        <v>3</v>
      </c>
    </row>
    <row r="229" spans="1:5" ht="15.75" x14ac:dyDescent="0.25">
      <c r="E229" s="131" t="s">
        <v>7</v>
      </c>
    </row>
    <row r="230" spans="1:5" x14ac:dyDescent="0.25">
      <c r="E230" s="133" t="s">
        <v>624</v>
      </c>
    </row>
    <row r="231" spans="1:5" x14ac:dyDescent="0.25">
      <c r="A231" s="142" t="str">
        <f>VLOOKUP(A234,[1]BD!C:D,2,0)</f>
        <v>Tejupilco de Hidalgo</v>
      </c>
      <c r="B231" s="142"/>
      <c r="C231" s="142"/>
      <c r="D231" s="142"/>
      <c r="E231" s="142"/>
    </row>
    <row r="232" spans="1:5" x14ac:dyDescent="0.25">
      <c r="A232" s="142"/>
      <c r="B232" s="142"/>
      <c r="C232" s="142"/>
      <c r="D232" s="142"/>
      <c r="E232" s="142"/>
    </row>
    <row r="233" spans="1:5" x14ac:dyDescent="0.25">
      <c r="A233" s="143" t="s">
        <v>21</v>
      </c>
      <c r="B233" s="143"/>
      <c r="C233" s="143"/>
      <c r="D233" s="143"/>
      <c r="E233" s="134" t="s">
        <v>23</v>
      </c>
    </row>
    <row r="234" spans="1:5" ht="36" x14ac:dyDescent="0.25">
      <c r="A234" s="144">
        <v>6009</v>
      </c>
      <c r="B234" s="144"/>
      <c r="C234" s="144"/>
      <c r="D234" s="144"/>
      <c r="E234" s="135"/>
    </row>
    <row r="235" spans="1:5" x14ac:dyDescent="0.25">
      <c r="A235" s="136" t="s">
        <v>625</v>
      </c>
      <c r="B235" s="136" t="s">
        <v>24</v>
      </c>
      <c r="C235" s="136" t="s">
        <v>25</v>
      </c>
      <c r="D235" s="136" t="s">
        <v>626</v>
      </c>
      <c r="E235" s="136" t="s">
        <v>30</v>
      </c>
    </row>
    <row r="236" spans="1:5" ht="15.75" x14ac:dyDescent="0.25">
      <c r="A236" s="136">
        <v>1</v>
      </c>
      <c r="B236" s="137" t="s">
        <v>37</v>
      </c>
      <c r="C236" s="137" t="s">
        <v>39</v>
      </c>
      <c r="D236" s="138" t="s">
        <v>289</v>
      </c>
      <c r="E236" s="135" t="s">
        <v>41</v>
      </c>
    </row>
    <row r="237" spans="1:5" ht="15.75" x14ac:dyDescent="0.25">
      <c r="A237" s="136">
        <v>2</v>
      </c>
      <c r="B237" s="137" t="s">
        <v>51</v>
      </c>
      <c r="C237" s="137" t="s">
        <v>52</v>
      </c>
      <c r="D237" s="138" t="s">
        <v>290</v>
      </c>
      <c r="E237" s="135"/>
    </row>
    <row r="238" spans="1:5" ht="15.75" x14ac:dyDescent="0.25">
      <c r="A238" s="136">
        <v>3</v>
      </c>
      <c r="B238" s="137" t="s">
        <v>61</v>
      </c>
      <c r="C238" s="137" t="s">
        <v>62</v>
      </c>
      <c r="D238" s="138" t="s">
        <v>292</v>
      </c>
      <c r="E238" s="135" t="s">
        <v>64</v>
      </c>
    </row>
    <row r="239" spans="1:5" ht="15.75" x14ac:dyDescent="0.25">
      <c r="A239" s="136">
        <v>4</v>
      </c>
      <c r="B239" s="137" t="s">
        <v>72</v>
      </c>
      <c r="C239" s="137" t="s">
        <v>73</v>
      </c>
      <c r="D239" s="138" t="s">
        <v>293</v>
      </c>
      <c r="E239" s="135"/>
    </row>
    <row r="240" spans="1:5" ht="15.75" x14ac:dyDescent="0.25">
      <c r="A240" s="136">
        <v>5</v>
      </c>
      <c r="B240" s="137" t="s">
        <v>88</v>
      </c>
      <c r="C240" s="137" t="s">
        <v>90</v>
      </c>
      <c r="D240" s="138" t="s">
        <v>294</v>
      </c>
      <c r="E240" s="135"/>
    </row>
    <row r="241" spans="1:5" ht="15.75" x14ac:dyDescent="0.25">
      <c r="A241" s="136">
        <v>6</v>
      </c>
      <c r="B241" s="137" t="s">
        <v>96</v>
      </c>
      <c r="C241" s="137" t="s">
        <v>62</v>
      </c>
      <c r="D241" s="138" t="s">
        <v>296</v>
      </c>
      <c r="E241" s="135"/>
    </row>
    <row r="242" spans="1:5" ht="15.75" x14ac:dyDescent="0.25">
      <c r="A242" s="136">
        <v>7</v>
      </c>
      <c r="B242" s="137" t="s">
        <v>98</v>
      </c>
      <c r="C242" s="137" t="s">
        <v>99</v>
      </c>
      <c r="D242" s="138" t="s">
        <v>297</v>
      </c>
      <c r="E242" s="135" t="s">
        <v>101</v>
      </c>
    </row>
    <row r="243" spans="1:5" ht="15.75" x14ac:dyDescent="0.25">
      <c r="A243" s="136">
        <v>8</v>
      </c>
      <c r="B243" s="137" t="s">
        <v>98</v>
      </c>
      <c r="C243" s="137" t="s">
        <v>99</v>
      </c>
      <c r="D243" s="138" t="s">
        <v>298</v>
      </c>
      <c r="E243" s="135" t="s">
        <v>101</v>
      </c>
    </row>
    <row r="244" spans="1:5" ht="15.75" x14ac:dyDescent="0.25">
      <c r="A244" s="136">
        <v>9</v>
      </c>
      <c r="B244" s="137" t="s">
        <v>98</v>
      </c>
      <c r="C244" s="137" t="s">
        <v>99</v>
      </c>
      <c r="D244" s="138" t="s">
        <v>299</v>
      </c>
      <c r="E244" s="135" t="s">
        <v>101</v>
      </c>
    </row>
    <row r="245" spans="1:5" ht="15.75" x14ac:dyDescent="0.25">
      <c r="A245" s="136">
        <v>10</v>
      </c>
      <c r="B245" s="137" t="s">
        <v>98</v>
      </c>
      <c r="C245" s="137" t="s">
        <v>99</v>
      </c>
      <c r="D245" s="138" t="s">
        <v>300</v>
      </c>
      <c r="E245" s="135" t="s">
        <v>101</v>
      </c>
    </row>
    <row r="246" spans="1:5" ht="15.75" x14ac:dyDescent="0.25">
      <c r="A246" s="136">
        <v>11</v>
      </c>
      <c r="B246" s="137" t="s">
        <v>114</v>
      </c>
      <c r="C246" s="137" t="s">
        <v>39</v>
      </c>
      <c r="D246" s="138" t="s">
        <v>52</v>
      </c>
      <c r="E246" s="139" t="s">
        <v>115</v>
      </c>
    </row>
    <row r="247" spans="1:5" ht="32.25" customHeight="1" x14ac:dyDescent="0.25">
      <c r="A247" s="136">
        <v>12</v>
      </c>
      <c r="B247" s="137" t="s">
        <v>134</v>
      </c>
      <c r="C247" s="137" t="s">
        <v>135</v>
      </c>
      <c r="D247" s="138" t="s">
        <v>302</v>
      </c>
      <c r="E247" s="139" t="s">
        <v>138</v>
      </c>
    </row>
    <row r="248" spans="1:5" ht="15.75" x14ac:dyDescent="0.25">
      <c r="A248" s="136">
        <v>13</v>
      </c>
      <c r="B248" s="137" t="s">
        <v>145</v>
      </c>
      <c r="C248" s="137" t="s">
        <v>52</v>
      </c>
      <c r="D248" s="138" t="s">
        <v>303</v>
      </c>
      <c r="E248" s="135"/>
    </row>
    <row r="249" spans="1:5" ht="15.75" x14ac:dyDescent="0.25">
      <c r="A249" s="136">
        <v>14</v>
      </c>
      <c r="B249" s="137" t="s">
        <v>159</v>
      </c>
      <c r="C249" s="137" t="s">
        <v>160</v>
      </c>
      <c r="D249" s="138" t="s">
        <v>304</v>
      </c>
      <c r="E249" s="135"/>
    </row>
    <row r="250" spans="1:5" ht="15.75" x14ac:dyDescent="0.25">
      <c r="A250" s="136"/>
      <c r="B250" s="136"/>
      <c r="C250" s="136"/>
      <c r="D250" s="140"/>
      <c r="E250" s="141"/>
    </row>
    <row r="258" spans="1:5" ht="15.75" x14ac:dyDescent="0.25">
      <c r="E258" s="129" t="s">
        <v>2</v>
      </c>
    </row>
    <row r="259" spans="1:5" ht="15.75" x14ac:dyDescent="0.25">
      <c r="E259" s="129" t="s">
        <v>3</v>
      </c>
    </row>
    <row r="260" spans="1:5" ht="15.75" x14ac:dyDescent="0.25">
      <c r="E260" s="131" t="s">
        <v>7</v>
      </c>
    </row>
    <row r="261" spans="1:5" x14ac:dyDescent="0.25">
      <c r="E261" s="133" t="s">
        <v>624</v>
      </c>
    </row>
    <row r="262" spans="1:5" x14ac:dyDescent="0.25">
      <c r="A262" s="142" t="str">
        <f>VLOOKUP(A265,[1]BD!C:D,2,0)</f>
        <v>Valle de Bravo</v>
      </c>
      <c r="B262" s="142"/>
      <c r="C262" s="142"/>
      <c r="D262" s="142"/>
      <c r="E262" s="142"/>
    </row>
    <row r="263" spans="1:5" x14ac:dyDescent="0.25">
      <c r="A263" s="142"/>
      <c r="B263" s="142"/>
      <c r="C263" s="142"/>
      <c r="D263" s="142"/>
      <c r="E263" s="142"/>
    </row>
    <row r="264" spans="1:5" x14ac:dyDescent="0.25">
      <c r="A264" s="143" t="s">
        <v>21</v>
      </c>
      <c r="B264" s="143"/>
      <c r="C264" s="143"/>
      <c r="D264" s="143"/>
      <c r="E264" s="134" t="s">
        <v>23</v>
      </c>
    </row>
    <row r="265" spans="1:5" ht="36" x14ac:dyDescent="0.25">
      <c r="A265" s="144">
        <v>6010</v>
      </c>
      <c r="B265" s="144"/>
      <c r="C265" s="144"/>
      <c r="D265" s="144"/>
      <c r="E265" s="135"/>
    </row>
    <row r="266" spans="1:5" x14ac:dyDescent="0.25">
      <c r="A266" s="136" t="s">
        <v>625</v>
      </c>
      <c r="B266" s="136" t="s">
        <v>24</v>
      </c>
      <c r="C266" s="136" t="s">
        <v>25</v>
      </c>
      <c r="D266" s="136" t="s">
        <v>626</v>
      </c>
      <c r="E266" s="136" t="s">
        <v>30</v>
      </c>
    </row>
    <row r="267" spans="1:5" ht="15.75" x14ac:dyDescent="0.25">
      <c r="A267" s="136">
        <v>1</v>
      </c>
      <c r="B267" s="137" t="s">
        <v>37</v>
      </c>
      <c r="C267" s="137" t="s">
        <v>39</v>
      </c>
      <c r="D267" s="138"/>
      <c r="E267" s="135" t="s">
        <v>305</v>
      </c>
    </row>
    <row r="268" spans="1:5" ht="15.75" x14ac:dyDescent="0.25">
      <c r="A268" s="136">
        <v>2</v>
      </c>
      <c r="B268" s="137" t="s">
        <v>51</v>
      </c>
      <c r="C268" s="137" t="s">
        <v>52</v>
      </c>
      <c r="D268" s="138" t="s">
        <v>307</v>
      </c>
      <c r="E268" s="135"/>
    </row>
    <row r="269" spans="1:5" ht="15.75" x14ac:dyDescent="0.25">
      <c r="A269" s="136">
        <v>3</v>
      </c>
      <c r="B269" s="137" t="s">
        <v>61</v>
      </c>
      <c r="C269" s="137" t="s">
        <v>62</v>
      </c>
      <c r="D269" s="138" t="s">
        <v>308</v>
      </c>
      <c r="E269" s="135" t="s">
        <v>64</v>
      </c>
    </row>
    <row r="270" spans="1:5" ht="15.75" x14ac:dyDescent="0.25">
      <c r="A270" s="136">
        <v>4</v>
      </c>
      <c r="B270" s="137" t="s">
        <v>72</v>
      </c>
      <c r="C270" s="137" t="s">
        <v>73</v>
      </c>
      <c r="D270" s="138" t="s">
        <v>309</v>
      </c>
      <c r="E270" s="135"/>
    </row>
    <row r="271" spans="1:5" ht="15.75" x14ac:dyDescent="0.25">
      <c r="A271" s="136">
        <v>5</v>
      </c>
      <c r="B271" s="137" t="s">
        <v>88</v>
      </c>
      <c r="C271" s="137" t="s">
        <v>90</v>
      </c>
      <c r="D271" s="138" t="s">
        <v>310</v>
      </c>
      <c r="E271" s="135"/>
    </row>
    <row r="272" spans="1:5" ht="15.75" x14ac:dyDescent="0.25">
      <c r="A272" s="136">
        <v>6</v>
      </c>
      <c r="B272" s="137" t="s">
        <v>96</v>
      </c>
      <c r="C272" s="137" t="s">
        <v>62</v>
      </c>
      <c r="D272" s="138" t="s">
        <v>312</v>
      </c>
      <c r="E272" s="135"/>
    </row>
    <row r="273" spans="1:5" ht="15.75" x14ac:dyDescent="0.25">
      <c r="A273" s="136">
        <v>7</v>
      </c>
      <c r="B273" s="137" t="s">
        <v>98</v>
      </c>
      <c r="C273" s="137" t="s">
        <v>99</v>
      </c>
      <c r="D273" s="138" t="s">
        <v>313</v>
      </c>
      <c r="E273" s="135" t="s">
        <v>101</v>
      </c>
    </row>
    <row r="274" spans="1:5" ht="15.75" x14ac:dyDescent="0.25">
      <c r="A274" s="136">
        <v>8</v>
      </c>
      <c r="B274" s="137" t="s">
        <v>98</v>
      </c>
      <c r="C274" s="137" t="s">
        <v>99</v>
      </c>
      <c r="D274" s="138" t="s">
        <v>314</v>
      </c>
      <c r="E274" s="135" t="s">
        <v>101</v>
      </c>
    </row>
    <row r="275" spans="1:5" ht="15.75" x14ac:dyDescent="0.25">
      <c r="A275" s="136">
        <v>9</v>
      </c>
      <c r="B275" s="137" t="s">
        <v>98</v>
      </c>
      <c r="C275" s="137" t="s">
        <v>99</v>
      </c>
      <c r="D275" s="138" t="s">
        <v>315</v>
      </c>
      <c r="E275" s="135" t="s">
        <v>101</v>
      </c>
    </row>
    <row r="276" spans="1:5" ht="15.75" x14ac:dyDescent="0.25">
      <c r="A276" s="136">
        <v>10</v>
      </c>
      <c r="B276" s="137" t="s">
        <v>114</v>
      </c>
      <c r="C276" s="137" t="s">
        <v>39</v>
      </c>
      <c r="D276" s="138" t="s">
        <v>52</v>
      </c>
      <c r="E276" s="135" t="s">
        <v>115</v>
      </c>
    </row>
    <row r="277" spans="1:5" ht="30" x14ac:dyDescent="0.25">
      <c r="A277" s="136">
        <v>11</v>
      </c>
      <c r="B277" s="137" t="s">
        <v>134</v>
      </c>
      <c r="C277" s="137" t="s">
        <v>135</v>
      </c>
      <c r="D277" s="138" t="s">
        <v>317</v>
      </c>
      <c r="E277" s="139" t="s">
        <v>138</v>
      </c>
    </row>
    <row r="278" spans="1:5" ht="15.75" x14ac:dyDescent="0.25">
      <c r="A278" s="136">
        <v>12</v>
      </c>
      <c r="B278" s="137" t="s">
        <v>145</v>
      </c>
      <c r="C278" s="137" t="s">
        <v>52</v>
      </c>
      <c r="D278" s="138" t="s">
        <v>318</v>
      </c>
      <c r="E278" s="135"/>
    </row>
    <row r="279" spans="1:5" ht="15.75" x14ac:dyDescent="0.25">
      <c r="A279" s="136">
        <v>13</v>
      </c>
      <c r="B279" s="137" t="s">
        <v>159</v>
      </c>
      <c r="C279" s="137" t="s">
        <v>319</v>
      </c>
      <c r="D279" s="138" t="s">
        <v>320</v>
      </c>
      <c r="E279" s="135"/>
    </row>
    <row r="280" spans="1:5" ht="15.75" x14ac:dyDescent="0.25">
      <c r="A280" s="136"/>
      <c r="B280" s="136"/>
      <c r="C280" s="136"/>
      <c r="D280" s="140"/>
      <c r="E280" s="141"/>
    </row>
    <row r="284" spans="1:5" ht="15.75" x14ac:dyDescent="0.25">
      <c r="E284" s="129" t="s">
        <v>2</v>
      </c>
    </row>
    <row r="285" spans="1:5" ht="15.75" x14ac:dyDescent="0.25">
      <c r="E285" s="129" t="s">
        <v>3</v>
      </c>
    </row>
    <row r="286" spans="1:5" ht="15.75" x14ac:dyDescent="0.25">
      <c r="E286" s="131" t="s">
        <v>7</v>
      </c>
    </row>
    <row r="287" spans="1:5" x14ac:dyDescent="0.25">
      <c r="E287" s="133" t="s">
        <v>624</v>
      </c>
    </row>
    <row r="288" spans="1:5" x14ac:dyDescent="0.25">
      <c r="A288" s="142" t="str">
        <f>VLOOKUP(A291,[1]BD!C:D,2,0)</f>
        <v>Tultitlan de Mariano Escobedo</v>
      </c>
      <c r="B288" s="142"/>
      <c r="C288" s="142"/>
      <c r="D288" s="142"/>
      <c r="E288" s="142"/>
    </row>
    <row r="289" spans="1:5" x14ac:dyDescent="0.25">
      <c r="A289" s="142"/>
      <c r="B289" s="142"/>
      <c r="C289" s="142"/>
      <c r="D289" s="142"/>
      <c r="E289" s="142"/>
    </row>
    <row r="290" spans="1:5" x14ac:dyDescent="0.25">
      <c r="A290" s="143" t="s">
        <v>21</v>
      </c>
      <c r="B290" s="143"/>
      <c r="C290" s="143"/>
      <c r="D290" s="143"/>
      <c r="E290" s="134" t="s">
        <v>23</v>
      </c>
    </row>
    <row r="291" spans="1:5" ht="36" x14ac:dyDescent="0.25">
      <c r="A291" s="144">
        <v>6011</v>
      </c>
      <c r="B291" s="144"/>
      <c r="C291" s="144"/>
      <c r="D291" s="144"/>
      <c r="E291" s="135"/>
    </row>
    <row r="292" spans="1:5" x14ac:dyDescent="0.25">
      <c r="A292" s="136" t="s">
        <v>625</v>
      </c>
      <c r="B292" s="136" t="s">
        <v>24</v>
      </c>
      <c r="C292" s="136" t="s">
        <v>25</v>
      </c>
      <c r="D292" s="136" t="s">
        <v>626</v>
      </c>
      <c r="E292" s="136" t="s">
        <v>30</v>
      </c>
    </row>
    <row r="293" spans="1:5" ht="15.75" x14ac:dyDescent="0.25">
      <c r="A293" s="136">
        <v>1</v>
      </c>
      <c r="B293" s="137" t="s">
        <v>37</v>
      </c>
      <c r="C293" s="137" t="s">
        <v>39</v>
      </c>
      <c r="D293" s="138" t="s">
        <v>321</v>
      </c>
      <c r="E293" s="135" t="s">
        <v>41</v>
      </c>
    </row>
    <row r="294" spans="1:5" ht="15.75" x14ac:dyDescent="0.25">
      <c r="A294" s="136">
        <v>2</v>
      </c>
      <c r="B294" s="137" t="s">
        <v>51</v>
      </c>
      <c r="C294" s="137" t="s">
        <v>52</v>
      </c>
      <c r="D294" s="138" t="s">
        <v>322</v>
      </c>
      <c r="E294" s="135"/>
    </row>
    <row r="295" spans="1:5" ht="15.75" x14ac:dyDescent="0.25">
      <c r="A295" s="136">
        <v>3</v>
      </c>
      <c r="B295" s="137" t="s">
        <v>61</v>
      </c>
      <c r="C295" s="137" t="s">
        <v>62</v>
      </c>
      <c r="D295" s="138" t="s">
        <v>324</v>
      </c>
      <c r="E295" s="135" t="s">
        <v>64</v>
      </c>
    </row>
    <row r="296" spans="1:5" ht="15.75" x14ac:dyDescent="0.25">
      <c r="A296" s="136">
        <v>4</v>
      </c>
      <c r="B296" s="137" t="s">
        <v>72</v>
      </c>
      <c r="C296" s="137" t="s">
        <v>73</v>
      </c>
      <c r="D296" s="138" t="s">
        <v>325</v>
      </c>
      <c r="E296" s="135"/>
    </row>
    <row r="297" spans="1:5" ht="15.75" x14ac:dyDescent="0.25">
      <c r="A297" s="136">
        <v>5</v>
      </c>
      <c r="B297" s="137" t="s">
        <v>88</v>
      </c>
      <c r="C297" s="137" t="s">
        <v>90</v>
      </c>
      <c r="D297" s="138" t="s">
        <v>326</v>
      </c>
      <c r="E297" s="135"/>
    </row>
    <row r="298" spans="1:5" ht="15.75" x14ac:dyDescent="0.25">
      <c r="A298" s="136">
        <v>6</v>
      </c>
      <c r="B298" s="137" t="s">
        <v>96</v>
      </c>
      <c r="C298" s="137" t="s">
        <v>62</v>
      </c>
      <c r="D298" s="138" t="s">
        <v>328</v>
      </c>
      <c r="E298" s="135"/>
    </row>
    <row r="299" spans="1:5" ht="15.75" x14ac:dyDescent="0.25">
      <c r="A299" s="136">
        <v>7</v>
      </c>
      <c r="B299" s="137" t="s">
        <v>98</v>
      </c>
      <c r="C299" s="137" t="s">
        <v>99</v>
      </c>
      <c r="D299" s="138" t="s">
        <v>329</v>
      </c>
      <c r="E299" s="135" t="s">
        <v>101</v>
      </c>
    </row>
    <row r="300" spans="1:5" ht="15.75" x14ac:dyDescent="0.25">
      <c r="A300" s="136">
        <v>8</v>
      </c>
      <c r="B300" s="137" t="s">
        <v>98</v>
      </c>
      <c r="C300" s="137" t="s">
        <v>99</v>
      </c>
      <c r="D300" s="138" t="s">
        <v>330</v>
      </c>
      <c r="E300" s="135" t="s">
        <v>101</v>
      </c>
    </row>
    <row r="301" spans="1:5" ht="15.75" x14ac:dyDescent="0.25">
      <c r="A301" s="136">
        <v>9</v>
      </c>
      <c r="B301" s="137" t="s">
        <v>98</v>
      </c>
      <c r="C301" s="137" t="s">
        <v>99</v>
      </c>
      <c r="D301" s="138" t="s">
        <v>331</v>
      </c>
      <c r="E301" s="135" t="s">
        <v>101</v>
      </c>
    </row>
    <row r="302" spans="1:5" ht="15.75" x14ac:dyDescent="0.25">
      <c r="A302" s="136">
        <v>10</v>
      </c>
      <c r="B302" s="137" t="s">
        <v>114</v>
      </c>
      <c r="C302" s="137" t="s">
        <v>39</v>
      </c>
      <c r="D302" s="138" t="s">
        <v>52</v>
      </c>
      <c r="E302" s="135" t="s">
        <v>115</v>
      </c>
    </row>
    <row r="303" spans="1:5" ht="30" x14ac:dyDescent="0.25">
      <c r="A303" s="136">
        <v>11</v>
      </c>
      <c r="B303" s="137" t="s">
        <v>134</v>
      </c>
      <c r="C303" s="137" t="s">
        <v>135</v>
      </c>
      <c r="D303" s="138" t="s">
        <v>333</v>
      </c>
      <c r="E303" s="139" t="s">
        <v>138</v>
      </c>
    </row>
    <row r="304" spans="1:5" ht="15.75" x14ac:dyDescent="0.25">
      <c r="A304" s="136">
        <v>12</v>
      </c>
      <c r="B304" s="137" t="s">
        <v>145</v>
      </c>
      <c r="C304" s="137" t="s">
        <v>52</v>
      </c>
      <c r="D304" s="138" t="s">
        <v>335</v>
      </c>
      <c r="E304" s="139"/>
    </row>
    <row r="305" spans="1:5" ht="15.75" x14ac:dyDescent="0.25">
      <c r="A305" s="136">
        <v>13</v>
      </c>
      <c r="B305" s="137" t="s">
        <v>159</v>
      </c>
      <c r="C305" s="137" t="s">
        <v>160</v>
      </c>
      <c r="D305" s="138" t="s">
        <v>337</v>
      </c>
      <c r="E305" s="139"/>
    </row>
    <row r="306" spans="1:5" x14ac:dyDescent="0.25">
      <c r="A306" s="136"/>
      <c r="B306" s="136"/>
      <c r="C306" s="136"/>
      <c r="D306" s="136"/>
      <c r="E306" s="136"/>
    </row>
    <row r="310" spans="1:5" ht="15.75" x14ac:dyDescent="0.25">
      <c r="E310" s="129" t="s">
        <v>2</v>
      </c>
    </row>
    <row r="311" spans="1:5" ht="15.75" x14ac:dyDescent="0.25">
      <c r="E311" s="129" t="s">
        <v>3</v>
      </c>
    </row>
    <row r="312" spans="1:5" ht="15.75" x14ac:dyDescent="0.25">
      <c r="E312" s="131" t="s">
        <v>7</v>
      </c>
    </row>
    <row r="313" spans="1:5" x14ac:dyDescent="0.25">
      <c r="E313" s="133" t="s">
        <v>624</v>
      </c>
    </row>
    <row r="314" spans="1:5" x14ac:dyDescent="0.25">
      <c r="A314" s="142" t="str">
        <f>VLOOKUP(A317,[1]BD!C:D,2,0)</f>
        <v>Teoloyucan</v>
      </c>
      <c r="B314" s="142"/>
      <c r="C314" s="142"/>
      <c r="D314" s="142"/>
      <c r="E314" s="142"/>
    </row>
    <row r="315" spans="1:5" x14ac:dyDescent="0.25">
      <c r="A315" s="142"/>
      <c r="B315" s="142"/>
      <c r="C315" s="142"/>
      <c r="D315" s="142"/>
      <c r="E315" s="142"/>
    </row>
    <row r="316" spans="1:5" x14ac:dyDescent="0.25">
      <c r="A316" s="143" t="s">
        <v>21</v>
      </c>
      <c r="B316" s="143"/>
      <c r="C316" s="143"/>
      <c r="D316" s="143"/>
      <c r="E316" s="134" t="s">
        <v>23</v>
      </c>
    </row>
    <row r="317" spans="1:5" ht="36" x14ac:dyDescent="0.25">
      <c r="A317" s="144">
        <v>6012</v>
      </c>
      <c r="B317" s="144"/>
      <c r="C317" s="144"/>
      <c r="D317" s="144"/>
      <c r="E317" s="135"/>
    </row>
    <row r="318" spans="1:5" x14ac:dyDescent="0.25">
      <c r="A318" s="136" t="s">
        <v>625</v>
      </c>
      <c r="B318" s="136" t="s">
        <v>24</v>
      </c>
      <c r="C318" s="136" t="s">
        <v>25</v>
      </c>
      <c r="D318" s="136" t="s">
        <v>626</v>
      </c>
      <c r="E318" s="136" t="s">
        <v>30</v>
      </c>
    </row>
    <row r="319" spans="1:5" ht="15.75" x14ac:dyDescent="0.25">
      <c r="A319" s="136">
        <v>1</v>
      </c>
      <c r="B319" s="137" t="s">
        <v>37</v>
      </c>
      <c r="C319" s="137" t="s">
        <v>39</v>
      </c>
      <c r="D319" s="138" t="s">
        <v>339</v>
      </c>
      <c r="E319" s="135" t="s">
        <v>41</v>
      </c>
    </row>
    <row r="320" spans="1:5" ht="15.75" x14ac:dyDescent="0.25">
      <c r="A320" s="136">
        <v>2</v>
      </c>
      <c r="B320" s="137" t="s">
        <v>51</v>
      </c>
      <c r="C320" s="137" t="s">
        <v>52</v>
      </c>
      <c r="D320" s="138" t="s">
        <v>341</v>
      </c>
      <c r="E320" s="135"/>
    </row>
    <row r="321" spans="1:5" ht="15.75" x14ac:dyDescent="0.25">
      <c r="A321" s="136">
        <v>3</v>
      </c>
      <c r="B321" s="137" t="s">
        <v>61</v>
      </c>
      <c r="C321" s="137" t="s">
        <v>62</v>
      </c>
      <c r="D321" s="138" t="s">
        <v>342</v>
      </c>
      <c r="E321" s="135" t="s">
        <v>64</v>
      </c>
    </row>
    <row r="322" spans="1:5" ht="15.75" x14ac:dyDescent="0.25">
      <c r="A322" s="136">
        <v>4</v>
      </c>
      <c r="B322" s="137" t="s">
        <v>72</v>
      </c>
      <c r="C322" s="137" t="s">
        <v>73</v>
      </c>
      <c r="D322" s="138" t="s">
        <v>344</v>
      </c>
      <c r="E322" s="135"/>
    </row>
    <row r="323" spans="1:5" ht="15.75" x14ac:dyDescent="0.25">
      <c r="A323" s="136">
        <v>5</v>
      </c>
      <c r="B323" s="137" t="s">
        <v>88</v>
      </c>
      <c r="C323" s="137" t="s">
        <v>90</v>
      </c>
      <c r="D323" s="138" t="s">
        <v>346</v>
      </c>
      <c r="E323" s="135"/>
    </row>
    <row r="324" spans="1:5" ht="15.75" x14ac:dyDescent="0.25">
      <c r="A324" s="136">
        <v>6</v>
      </c>
      <c r="B324" s="137" t="s">
        <v>96</v>
      </c>
      <c r="C324" s="137" t="s">
        <v>62</v>
      </c>
      <c r="D324" s="138" t="s">
        <v>347</v>
      </c>
      <c r="E324" s="135"/>
    </row>
    <row r="325" spans="1:5" ht="15.75" x14ac:dyDescent="0.25">
      <c r="A325" s="136">
        <v>7</v>
      </c>
      <c r="B325" s="137" t="s">
        <v>98</v>
      </c>
      <c r="C325" s="137" t="s">
        <v>99</v>
      </c>
      <c r="D325" s="138" t="s">
        <v>349</v>
      </c>
      <c r="E325" s="135" t="s">
        <v>101</v>
      </c>
    </row>
    <row r="326" spans="1:5" ht="15.75" x14ac:dyDescent="0.25">
      <c r="A326" s="136">
        <v>8</v>
      </c>
      <c r="B326" s="137" t="s">
        <v>98</v>
      </c>
      <c r="C326" s="137" t="s">
        <v>99</v>
      </c>
      <c r="D326" s="138" t="s">
        <v>351</v>
      </c>
      <c r="E326" s="135" t="s">
        <v>101</v>
      </c>
    </row>
    <row r="327" spans="1:5" ht="15.75" x14ac:dyDescent="0.25">
      <c r="A327" s="136">
        <v>9</v>
      </c>
      <c r="B327" s="137" t="s">
        <v>98</v>
      </c>
      <c r="C327" s="137" t="s">
        <v>352</v>
      </c>
      <c r="D327" s="138" t="s">
        <v>354</v>
      </c>
      <c r="E327" s="135" t="s">
        <v>101</v>
      </c>
    </row>
    <row r="328" spans="1:5" ht="15.75" x14ac:dyDescent="0.25">
      <c r="A328" s="136">
        <v>10</v>
      </c>
      <c r="B328" s="137" t="s">
        <v>114</v>
      </c>
      <c r="C328" s="137" t="s">
        <v>39</v>
      </c>
      <c r="D328" s="138" t="s">
        <v>52</v>
      </c>
      <c r="E328" s="135" t="s">
        <v>115</v>
      </c>
    </row>
    <row r="329" spans="1:5" ht="30" x14ac:dyDescent="0.25">
      <c r="A329" s="136">
        <v>11</v>
      </c>
      <c r="B329" s="137" t="s">
        <v>134</v>
      </c>
      <c r="C329" s="137" t="s">
        <v>135</v>
      </c>
      <c r="D329" s="138" t="s">
        <v>356</v>
      </c>
      <c r="E329" s="139" t="s">
        <v>138</v>
      </c>
    </row>
    <row r="330" spans="1:5" ht="15.75" x14ac:dyDescent="0.25">
      <c r="A330" s="136">
        <v>12</v>
      </c>
      <c r="B330" s="137" t="s">
        <v>145</v>
      </c>
      <c r="C330" s="137" t="s">
        <v>52</v>
      </c>
      <c r="D330" s="138" t="s">
        <v>358</v>
      </c>
      <c r="E330" s="139"/>
    </row>
    <row r="331" spans="1:5" ht="15.75" x14ac:dyDescent="0.25">
      <c r="A331" s="136">
        <v>13</v>
      </c>
      <c r="B331" s="137" t="s">
        <v>159</v>
      </c>
      <c r="C331" s="137" t="s">
        <v>160</v>
      </c>
      <c r="D331" s="138" t="s">
        <v>360</v>
      </c>
      <c r="E331" s="139"/>
    </row>
    <row r="332" spans="1:5" x14ac:dyDescent="0.25">
      <c r="A332" s="136"/>
      <c r="B332" s="136"/>
      <c r="C332" s="136"/>
      <c r="D332" s="136"/>
      <c r="E332" s="136"/>
    </row>
    <row r="336" spans="1:5" ht="15.75" x14ac:dyDescent="0.25">
      <c r="E336" s="129" t="s">
        <v>2</v>
      </c>
    </row>
    <row r="337" spans="1:5" ht="15.75" x14ac:dyDescent="0.25">
      <c r="E337" s="129" t="s">
        <v>3</v>
      </c>
    </row>
    <row r="338" spans="1:5" ht="15.75" x14ac:dyDescent="0.25">
      <c r="E338" s="131" t="s">
        <v>7</v>
      </c>
    </row>
    <row r="339" spans="1:5" x14ac:dyDescent="0.25">
      <c r="E339" s="133" t="s">
        <v>624</v>
      </c>
    </row>
    <row r="340" spans="1:5" x14ac:dyDescent="0.25">
      <c r="A340" s="142" t="str">
        <f>VLOOKUP(A343,[1]BD!C:D,2,0)</f>
        <v>Atlacomulco de Fabela</v>
      </c>
      <c r="B340" s="142"/>
      <c r="C340" s="142"/>
      <c r="D340" s="142"/>
      <c r="E340" s="142"/>
    </row>
    <row r="341" spans="1:5" x14ac:dyDescent="0.25">
      <c r="A341" s="142"/>
      <c r="B341" s="142"/>
      <c r="C341" s="142"/>
      <c r="D341" s="142"/>
      <c r="E341" s="142"/>
    </row>
    <row r="342" spans="1:5" x14ac:dyDescent="0.25">
      <c r="A342" s="143" t="s">
        <v>21</v>
      </c>
      <c r="B342" s="143"/>
      <c r="C342" s="143"/>
      <c r="D342" s="143"/>
      <c r="E342" s="134" t="s">
        <v>23</v>
      </c>
    </row>
    <row r="343" spans="1:5" ht="36" x14ac:dyDescent="0.25">
      <c r="A343" s="144">
        <v>6013</v>
      </c>
      <c r="B343" s="144"/>
      <c r="C343" s="144"/>
      <c r="D343" s="144"/>
      <c r="E343" s="135"/>
    </row>
    <row r="344" spans="1:5" x14ac:dyDescent="0.25">
      <c r="A344" s="136" t="s">
        <v>625</v>
      </c>
      <c r="B344" s="136" t="s">
        <v>24</v>
      </c>
      <c r="C344" s="136" t="s">
        <v>25</v>
      </c>
      <c r="D344" s="136" t="s">
        <v>626</v>
      </c>
      <c r="E344" s="136" t="s">
        <v>30</v>
      </c>
    </row>
    <row r="345" spans="1:5" ht="15.75" x14ac:dyDescent="0.25">
      <c r="A345" s="136">
        <v>1</v>
      </c>
      <c r="B345" s="137" t="s">
        <v>37</v>
      </c>
      <c r="C345" s="137" t="s">
        <v>39</v>
      </c>
      <c r="D345" s="138" t="s">
        <v>362</v>
      </c>
      <c r="E345" s="135" t="s">
        <v>41</v>
      </c>
    </row>
    <row r="346" spans="1:5" ht="15.75" x14ac:dyDescent="0.25">
      <c r="A346" s="136">
        <v>2</v>
      </c>
      <c r="B346" s="137" t="s">
        <v>51</v>
      </c>
      <c r="C346" s="137" t="s">
        <v>52</v>
      </c>
      <c r="D346" s="138" t="s">
        <v>364</v>
      </c>
      <c r="E346" s="135"/>
    </row>
    <row r="347" spans="1:5" ht="15.75" x14ac:dyDescent="0.25">
      <c r="A347" s="136">
        <v>3</v>
      </c>
      <c r="B347" s="137" t="s">
        <v>61</v>
      </c>
      <c r="C347" s="137" t="s">
        <v>62</v>
      </c>
      <c r="D347" s="138" t="s">
        <v>365</v>
      </c>
      <c r="E347" s="135" t="s">
        <v>64</v>
      </c>
    </row>
    <row r="348" spans="1:5" ht="15.75" x14ac:dyDescent="0.25">
      <c r="A348" s="136">
        <v>4</v>
      </c>
      <c r="B348" s="137" t="s">
        <v>72</v>
      </c>
      <c r="C348" s="137" t="s">
        <v>73</v>
      </c>
      <c r="D348" s="138" t="s">
        <v>367</v>
      </c>
      <c r="E348" s="135"/>
    </row>
    <row r="349" spans="1:5" ht="15.75" x14ac:dyDescent="0.25">
      <c r="A349" s="136">
        <v>5</v>
      </c>
      <c r="B349" s="137" t="s">
        <v>88</v>
      </c>
      <c r="C349" s="137" t="s">
        <v>90</v>
      </c>
      <c r="D349" s="138" t="s">
        <v>369</v>
      </c>
      <c r="E349" s="135"/>
    </row>
    <row r="350" spans="1:5" ht="15.75" x14ac:dyDescent="0.25">
      <c r="A350" s="136">
        <v>6</v>
      </c>
      <c r="B350" s="137" t="s">
        <v>96</v>
      </c>
      <c r="C350" s="137" t="s">
        <v>62</v>
      </c>
      <c r="D350" s="138" t="s">
        <v>370</v>
      </c>
      <c r="E350" s="135"/>
    </row>
    <row r="351" spans="1:5" ht="15.75" x14ac:dyDescent="0.25">
      <c r="A351" s="136">
        <v>7</v>
      </c>
      <c r="B351" s="137" t="s">
        <v>98</v>
      </c>
      <c r="C351" s="137" t="s">
        <v>352</v>
      </c>
      <c r="D351" s="138" t="s">
        <v>372</v>
      </c>
      <c r="E351" s="135" t="s">
        <v>101</v>
      </c>
    </row>
    <row r="352" spans="1:5" ht="15.75" x14ac:dyDescent="0.25">
      <c r="A352" s="136">
        <v>8</v>
      </c>
      <c r="B352" s="137" t="s">
        <v>98</v>
      </c>
      <c r="C352" s="137" t="s">
        <v>352</v>
      </c>
      <c r="D352" s="138" t="s">
        <v>374</v>
      </c>
      <c r="E352" s="135" t="s">
        <v>101</v>
      </c>
    </row>
    <row r="353" spans="1:5" ht="15.75" x14ac:dyDescent="0.25">
      <c r="A353" s="136">
        <v>9</v>
      </c>
      <c r="B353" s="137" t="s">
        <v>98</v>
      </c>
      <c r="C353" s="137" t="s">
        <v>352</v>
      </c>
      <c r="D353" s="138" t="s">
        <v>376</v>
      </c>
      <c r="E353" s="135" t="s">
        <v>101</v>
      </c>
    </row>
    <row r="354" spans="1:5" ht="15.75" x14ac:dyDescent="0.25">
      <c r="A354" s="136">
        <v>10</v>
      </c>
      <c r="B354" s="137" t="s">
        <v>114</v>
      </c>
      <c r="C354" s="137" t="s">
        <v>39</v>
      </c>
      <c r="D354" s="138" t="s">
        <v>52</v>
      </c>
      <c r="E354" s="135" t="s">
        <v>115</v>
      </c>
    </row>
    <row r="355" spans="1:5" ht="30" x14ac:dyDescent="0.25">
      <c r="A355" s="136">
        <v>11</v>
      </c>
      <c r="B355" s="137" t="s">
        <v>134</v>
      </c>
      <c r="C355" s="137" t="s">
        <v>135</v>
      </c>
      <c r="D355" s="138" t="s">
        <v>378</v>
      </c>
      <c r="E355" s="139" t="s">
        <v>138</v>
      </c>
    </row>
    <row r="356" spans="1:5" ht="15.75" x14ac:dyDescent="0.25">
      <c r="A356" s="136">
        <v>12</v>
      </c>
      <c r="B356" s="137" t="s">
        <v>145</v>
      </c>
      <c r="C356" s="137" t="s">
        <v>52</v>
      </c>
      <c r="D356" s="138" t="s">
        <v>379</v>
      </c>
      <c r="E356" s="139"/>
    </row>
    <row r="357" spans="1:5" ht="15.75" x14ac:dyDescent="0.25">
      <c r="A357" s="136">
        <v>13</v>
      </c>
      <c r="B357" s="137" t="s">
        <v>159</v>
      </c>
      <c r="C357" s="137" t="s">
        <v>160</v>
      </c>
      <c r="D357" s="138" t="s">
        <v>381</v>
      </c>
      <c r="E357" s="139"/>
    </row>
    <row r="358" spans="1:5" x14ac:dyDescent="0.25">
      <c r="A358" s="136"/>
      <c r="B358" s="136"/>
      <c r="C358" s="136"/>
      <c r="D358" s="136"/>
      <c r="E358" s="136"/>
    </row>
    <row r="364" spans="1:5" ht="15.75" x14ac:dyDescent="0.25">
      <c r="E364" s="129" t="s">
        <v>2</v>
      </c>
    </row>
    <row r="365" spans="1:5" ht="15.75" x14ac:dyDescent="0.25">
      <c r="E365" s="129" t="s">
        <v>3</v>
      </c>
    </row>
    <row r="366" spans="1:5" ht="15.75" x14ac:dyDescent="0.25">
      <c r="E366" s="131" t="s">
        <v>7</v>
      </c>
    </row>
    <row r="367" spans="1:5" x14ac:dyDescent="0.25">
      <c r="E367" s="133" t="s">
        <v>624</v>
      </c>
    </row>
    <row r="368" spans="1:5" x14ac:dyDescent="0.25">
      <c r="A368" s="142" t="str">
        <f>VLOOKUP(A371,[1]BD!C:D,2,0)</f>
        <v>Jilotepec de Andres Molina Enriquez</v>
      </c>
      <c r="B368" s="142"/>
      <c r="C368" s="142"/>
      <c r="D368" s="142"/>
      <c r="E368" s="142"/>
    </row>
    <row r="369" spans="1:5" x14ac:dyDescent="0.25">
      <c r="A369" s="142"/>
      <c r="B369" s="142"/>
      <c r="C369" s="142"/>
      <c r="D369" s="142"/>
      <c r="E369" s="142"/>
    </row>
    <row r="370" spans="1:5" x14ac:dyDescent="0.25">
      <c r="A370" s="143" t="s">
        <v>21</v>
      </c>
      <c r="B370" s="143"/>
      <c r="C370" s="143"/>
      <c r="D370" s="143"/>
      <c r="E370" s="134" t="s">
        <v>23</v>
      </c>
    </row>
    <row r="371" spans="1:5" ht="36" x14ac:dyDescent="0.25">
      <c r="A371" s="144">
        <v>6014</v>
      </c>
      <c r="B371" s="144"/>
      <c r="C371" s="144"/>
      <c r="D371" s="144"/>
      <c r="E371" s="135"/>
    </row>
    <row r="372" spans="1:5" x14ac:dyDescent="0.25">
      <c r="A372" s="136" t="s">
        <v>625</v>
      </c>
      <c r="B372" s="136" t="s">
        <v>24</v>
      </c>
      <c r="C372" s="136" t="s">
        <v>25</v>
      </c>
      <c r="D372" s="136" t="s">
        <v>626</v>
      </c>
      <c r="E372" s="136" t="s">
        <v>30</v>
      </c>
    </row>
    <row r="373" spans="1:5" ht="15.75" x14ac:dyDescent="0.25">
      <c r="A373" s="136">
        <v>1</v>
      </c>
      <c r="B373" s="137" t="s">
        <v>37</v>
      </c>
      <c r="C373" s="137" t="s">
        <v>39</v>
      </c>
      <c r="D373" s="138" t="s">
        <v>383</v>
      </c>
      <c r="E373" s="135" t="s">
        <v>41</v>
      </c>
    </row>
    <row r="374" spans="1:5" ht="15.75" x14ac:dyDescent="0.25">
      <c r="A374" s="136">
        <v>2</v>
      </c>
      <c r="B374" s="137" t="s">
        <v>51</v>
      </c>
      <c r="C374" s="137" t="s">
        <v>52</v>
      </c>
      <c r="D374" s="138" t="s">
        <v>385</v>
      </c>
      <c r="E374" s="135"/>
    </row>
    <row r="375" spans="1:5" ht="15.75" x14ac:dyDescent="0.25">
      <c r="A375" s="136">
        <v>3</v>
      </c>
      <c r="B375" s="137" t="s">
        <v>61</v>
      </c>
      <c r="C375" s="137" t="s">
        <v>62</v>
      </c>
      <c r="D375" s="138" t="s">
        <v>386</v>
      </c>
      <c r="E375" s="135" t="s">
        <v>64</v>
      </c>
    </row>
    <row r="376" spans="1:5" ht="15.75" x14ac:dyDescent="0.25">
      <c r="A376" s="136">
        <v>4</v>
      </c>
      <c r="B376" s="137" t="s">
        <v>72</v>
      </c>
      <c r="C376" s="137" t="s">
        <v>73</v>
      </c>
      <c r="D376" s="138" t="s">
        <v>388</v>
      </c>
      <c r="E376" s="135"/>
    </row>
    <row r="377" spans="1:5" ht="15.75" x14ac:dyDescent="0.25">
      <c r="A377" s="136">
        <v>5</v>
      </c>
      <c r="B377" s="137" t="s">
        <v>88</v>
      </c>
      <c r="C377" s="137" t="s">
        <v>90</v>
      </c>
      <c r="D377" s="138" t="s">
        <v>390</v>
      </c>
      <c r="E377" s="135"/>
    </row>
    <row r="378" spans="1:5" ht="15.75" x14ac:dyDescent="0.25">
      <c r="A378" s="136">
        <v>6</v>
      </c>
      <c r="B378" s="137" t="s">
        <v>96</v>
      </c>
      <c r="C378" s="137" t="s">
        <v>62</v>
      </c>
      <c r="D378" s="138" t="s">
        <v>391</v>
      </c>
      <c r="E378" s="135"/>
    </row>
    <row r="379" spans="1:5" ht="15.75" x14ac:dyDescent="0.25">
      <c r="A379" s="136">
        <v>7</v>
      </c>
      <c r="B379" s="137" t="s">
        <v>98</v>
      </c>
      <c r="C379" s="137" t="s">
        <v>352</v>
      </c>
      <c r="D379" s="138" t="s">
        <v>393</v>
      </c>
      <c r="E379" s="135" t="s">
        <v>101</v>
      </c>
    </row>
    <row r="380" spans="1:5" ht="15.75" x14ac:dyDescent="0.25">
      <c r="A380" s="136">
        <v>8</v>
      </c>
      <c r="B380" s="137" t="s">
        <v>114</v>
      </c>
      <c r="C380" s="137" t="s">
        <v>39</v>
      </c>
      <c r="D380" s="138" t="s">
        <v>52</v>
      </c>
      <c r="E380" s="135" t="s">
        <v>115</v>
      </c>
    </row>
    <row r="381" spans="1:5" ht="15.75" x14ac:dyDescent="0.25">
      <c r="A381" s="136">
        <v>9</v>
      </c>
      <c r="B381" s="137" t="s">
        <v>134</v>
      </c>
      <c r="C381" s="137" t="s">
        <v>135</v>
      </c>
      <c r="D381" s="138" t="s">
        <v>395</v>
      </c>
      <c r="E381" s="135" t="s">
        <v>138</v>
      </c>
    </row>
    <row r="382" spans="1:5" ht="15.75" x14ac:dyDescent="0.25">
      <c r="A382" s="136">
        <v>10</v>
      </c>
      <c r="B382" s="137" t="s">
        <v>145</v>
      </c>
      <c r="C382" s="137" t="s">
        <v>52</v>
      </c>
      <c r="D382" s="138" t="s">
        <v>397</v>
      </c>
      <c r="E382" s="135"/>
    </row>
    <row r="383" spans="1:5" ht="15.75" x14ac:dyDescent="0.25">
      <c r="A383" s="136">
        <v>11</v>
      </c>
      <c r="B383" s="137" t="s">
        <v>159</v>
      </c>
      <c r="C383" s="137" t="s">
        <v>160</v>
      </c>
      <c r="D383" s="138" t="s">
        <v>399</v>
      </c>
      <c r="E383" s="139"/>
    </row>
    <row r="384" spans="1:5" x14ac:dyDescent="0.25">
      <c r="A384" s="136"/>
      <c r="B384" s="136"/>
      <c r="C384" s="136"/>
      <c r="D384" s="136"/>
      <c r="E384" s="136"/>
    </row>
    <row r="389" spans="1:5" ht="15.75" x14ac:dyDescent="0.25">
      <c r="E389" s="129" t="s">
        <v>2</v>
      </c>
    </row>
    <row r="390" spans="1:5" ht="15.75" x14ac:dyDescent="0.25">
      <c r="E390" s="129" t="s">
        <v>3</v>
      </c>
    </row>
    <row r="391" spans="1:5" ht="15.75" x14ac:dyDescent="0.25">
      <c r="E391" s="131" t="s">
        <v>7</v>
      </c>
    </row>
    <row r="392" spans="1:5" x14ac:dyDescent="0.25">
      <c r="E392" s="133" t="s">
        <v>624</v>
      </c>
    </row>
    <row r="393" spans="1:5" x14ac:dyDescent="0.25">
      <c r="A393" s="142" t="str">
        <f>VLOOKUP(A396,[1]BD!C:D,2,0)</f>
        <v>Ixtlahuaca de Rayon</v>
      </c>
      <c r="B393" s="142"/>
      <c r="C393" s="142"/>
      <c r="D393" s="142"/>
      <c r="E393" s="142"/>
    </row>
    <row r="394" spans="1:5" x14ac:dyDescent="0.25">
      <c r="A394" s="142"/>
      <c r="B394" s="142"/>
      <c r="C394" s="142"/>
      <c r="D394" s="142"/>
      <c r="E394" s="142"/>
    </row>
    <row r="395" spans="1:5" x14ac:dyDescent="0.25">
      <c r="A395" s="143" t="s">
        <v>21</v>
      </c>
      <c r="B395" s="143"/>
      <c r="C395" s="143"/>
      <c r="D395" s="143"/>
      <c r="E395" s="134" t="s">
        <v>23</v>
      </c>
    </row>
    <row r="396" spans="1:5" ht="36" x14ac:dyDescent="0.25">
      <c r="A396" s="144">
        <v>6015</v>
      </c>
      <c r="B396" s="144"/>
      <c r="C396" s="144"/>
      <c r="D396" s="144"/>
      <c r="E396" s="135"/>
    </row>
    <row r="397" spans="1:5" x14ac:dyDescent="0.25">
      <c r="A397" s="136" t="s">
        <v>625</v>
      </c>
      <c r="B397" s="136" t="s">
        <v>24</v>
      </c>
      <c r="C397" s="136" t="s">
        <v>25</v>
      </c>
      <c r="D397" s="136" t="s">
        <v>626</v>
      </c>
      <c r="E397" s="136" t="s">
        <v>30</v>
      </c>
    </row>
    <row r="398" spans="1:5" ht="15.75" x14ac:dyDescent="0.25">
      <c r="A398" s="136">
        <v>1</v>
      </c>
      <c r="B398" s="137" t="s">
        <v>37</v>
      </c>
      <c r="C398" s="137" t="s">
        <v>39</v>
      </c>
      <c r="D398" s="138" t="s">
        <v>401</v>
      </c>
      <c r="E398" s="135" t="s">
        <v>41</v>
      </c>
    </row>
    <row r="399" spans="1:5" ht="15.75" x14ac:dyDescent="0.25">
      <c r="A399" s="136">
        <v>2</v>
      </c>
      <c r="B399" s="137" t="s">
        <v>51</v>
      </c>
      <c r="C399" s="137" t="s">
        <v>52</v>
      </c>
      <c r="D399" s="138" t="s">
        <v>403</v>
      </c>
      <c r="E399" s="135"/>
    </row>
    <row r="400" spans="1:5" ht="15.75" x14ac:dyDescent="0.25">
      <c r="A400" s="136">
        <v>3</v>
      </c>
      <c r="B400" s="137" t="s">
        <v>61</v>
      </c>
      <c r="C400" s="137" t="s">
        <v>62</v>
      </c>
      <c r="D400" s="138" t="s">
        <v>404</v>
      </c>
      <c r="E400" s="135" t="s">
        <v>64</v>
      </c>
    </row>
    <row r="401" spans="1:5" ht="15.75" x14ac:dyDescent="0.25">
      <c r="A401" s="136">
        <v>4</v>
      </c>
      <c r="B401" s="137" t="s">
        <v>72</v>
      </c>
      <c r="C401" s="137" t="s">
        <v>73</v>
      </c>
      <c r="D401" s="138" t="s">
        <v>406</v>
      </c>
      <c r="E401" s="135"/>
    </row>
    <row r="402" spans="1:5" ht="15.75" x14ac:dyDescent="0.25">
      <c r="A402" s="136">
        <v>5</v>
      </c>
      <c r="B402" s="137" t="s">
        <v>88</v>
      </c>
      <c r="C402" s="137" t="s">
        <v>90</v>
      </c>
      <c r="D402" s="138" t="s">
        <v>408</v>
      </c>
      <c r="E402" s="135"/>
    </row>
    <row r="403" spans="1:5" ht="15.75" x14ac:dyDescent="0.25">
      <c r="A403" s="136">
        <v>6</v>
      </c>
      <c r="B403" s="137" t="s">
        <v>96</v>
      </c>
      <c r="C403" s="137" t="s">
        <v>62</v>
      </c>
      <c r="D403" s="138" t="s">
        <v>409</v>
      </c>
      <c r="E403" s="135"/>
    </row>
    <row r="404" spans="1:5" ht="15.75" x14ac:dyDescent="0.25">
      <c r="A404" s="136">
        <v>7</v>
      </c>
      <c r="B404" s="137" t="s">
        <v>98</v>
      </c>
      <c r="C404" s="137" t="s">
        <v>352</v>
      </c>
      <c r="D404" s="138" t="s">
        <v>410</v>
      </c>
      <c r="E404" s="135" t="s">
        <v>101</v>
      </c>
    </row>
    <row r="405" spans="1:5" ht="15.75" x14ac:dyDescent="0.25">
      <c r="A405" s="136">
        <v>8</v>
      </c>
      <c r="B405" s="137" t="s">
        <v>98</v>
      </c>
      <c r="C405" s="137" t="s">
        <v>352</v>
      </c>
      <c r="D405" s="138" t="s">
        <v>411</v>
      </c>
      <c r="E405" s="135" t="s">
        <v>101</v>
      </c>
    </row>
    <row r="406" spans="1:5" ht="15.75" x14ac:dyDescent="0.25">
      <c r="A406" s="136">
        <v>9</v>
      </c>
      <c r="B406" s="137" t="s">
        <v>98</v>
      </c>
      <c r="C406" s="137" t="s">
        <v>352</v>
      </c>
      <c r="D406" s="138" t="s">
        <v>412</v>
      </c>
      <c r="E406" s="135" t="s">
        <v>101</v>
      </c>
    </row>
    <row r="407" spans="1:5" ht="15.75" x14ac:dyDescent="0.25">
      <c r="A407" s="136">
        <v>10</v>
      </c>
      <c r="B407" s="137" t="s">
        <v>114</v>
      </c>
      <c r="C407" s="137" t="s">
        <v>39</v>
      </c>
      <c r="D407" s="138" t="s">
        <v>52</v>
      </c>
      <c r="E407" s="135" t="s">
        <v>115</v>
      </c>
    </row>
    <row r="408" spans="1:5" ht="30" x14ac:dyDescent="0.25">
      <c r="A408" s="136">
        <v>11</v>
      </c>
      <c r="B408" s="137" t="s">
        <v>134</v>
      </c>
      <c r="C408" s="137" t="s">
        <v>135</v>
      </c>
      <c r="D408" s="138" t="s">
        <v>414</v>
      </c>
      <c r="E408" s="139" t="s">
        <v>138</v>
      </c>
    </row>
    <row r="409" spans="1:5" ht="15.75" x14ac:dyDescent="0.25">
      <c r="A409" s="136">
        <v>12</v>
      </c>
      <c r="B409" s="137" t="s">
        <v>145</v>
      </c>
      <c r="C409" s="137" t="s">
        <v>52</v>
      </c>
      <c r="D409" s="138" t="s">
        <v>416</v>
      </c>
      <c r="E409" s="139"/>
    </row>
    <row r="410" spans="1:5" ht="15.75" x14ac:dyDescent="0.25">
      <c r="A410" s="136">
        <v>13</v>
      </c>
      <c r="B410" s="137" t="s">
        <v>159</v>
      </c>
      <c r="C410" s="137" t="s">
        <v>160</v>
      </c>
      <c r="D410" s="138" t="s">
        <v>418</v>
      </c>
      <c r="E410" s="139"/>
    </row>
    <row r="411" spans="1:5" x14ac:dyDescent="0.25">
      <c r="A411" s="136"/>
      <c r="B411" s="136"/>
      <c r="C411" s="136"/>
      <c r="D411" s="136"/>
      <c r="E411" s="136"/>
    </row>
    <row r="415" spans="1:5" x14ac:dyDescent="0.25">
      <c r="A415" s="128" t="s">
        <v>630</v>
      </c>
    </row>
    <row r="416" spans="1:5" ht="15.75" x14ac:dyDescent="0.25">
      <c r="E416" s="129" t="s">
        <v>2</v>
      </c>
    </row>
    <row r="417" spans="1:5" ht="15.75" x14ac:dyDescent="0.25">
      <c r="E417" s="129" t="s">
        <v>3</v>
      </c>
    </row>
    <row r="418" spans="1:5" ht="15.75" x14ac:dyDescent="0.25">
      <c r="E418" s="131" t="s">
        <v>7</v>
      </c>
    </row>
    <row r="419" spans="1:5" x14ac:dyDescent="0.25">
      <c r="E419" s="133" t="s">
        <v>624</v>
      </c>
    </row>
    <row r="420" spans="1:5" x14ac:dyDescent="0.25">
      <c r="A420" s="142" t="str">
        <f>VLOOKUP(A423,[1]BD!C:D,2,0)</f>
        <v>Ciudad Adolfo Lopez Mateos</v>
      </c>
      <c r="B420" s="142"/>
      <c r="C420" s="142"/>
      <c r="D420" s="142"/>
      <c r="E420" s="142"/>
    </row>
    <row r="421" spans="1:5" x14ac:dyDescent="0.25">
      <c r="A421" s="142"/>
      <c r="B421" s="142"/>
      <c r="C421" s="142"/>
      <c r="D421" s="142"/>
      <c r="E421" s="142"/>
    </row>
    <row r="422" spans="1:5" x14ac:dyDescent="0.25">
      <c r="A422" s="143" t="s">
        <v>21</v>
      </c>
      <c r="B422" s="143"/>
      <c r="C422" s="143"/>
      <c r="D422" s="143"/>
      <c r="E422" s="134" t="s">
        <v>23</v>
      </c>
    </row>
    <row r="423" spans="1:5" ht="36" x14ac:dyDescent="0.25">
      <c r="A423" s="144">
        <v>6016</v>
      </c>
      <c r="B423" s="144"/>
      <c r="C423" s="144"/>
      <c r="D423" s="144"/>
      <c r="E423" s="135"/>
    </row>
    <row r="424" spans="1:5" x14ac:dyDescent="0.25">
      <c r="A424" s="136" t="s">
        <v>625</v>
      </c>
      <c r="B424" s="136" t="s">
        <v>24</v>
      </c>
      <c r="C424" s="136" t="s">
        <v>25</v>
      </c>
      <c r="D424" s="136" t="s">
        <v>626</v>
      </c>
      <c r="E424" s="136" t="s">
        <v>30</v>
      </c>
    </row>
    <row r="425" spans="1:5" ht="15.75" x14ac:dyDescent="0.25">
      <c r="A425" s="136">
        <v>1</v>
      </c>
      <c r="B425" s="137" t="s">
        <v>37</v>
      </c>
      <c r="C425" s="137" t="s">
        <v>39</v>
      </c>
      <c r="D425" s="138" t="s">
        <v>420</v>
      </c>
      <c r="E425" s="135" t="s">
        <v>41</v>
      </c>
    </row>
    <row r="426" spans="1:5" ht="15.75" x14ac:dyDescent="0.25">
      <c r="A426" s="136">
        <v>2</v>
      </c>
      <c r="B426" s="137" t="s">
        <v>51</v>
      </c>
      <c r="C426" s="137" t="s">
        <v>52</v>
      </c>
      <c r="D426" s="138" t="s">
        <v>422</v>
      </c>
      <c r="E426" s="135"/>
    </row>
    <row r="427" spans="1:5" ht="15.75" x14ac:dyDescent="0.25">
      <c r="A427" s="136">
        <v>3</v>
      </c>
      <c r="B427" s="137" t="s">
        <v>61</v>
      </c>
      <c r="C427" s="137" t="s">
        <v>62</v>
      </c>
      <c r="D427" s="138" t="s">
        <v>423</v>
      </c>
      <c r="E427" s="135" t="s">
        <v>64</v>
      </c>
    </row>
    <row r="428" spans="1:5" ht="15.75" x14ac:dyDescent="0.25">
      <c r="A428" s="136">
        <v>4</v>
      </c>
      <c r="B428" s="137" t="s">
        <v>72</v>
      </c>
      <c r="C428" s="137" t="s">
        <v>73</v>
      </c>
      <c r="D428" s="138" t="s">
        <v>425</v>
      </c>
      <c r="E428" s="135"/>
    </row>
    <row r="429" spans="1:5" ht="15.75" x14ac:dyDescent="0.25">
      <c r="A429" s="136">
        <v>5</v>
      </c>
      <c r="B429" s="137" t="s">
        <v>88</v>
      </c>
      <c r="C429" s="137" t="s">
        <v>90</v>
      </c>
      <c r="D429" s="138" t="s">
        <v>427</v>
      </c>
      <c r="E429" s="135"/>
    </row>
    <row r="430" spans="1:5" ht="15.75" x14ac:dyDescent="0.25">
      <c r="A430" s="136">
        <v>6</v>
      </c>
      <c r="B430" s="137" t="s">
        <v>96</v>
      </c>
      <c r="C430" s="137" t="s">
        <v>62</v>
      </c>
      <c r="D430" s="138" t="s">
        <v>428</v>
      </c>
      <c r="E430" s="135"/>
    </row>
    <row r="431" spans="1:5" ht="15.75" x14ac:dyDescent="0.25">
      <c r="A431" s="136">
        <v>7</v>
      </c>
      <c r="B431" s="137" t="s">
        <v>98</v>
      </c>
      <c r="C431" s="137" t="s">
        <v>352</v>
      </c>
      <c r="D431" s="138" t="s">
        <v>430</v>
      </c>
      <c r="E431" s="135" t="s">
        <v>101</v>
      </c>
    </row>
    <row r="432" spans="1:5" ht="15.75" x14ac:dyDescent="0.25">
      <c r="A432" s="136">
        <v>8</v>
      </c>
      <c r="B432" s="137" t="s">
        <v>98</v>
      </c>
      <c r="C432" s="137" t="s">
        <v>352</v>
      </c>
      <c r="D432" s="138" t="s">
        <v>432</v>
      </c>
      <c r="E432" s="135" t="s">
        <v>101</v>
      </c>
    </row>
    <row r="433" spans="1:5" ht="15.75" x14ac:dyDescent="0.25">
      <c r="A433" s="136">
        <v>9</v>
      </c>
      <c r="B433" s="137" t="s">
        <v>98</v>
      </c>
      <c r="C433" s="137" t="s">
        <v>352</v>
      </c>
      <c r="D433" s="138" t="s">
        <v>434</v>
      </c>
      <c r="E433" s="135" t="s">
        <v>101</v>
      </c>
    </row>
    <row r="434" spans="1:5" ht="15.75" x14ac:dyDescent="0.25">
      <c r="A434" s="136">
        <v>10</v>
      </c>
      <c r="B434" s="137" t="s">
        <v>98</v>
      </c>
      <c r="C434" s="137" t="s">
        <v>352</v>
      </c>
      <c r="D434" s="138" t="s">
        <v>436</v>
      </c>
      <c r="E434" s="135" t="s">
        <v>101</v>
      </c>
    </row>
    <row r="435" spans="1:5" ht="15.75" x14ac:dyDescent="0.25">
      <c r="A435" s="136">
        <v>11</v>
      </c>
      <c r="B435" s="137" t="s">
        <v>114</v>
      </c>
      <c r="C435" s="137" t="s">
        <v>39</v>
      </c>
      <c r="D435" s="138" t="s">
        <v>52</v>
      </c>
      <c r="E435" s="139" t="s">
        <v>115</v>
      </c>
    </row>
    <row r="436" spans="1:5" ht="30" x14ac:dyDescent="0.25">
      <c r="A436" s="136">
        <v>12</v>
      </c>
      <c r="B436" s="137" t="s">
        <v>134</v>
      </c>
      <c r="C436" s="137" t="s">
        <v>135</v>
      </c>
      <c r="D436" s="138" t="s">
        <v>438</v>
      </c>
      <c r="E436" s="139" t="s">
        <v>138</v>
      </c>
    </row>
    <row r="437" spans="1:5" ht="15.75" x14ac:dyDescent="0.25">
      <c r="A437" s="136">
        <v>13</v>
      </c>
      <c r="B437" s="137" t="s">
        <v>145</v>
      </c>
      <c r="C437" s="137" t="s">
        <v>52</v>
      </c>
      <c r="D437" s="138" t="s">
        <v>440</v>
      </c>
      <c r="E437" s="139"/>
    </row>
    <row r="438" spans="1:5" ht="15.75" x14ac:dyDescent="0.25">
      <c r="A438" s="136">
        <v>14</v>
      </c>
      <c r="B438" s="137" t="s">
        <v>159</v>
      </c>
      <c r="C438" s="137" t="s">
        <v>160</v>
      </c>
      <c r="D438" s="138" t="s">
        <v>442</v>
      </c>
      <c r="E438" s="139"/>
    </row>
    <row r="439" spans="1:5" x14ac:dyDescent="0.25">
      <c r="A439" s="136"/>
      <c r="B439" s="136"/>
      <c r="C439" s="136"/>
      <c r="D439" s="136"/>
      <c r="E439" s="136"/>
    </row>
    <row r="444" spans="1:5" ht="15.75" x14ac:dyDescent="0.25">
      <c r="E444" s="129" t="s">
        <v>2</v>
      </c>
    </row>
    <row r="445" spans="1:5" ht="15.75" x14ac:dyDescent="0.25">
      <c r="E445" s="129" t="s">
        <v>3</v>
      </c>
    </row>
    <row r="446" spans="1:5" ht="15.75" x14ac:dyDescent="0.25">
      <c r="E446" s="131" t="s">
        <v>7</v>
      </c>
    </row>
    <row r="447" spans="1:5" x14ac:dyDescent="0.25">
      <c r="E447" s="133" t="s">
        <v>624</v>
      </c>
    </row>
    <row r="448" spans="1:5" x14ac:dyDescent="0.25">
      <c r="A448" s="142" t="str">
        <f>VLOOKUP(A451,[1]BD!C:D,2,0)</f>
        <v>Huixquilucan de degollado</v>
      </c>
      <c r="B448" s="142"/>
      <c r="C448" s="142"/>
      <c r="D448" s="142"/>
      <c r="E448" s="142"/>
    </row>
    <row r="449" spans="1:5" x14ac:dyDescent="0.25">
      <c r="A449" s="142"/>
      <c r="B449" s="142"/>
      <c r="C449" s="142"/>
      <c r="D449" s="142"/>
      <c r="E449" s="142"/>
    </row>
    <row r="450" spans="1:5" x14ac:dyDescent="0.25">
      <c r="A450" s="143" t="s">
        <v>21</v>
      </c>
      <c r="B450" s="143"/>
      <c r="C450" s="143"/>
      <c r="D450" s="143"/>
      <c r="E450" s="134" t="s">
        <v>23</v>
      </c>
    </row>
    <row r="451" spans="1:5" ht="36" x14ac:dyDescent="0.25">
      <c r="A451" s="144">
        <v>6017</v>
      </c>
      <c r="B451" s="144"/>
      <c r="C451" s="144"/>
      <c r="D451" s="144"/>
      <c r="E451" s="135"/>
    </row>
    <row r="452" spans="1:5" x14ac:dyDescent="0.25">
      <c r="A452" s="136" t="s">
        <v>625</v>
      </c>
      <c r="B452" s="136" t="s">
        <v>24</v>
      </c>
      <c r="C452" s="136" t="s">
        <v>25</v>
      </c>
      <c r="D452" s="136" t="s">
        <v>626</v>
      </c>
      <c r="E452" s="136" t="s">
        <v>30</v>
      </c>
    </row>
    <row r="453" spans="1:5" ht="15.75" x14ac:dyDescent="0.25">
      <c r="A453" s="136">
        <v>1</v>
      </c>
      <c r="B453" s="137" t="s">
        <v>37</v>
      </c>
      <c r="C453" s="137" t="s">
        <v>39</v>
      </c>
      <c r="D453" s="138" t="s">
        <v>444</v>
      </c>
      <c r="E453" s="135" t="s">
        <v>41</v>
      </c>
    </row>
    <row r="454" spans="1:5" ht="15.75" x14ac:dyDescent="0.25">
      <c r="A454" s="136">
        <v>2</v>
      </c>
      <c r="B454" s="137" t="s">
        <v>51</v>
      </c>
      <c r="C454" s="137" t="s">
        <v>52</v>
      </c>
      <c r="D454" s="138" t="s">
        <v>446</v>
      </c>
      <c r="E454" s="135"/>
    </row>
    <row r="455" spans="1:5" ht="15.75" x14ac:dyDescent="0.25">
      <c r="A455" s="136">
        <v>3</v>
      </c>
      <c r="B455" s="137" t="s">
        <v>61</v>
      </c>
      <c r="C455" s="137" t="s">
        <v>62</v>
      </c>
      <c r="D455" s="138" t="s">
        <v>447</v>
      </c>
      <c r="E455" s="135" t="s">
        <v>64</v>
      </c>
    </row>
    <row r="456" spans="1:5" ht="15.75" x14ac:dyDescent="0.25">
      <c r="A456" s="136">
        <v>4</v>
      </c>
      <c r="B456" s="137" t="s">
        <v>72</v>
      </c>
      <c r="C456" s="137" t="s">
        <v>73</v>
      </c>
      <c r="D456" s="138" t="s">
        <v>449</v>
      </c>
      <c r="E456" s="135"/>
    </row>
    <row r="457" spans="1:5" ht="15.75" x14ac:dyDescent="0.25">
      <c r="A457" s="136">
        <v>5</v>
      </c>
      <c r="B457" s="137" t="s">
        <v>88</v>
      </c>
      <c r="C457" s="137" t="s">
        <v>90</v>
      </c>
      <c r="D457" s="138" t="s">
        <v>451</v>
      </c>
      <c r="E457" s="135"/>
    </row>
    <row r="458" spans="1:5" ht="15.75" x14ac:dyDescent="0.25">
      <c r="A458" s="136">
        <v>6</v>
      </c>
      <c r="B458" s="137" t="s">
        <v>96</v>
      </c>
      <c r="C458" s="137" t="s">
        <v>62</v>
      </c>
      <c r="D458" s="138" t="s">
        <v>452</v>
      </c>
      <c r="E458" s="135"/>
    </row>
    <row r="459" spans="1:5" ht="15.75" x14ac:dyDescent="0.25">
      <c r="A459" s="136">
        <v>7</v>
      </c>
      <c r="B459" s="137" t="s">
        <v>98</v>
      </c>
      <c r="C459" s="137" t="s">
        <v>352</v>
      </c>
      <c r="D459" s="138" t="s">
        <v>454</v>
      </c>
      <c r="E459" s="135" t="s">
        <v>101</v>
      </c>
    </row>
    <row r="460" spans="1:5" ht="15.75" x14ac:dyDescent="0.25">
      <c r="A460" s="136">
        <v>8</v>
      </c>
      <c r="B460" s="137" t="s">
        <v>98</v>
      </c>
      <c r="C460" s="137" t="s">
        <v>352</v>
      </c>
      <c r="D460" s="138" t="s">
        <v>456</v>
      </c>
      <c r="E460" s="135" t="s">
        <v>101</v>
      </c>
    </row>
    <row r="461" spans="1:5" ht="15.75" x14ac:dyDescent="0.25">
      <c r="A461" s="136">
        <v>9</v>
      </c>
      <c r="B461" s="137" t="s">
        <v>98</v>
      </c>
      <c r="C461" s="137" t="s">
        <v>352</v>
      </c>
      <c r="D461" s="138" t="s">
        <v>458</v>
      </c>
      <c r="E461" s="135" t="s">
        <v>101</v>
      </c>
    </row>
    <row r="462" spans="1:5" ht="15.75" x14ac:dyDescent="0.25">
      <c r="A462" s="136">
        <v>10</v>
      </c>
      <c r="B462" s="137" t="s">
        <v>98</v>
      </c>
      <c r="C462" s="137" t="s">
        <v>352</v>
      </c>
      <c r="D462" s="138" t="s">
        <v>460</v>
      </c>
      <c r="E462" s="135" t="s">
        <v>101</v>
      </c>
    </row>
    <row r="463" spans="1:5" ht="15.75" x14ac:dyDescent="0.25">
      <c r="A463" s="136">
        <v>11</v>
      </c>
      <c r="B463" s="137" t="s">
        <v>114</v>
      </c>
      <c r="C463" s="137" t="s">
        <v>39</v>
      </c>
      <c r="D463" s="138" t="s">
        <v>52</v>
      </c>
      <c r="E463" s="139" t="s">
        <v>115</v>
      </c>
    </row>
    <row r="464" spans="1:5" ht="30" x14ac:dyDescent="0.25">
      <c r="A464" s="136">
        <v>12</v>
      </c>
      <c r="B464" s="137" t="s">
        <v>134</v>
      </c>
      <c r="C464" s="137" t="s">
        <v>135</v>
      </c>
      <c r="D464" s="138" t="s">
        <v>462</v>
      </c>
      <c r="E464" s="139" t="s">
        <v>138</v>
      </c>
    </row>
    <row r="465" spans="1:5" ht="15.75" x14ac:dyDescent="0.25">
      <c r="A465" s="136">
        <v>13</v>
      </c>
      <c r="B465" s="137" t="s">
        <v>145</v>
      </c>
      <c r="C465" s="137" t="s">
        <v>52</v>
      </c>
      <c r="D465" s="138" t="s">
        <v>464</v>
      </c>
      <c r="E465" s="139"/>
    </row>
    <row r="466" spans="1:5" ht="15.75" x14ac:dyDescent="0.25">
      <c r="A466" s="136">
        <v>14</v>
      </c>
      <c r="B466" s="137" t="s">
        <v>159</v>
      </c>
      <c r="C466" s="137" t="s">
        <v>160</v>
      </c>
      <c r="D466" s="138" t="s">
        <v>466</v>
      </c>
      <c r="E466" s="139"/>
    </row>
    <row r="467" spans="1:5" x14ac:dyDescent="0.25">
      <c r="A467" s="136"/>
      <c r="B467" s="136"/>
      <c r="C467" s="136"/>
      <c r="D467" s="136"/>
      <c r="E467" s="136"/>
    </row>
    <row r="472" spans="1:5" ht="15.75" x14ac:dyDescent="0.25">
      <c r="E472" s="129" t="s">
        <v>2</v>
      </c>
    </row>
    <row r="473" spans="1:5" ht="15.75" x14ac:dyDescent="0.25">
      <c r="E473" s="129" t="s">
        <v>3</v>
      </c>
    </row>
    <row r="474" spans="1:5" ht="15.75" x14ac:dyDescent="0.25">
      <c r="E474" s="131" t="s">
        <v>7</v>
      </c>
    </row>
    <row r="475" spans="1:5" x14ac:dyDescent="0.25">
      <c r="E475" s="133" t="s">
        <v>624</v>
      </c>
    </row>
    <row r="476" spans="1:5" x14ac:dyDescent="0.25">
      <c r="A476" s="142" t="str">
        <f>VLOOKUP(A479,[1]BD!C:D,2,0)</f>
        <v>Tlanepantla de Baz</v>
      </c>
      <c r="B476" s="142"/>
      <c r="C476" s="142"/>
      <c r="D476" s="142"/>
      <c r="E476" s="142"/>
    </row>
    <row r="477" spans="1:5" x14ac:dyDescent="0.25">
      <c r="A477" s="142"/>
      <c r="B477" s="142"/>
      <c r="C477" s="142"/>
      <c r="D477" s="142"/>
      <c r="E477" s="142"/>
    </row>
    <row r="478" spans="1:5" x14ac:dyDescent="0.25">
      <c r="A478" s="143" t="s">
        <v>21</v>
      </c>
      <c r="B478" s="143"/>
      <c r="C478" s="143"/>
      <c r="D478" s="143"/>
      <c r="E478" s="134" t="s">
        <v>23</v>
      </c>
    </row>
    <row r="479" spans="1:5" ht="36" x14ac:dyDescent="0.25">
      <c r="A479" s="144">
        <v>6018</v>
      </c>
      <c r="B479" s="144"/>
      <c r="C479" s="144"/>
      <c r="D479" s="144"/>
      <c r="E479" s="135"/>
    </row>
    <row r="480" spans="1:5" x14ac:dyDescent="0.25">
      <c r="A480" s="136" t="s">
        <v>625</v>
      </c>
      <c r="B480" s="136" t="s">
        <v>24</v>
      </c>
      <c r="C480" s="136" t="s">
        <v>25</v>
      </c>
      <c r="D480" s="136" t="s">
        <v>626</v>
      </c>
      <c r="E480" s="136" t="s">
        <v>30</v>
      </c>
    </row>
    <row r="481" spans="1:5" ht="15.75" x14ac:dyDescent="0.25">
      <c r="A481" s="136">
        <v>1</v>
      </c>
      <c r="B481" s="137" t="s">
        <v>37</v>
      </c>
      <c r="C481" s="137" t="s">
        <v>39</v>
      </c>
      <c r="D481" s="138" t="s">
        <v>468</v>
      </c>
      <c r="E481" s="135" t="s">
        <v>41</v>
      </c>
    </row>
    <row r="482" spans="1:5" ht="15.75" x14ac:dyDescent="0.25">
      <c r="A482" s="136">
        <v>2</v>
      </c>
      <c r="B482" s="137" t="s">
        <v>51</v>
      </c>
      <c r="C482" s="137" t="s">
        <v>52</v>
      </c>
      <c r="D482" s="138" t="s">
        <v>470</v>
      </c>
      <c r="E482" s="135"/>
    </row>
    <row r="483" spans="1:5" ht="15.75" x14ac:dyDescent="0.25">
      <c r="A483" s="136">
        <v>3</v>
      </c>
      <c r="B483" s="137" t="s">
        <v>61</v>
      </c>
      <c r="C483" s="137" t="s">
        <v>62</v>
      </c>
      <c r="D483" s="138" t="s">
        <v>471</v>
      </c>
      <c r="E483" s="135" t="s">
        <v>64</v>
      </c>
    </row>
    <row r="484" spans="1:5" ht="15.75" x14ac:dyDescent="0.25">
      <c r="A484" s="136">
        <v>4</v>
      </c>
      <c r="B484" s="137" t="s">
        <v>72</v>
      </c>
      <c r="C484" s="137" t="s">
        <v>73</v>
      </c>
      <c r="D484" s="138" t="s">
        <v>473</v>
      </c>
      <c r="E484" s="135"/>
    </row>
    <row r="485" spans="1:5" ht="15.75" x14ac:dyDescent="0.25">
      <c r="A485" s="136">
        <v>5</v>
      </c>
      <c r="B485" s="137" t="s">
        <v>88</v>
      </c>
      <c r="C485" s="137" t="s">
        <v>90</v>
      </c>
      <c r="D485" s="138" t="s">
        <v>475</v>
      </c>
      <c r="E485" s="135"/>
    </row>
    <row r="486" spans="1:5" ht="15.75" x14ac:dyDescent="0.25">
      <c r="A486" s="136">
        <v>6</v>
      </c>
      <c r="B486" s="137" t="s">
        <v>96</v>
      </c>
      <c r="C486" s="137" t="s">
        <v>62</v>
      </c>
      <c r="D486" s="138" t="s">
        <v>476</v>
      </c>
      <c r="E486" s="135"/>
    </row>
    <row r="487" spans="1:5" ht="15.75" x14ac:dyDescent="0.25">
      <c r="A487" s="136">
        <v>7</v>
      </c>
      <c r="B487" s="137" t="s">
        <v>98</v>
      </c>
      <c r="C487" s="137" t="s">
        <v>352</v>
      </c>
      <c r="D487" s="138" t="s">
        <v>478</v>
      </c>
      <c r="E487" s="135" t="s">
        <v>101</v>
      </c>
    </row>
    <row r="488" spans="1:5" ht="15.75" x14ac:dyDescent="0.25">
      <c r="A488" s="136">
        <v>8</v>
      </c>
      <c r="B488" s="137" t="s">
        <v>98</v>
      </c>
      <c r="C488" s="137" t="s">
        <v>352</v>
      </c>
      <c r="D488" s="138" t="s">
        <v>480</v>
      </c>
      <c r="E488" s="135" t="s">
        <v>101</v>
      </c>
    </row>
    <row r="489" spans="1:5" ht="15.75" x14ac:dyDescent="0.25">
      <c r="A489" s="136">
        <v>9</v>
      </c>
      <c r="B489" s="137" t="s">
        <v>114</v>
      </c>
      <c r="C489" s="137" t="s">
        <v>39</v>
      </c>
      <c r="D489" s="138" t="s">
        <v>52</v>
      </c>
      <c r="E489" s="135" t="s">
        <v>115</v>
      </c>
    </row>
    <row r="490" spans="1:5" ht="15.75" x14ac:dyDescent="0.25">
      <c r="A490" s="136">
        <v>10</v>
      </c>
      <c r="B490" s="137" t="s">
        <v>134</v>
      </c>
      <c r="C490" s="137" t="s">
        <v>135</v>
      </c>
      <c r="D490" s="138" t="s">
        <v>482</v>
      </c>
      <c r="E490" s="135" t="s">
        <v>138</v>
      </c>
    </row>
    <row r="491" spans="1:5" ht="15.75" x14ac:dyDescent="0.25">
      <c r="A491" s="136">
        <v>11</v>
      </c>
      <c r="B491" s="137" t="s">
        <v>145</v>
      </c>
      <c r="C491" s="137" t="s">
        <v>52</v>
      </c>
      <c r="D491" s="138" t="s">
        <v>484</v>
      </c>
      <c r="E491" s="139"/>
    </row>
    <row r="492" spans="1:5" ht="15.75" x14ac:dyDescent="0.25">
      <c r="A492" s="136">
        <v>12</v>
      </c>
      <c r="B492" s="137" t="s">
        <v>159</v>
      </c>
      <c r="C492" s="137" t="s">
        <v>160</v>
      </c>
      <c r="D492" s="138" t="s">
        <v>486</v>
      </c>
      <c r="E492" s="139"/>
    </row>
    <row r="493" spans="1:5" x14ac:dyDescent="0.25">
      <c r="A493" s="136"/>
      <c r="B493" s="136"/>
      <c r="C493" s="136"/>
      <c r="D493" s="136"/>
      <c r="E493" s="136"/>
    </row>
    <row r="498" spans="1:5" ht="15.75" x14ac:dyDescent="0.25">
      <c r="E498" s="129" t="s">
        <v>2</v>
      </c>
    </row>
    <row r="499" spans="1:5" ht="15.75" x14ac:dyDescent="0.25">
      <c r="E499" s="129" t="s">
        <v>3</v>
      </c>
    </row>
    <row r="500" spans="1:5" ht="15.75" x14ac:dyDescent="0.25">
      <c r="E500" s="131" t="s">
        <v>7</v>
      </c>
    </row>
    <row r="501" spans="1:5" x14ac:dyDescent="0.25">
      <c r="E501" s="133" t="s">
        <v>624</v>
      </c>
    </row>
    <row r="502" spans="1:5" x14ac:dyDescent="0.25">
      <c r="A502" s="142" t="str">
        <f>VLOOKUP(A505,[1]BD!C:D,2,0)</f>
        <v>Santamaria Tultepec</v>
      </c>
      <c r="B502" s="142"/>
      <c r="C502" s="142"/>
      <c r="D502" s="142"/>
      <c r="E502" s="142"/>
    </row>
    <row r="503" spans="1:5" x14ac:dyDescent="0.25">
      <c r="A503" s="142"/>
      <c r="B503" s="142"/>
      <c r="C503" s="142"/>
      <c r="D503" s="142"/>
      <c r="E503" s="142"/>
    </row>
    <row r="504" spans="1:5" x14ac:dyDescent="0.25">
      <c r="A504" s="143" t="s">
        <v>21</v>
      </c>
      <c r="B504" s="143"/>
      <c r="C504" s="143"/>
      <c r="D504" s="143"/>
      <c r="E504" s="134" t="s">
        <v>23</v>
      </c>
    </row>
    <row r="505" spans="1:5" ht="36" x14ac:dyDescent="0.25">
      <c r="A505" s="144">
        <v>6019</v>
      </c>
      <c r="B505" s="144"/>
      <c r="C505" s="144"/>
      <c r="D505" s="144"/>
      <c r="E505" s="135"/>
    </row>
    <row r="506" spans="1:5" x14ac:dyDescent="0.25">
      <c r="A506" s="136" t="s">
        <v>625</v>
      </c>
      <c r="B506" s="136" t="s">
        <v>24</v>
      </c>
      <c r="C506" s="136" t="s">
        <v>25</v>
      </c>
      <c r="D506" s="136" t="s">
        <v>626</v>
      </c>
      <c r="E506" s="136" t="s">
        <v>30</v>
      </c>
    </row>
    <row r="507" spans="1:5" ht="15.75" x14ac:dyDescent="0.25">
      <c r="A507" s="136">
        <v>1</v>
      </c>
      <c r="B507" s="137" t="s">
        <v>37</v>
      </c>
      <c r="C507" s="137" t="s">
        <v>39</v>
      </c>
      <c r="D507" s="138" t="s">
        <v>487</v>
      </c>
      <c r="E507" s="135" t="s">
        <v>41</v>
      </c>
    </row>
    <row r="508" spans="1:5" ht="15.75" x14ac:dyDescent="0.25">
      <c r="A508" s="136">
        <v>2</v>
      </c>
      <c r="B508" s="137" t="s">
        <v>51</v>
      </c>
      <c r="C508" s="137" t="s">
        <v>52</v>
      </c>
      <c r="D508" s="138" t="s">
        <v>489</v>
      </c>
      <c r="E508" s="135"/>
    </row>
    <row r="509" spans="1:5" ht="15.75" x14ac:dyDescent="0.25">
      <c r="A509" s="136">
        <v>3</v>
      </c>
      <c r="B509" s="137" t="s">
        <v>61</v>
      </c>
      <c r="C509" s="137" t="s">
        <v>62</v>
      </c>
      <c r="D509" s="138" t="s">
        <v>490</v>
      </c>
      <c r="E509" s="135" t="s">
        <v>64</v>
      </c>
    </row>
    <row r="510" spans="1:5" ht="15.75" x14ac:dyDescent="0.25">
      <c r="A510" s="136">
        <v>4</v>
      </c>
      <c r="B510" s="137" t="s">
        <v>72</v>
      </c>
      <c r="C510" s="137" t="s">
        <v>73</v>
      </c>
      <c r="D510" s="138" t="s">
        <v>492</v>
      </c>
      <c r="E510" s="135"/>
    </row>
    <row r="511" spans="1:5" ht="15.75" x14ac:dyDescent="0.25">
      <c r="A511" s="136">
        <v>5</v>
      </c>
      <c r="B511" s="137" t="s">
        <v>88</v>
      </c>
      <c r="C511" s="137" t="s">
        <v>90</v>
      </c>
      <c r="D511" s="138" t="s">
        <v>494</v>
      </c>
      <c r="E511" s="135"/>
    </row>
    <row r="512" spans="1:5" ht="15.75" x14ac:dyDescent="0.25">
      <c r="A512" s="136">
        <v>6</v>
      </c>
      <c r="B512" s="137" t="s">
        <v>96</v>
      </c>
      <c r="C512" s="137" t="s">
        <v>62</v>
      </c>
      <c r="D512" s="138" t="s">
        <v>495</v>
      </c>
      <c r="E512" s="135"/>
    </row>
    <row r="513" spans="1:5" ht="15.75" x14ac:dyDescent="0.25">
      <c r="A513" s="136">
        <v>7</v>
      </c>
      <c r="B513" s="137" t="s">
        <v>98</v>
      </c>
      <c r="C513" s="137" t="s">
        <v>352</v>
      </c>
      <c r="D513" s="138" t="s">
        <v>497</v>
      </c>
      <c r="E513" s="135" t="s">
        <v>101</v>
      </c>
    </row>
    <row r="514" spans="1:5" ht="15.75" x14ac:dyDescent="0.25">
      <c r="A514" s="136">
        <v>8</v>
      </c>
      <c r="B514" s="137" t="s">
        <v>98</v>
      </c>
      <c r="C514" s="137" t="s">
        <v>352</v>
      </c>
      <c r="D514" s="138" t="s">
        <v>499</v>
      </c>
      <c r="E514" s="135" t="s">
        <v>101</v>
      </c>
    </row>
    <row r="515" spans="1:5" ht="15.75" x14ac:dyDescent="0.25">
      <c r="A515" s="136">
        <v>9</v>
      </c>
      <c r="B515" s="137" t="s">
        <v>98</v>
      </c>
      <c r="C515" s="137" t="s">
        <v>352</v>
      </c>
      <c r="D515" s="138" t="s">
        <v>501</v>
      </c>
      <c r="E515" s="135" t="s">
        <v>101</v>
      </c>
    </row>
    <row r="516" spans="1:5" ht="15.75" x14ac:dyDescent="0.25">
      <c r="A516" s="136">
        <v>10</v>
      </c>
      <c r="B516" s="137" t="s">
        <v>98</v>
      </c>
      <c r="C516" s="137" t="s">
        <v>352</v>
      </c>
      <c r="D516" s="138" t="s">
        <v>503</v>
      </c>
      <c r="E516" s="135" t="s">
        <v>101</v>
      </c>
    </row>
    <row r="517" spans="1:5" ht="15.75" x14ac:dyDescent="0.25">
      <c r="A517" s="136">
        <v>11</v>
      </c>
      <c r="B517" s="137" t="s">
        <v>114</v>
      </c>
      <c r="C517" s="137" t="s">
        <v>39</v>
      </c>
      <c r="D517" s="138" t="s">
        <v>52</v>
      </c>
      <c r="E517" s="139" t="s">
        <v>115</v>
      </c>
    </row>
    <row r="518" spans="1:5" ht="30" x14ac:dyDescent="0.25">
      <c r="A518" s="136">
        <v>12</v>
      </c>
      <c r="B518" s="137" t="s">
        <v>134</v>
      </c>
      <c r="C518" s="137" t="s">
        <v>135</v>
      </c>
      <c r="D518" s="138" t="s">
        <v>505</v>
      </c>
      <c r="E518" s="139" t="s">
        <v>138</v>
      </c>
    </row>
    <row r="519" spans="1:5" ht="15.75" x14ac:dyDescent="0.25">
      <c r="A519" s="136">
        <v>13</v>
      </c>
      <c r="B519" s="137" t="s">
        <v>145</v>
      </c>
      <c r="C519" s="137" t="s">
        <v>52</v>
      </c>
      <c r="D519" s="138" t="s">
        <v>507</v>
      </c>
      <c r="E519" s="139"/>
    </row>
    <row r="520" spans="1:5" ht="15.75" x14ac:dyDescent="0.25">
      <c r="A520" s="136">
        <v>14</v>
      </c>
      <c r="B520" s="137" t="s">
        <v>159</v>
      </c>
      <c r="C520" s="137" t="s">
        <v>160</v>
      </c>
      <c r="D520" s="138" t="s">
        <v>509</v>
      </c>
      <c r="E520" s="139"/>
    </row>
    <row r="521" spans="1:5" x14ac:dyDescent="0.25">
      <c r="A521" s="136"/>
      <c r="B521" s="136"/>
      <c r="C521" s="136"/>
      <c r="D521" s="136"/>
      <c r="E521" s="136"/>
    </row>
    <row r="526" spans="1:5" ht="15.75" x14ac:dyDescent="0.25">
      <c r="E526" s="129" t="s">
        <v>2</v>
      </c>
    </row>
    <row r="527" spans="1:5" ht="15.75" x14ac:dyDescent="0.25">
      <c r="E527" s="129" t="s">
        <v>3</v>
      </c>
    </row>
    <row r="528" spans="1:5" ht="15.75" x14ac:dyDescent="0.25">
      <c r="E528" s="131" t="s">
        <v>7</v>
      </c>
    </row>
    <row r="529" spans="1:5" x14ac:dyDescent="0.25">
      <c r="E529" s="133" t="s">
        <v>624</v>
      </c>
    </row>
    <row r="530" spans="1:5" x14ac:dyDescent="0.25">
      <c r="A530" s="142" t="str">
        <f>VLOOKUP(A533,[1]BD!C:D,2,0)</f>
        <v>Zumpango de Ocampo</v>
      </c>
      <c r="B530" s="142"/>
      <c r="C530" s="142"/>
      <c r="D530" s="142"/>
      <c r="E530" s="142"/>
    </row>
    <row r="531" spans="1:5" x14ac:dyDescent="0.25">
      <c r="A531" s="142"/>
      <c r="B531" s="142"/>
      <c r="C531" s="142"/>
      <c r="D531" s="142"/>
      <c r="E531" s="142"/>
    </row>
    <row r="532" spans="1:5" x14ac:dyDescent="0.25">
      <c r="A532" s="143" t="s">
        <v>21</v>
      </c>
      <c r="B532" s="143"/>
      <c r="C532" s="143"/>
      <c r="D532" s="143"/>
      <c r="E532" s="134" t="s">
        <v>23</v>
      </c>
    </row>
    <row r="533" spans="1:5" ht="36" x14ac:dyDescent="0.25">
      <c r="A533" s="144">
        <v>6020</v>
      </c>
      <c r="B533" s="144"/>
      <c r="C533" s="144"/>
      <c r="D533" s="144"/>
      <c r="E533" s="135"/>
    </row>
    <row r="534" spans="1:5" x14ac:dyDescent="0.25">
      <c r="A534" s="136" t="s">
        <v>625</v>
      </c>
      <c r="B534" s="136" t="s">
        <v>24</v>
      </c>
      <c r="C534" s="136" t="s">
        <v>25</v>
      </c>
      <c r="D534" s="136" t="s">
        <v>626</v>
      </c>
      <c r="E534" s="136" t="s">
        <v>30</v>
      </c>
    </row>
    <row r="535" spans="1:5" ht="15.75" x14ac:dyDescent="0.25">
      <c r="A535" s="136">
        <v>1</v>
      </c>
      <c r="B535" s="137" t="s">
        <v>37</v>
      </c>
      <c r="C535" s="137" t="s">
        <v>39</v>
      </c>
      <c r="D535" s="138" t="s">
        <v>511</v>
      </c>
      <c r="E535" s="135" t="s">
        <v>41</v>
      </c>
    </row>
    <row r="536" spans="1:5" ht="15.75" x14ac:dyDescent="0.25">
      <c r="A536" s="136">
        <v>2</v>
      </c>
      <c r="B536" s="137" t="s">
        <v>51</v>
      </c>
      <c r="C536" s="137" t="s">
        <v>52</v>
      </c>
      <c r="D536" s="138" t="s">
        <v>513</v>
      </c>
      <c r="E536" s="135"/>
    </row>
    <row r="537" spans="1:5" ht="15.75" x14ac:dyDescent="0.25">
      <c r="A537" s="136">
        <v>3</v>
      </c>
      <c r="B537" s="137" t="s">
        <v>61</v>
      </c>
      <c r="C537" s="137" t="s">
        <v>62</v>
      </c>
      <c r="D537" s="138" t="s">
        <v>514</v>
      </c>
      <c r="E537" s="135" t="s">
        <v>64</v>
      </c>
    </row>
    <row r="538" spans="1:5" ht="15.75" x14ac:dyDescent="0.25">
      <c r="A538" s="136">
        <v>4</v>
      </c>
      <c r="B538" s="137" t="s">
        <v>72</v>
      </c>
      <c r="C538" s="137" t="s">
        <v>73</v>
      </c>
      <c r="D538" s="138" t="s">
        <v>516</v>
      </c>
      <c r="E538" s="135"/>
    </row>
    <row r="539" spans="1:5" ht="15.75" x14ac:dyDescent="0.25">
      <c r="A539" s="136">
        <v>5</v>
      </c>
      <c r="B539" s="137" t="s">
        <v>88</v>
      </c>
      <c r="C539" s="137" t="s">
        <v>90</v>
      </c>
      <c r="D539" s="138" t="s">
        <v>518</v>
      </c>
      <c r="E539" s="135"/>
    </row>
    <row r="540" spans="1:5" ht="15.75" x14ac:dyDescent="0.25">
      <c r="A540" s="136">
        <v>6</v>
      </c>
      <c r="B540" s="137" t="s">
        <v>96</v>
      </c>
      <c r="C540" s="137" t="s">
        <v>62</v>
      </c>
      <c r="D540" s="138" t="s">
        <v>519</v>
      </c>
      <c r="E540" s="135"/>
    </row>
    <row r="541" spans="1:5" ht="15.75" x14ac:dyDescent="0.25">
      <c r="A541" s="136">
        <v>7</v>
      </c>
      <c r="B541" s="137" t="s">
        <v>98</v>
      </c>
      <c r="C541" s="137" t="s">
        <v>352</v>
      </c>
      <c r="D541" s="138" t="s">
        <v>521</v>
      </c>
      <c r="E541" s="135" t="s">
        <v>101</v>
      </c>
    </row>
    <row r="542" spans="1:5" ht="15.75" x14ac:dyDescent="0.25">
      <c r="A542" s="136">
        <v>8</v>
      </c>
      <c r="B542" s="137" t="s">
        <v>98</v>
      </c>
      <c r="C542" s="137" t="s">
        <v>352</v>
      </c>
      <c r="D542" s="138" t="s">
        <v>523</v>
      </c>
      <c r="E542" s="135" t="s">
        <v>101</v>
      </c>
    </row>
    <row r="543" spans="1:5" ht="15.75" x14ac:dyDescent="0.25">
      <c r="A543" s="136">
        <v>9</v>
      </c>
      <c r="B543" s="137" t="s">
        <v>98</v>
      </c>
      <c r="C543" s="137" t="s">
        <v>352</v>
      </c>
      <c r="D543" s="138" t="s">
        <v>525</v>
      </c>
      <c r="E543" s="135" t="s">
        <v>101</v>
      </c>
    </row>
    <row r="544" spans="1:5" ht="15.75" x14ac:dyDescent="0.25">
      <c r="A544" s="136">
        <v>10</v>
      </c>
      <c r="B544" s="137" t="s">
        <v>114</v>
      </c>
      <c r="C544" s="137" t="s">
        <v>39</v>
      </c>
      <c r="D544" s="138" t="s">
        <v>52</v>
      </c>
      <c r="E544" s="135" t="s">
        <v>115</v>
      </c>
    </row>
    <row r="545" spans="1:5" ht="30" x14ac:dyDescent="0.25">
      <c r="A545" s="136">
        <v>11</v>
      </c>
      <c r="B545" s="137" t="s">
        <v>134</v>
      </c>
      <c r="C545" s="137" t="s">
        <v>135</v>
      </c>
      <c r="D545" s="138" t="s">
        <v>527</v>
      </c>
      <c r="E545" s="139" t="s">
        <v>138</v>
      </c>
    </row>
    <row r="546" spans="1:5" ht="15.75" x14ac:dyDescent="0.25">
      <c r="A546" s="136">
        <v>12</v>
      </c>
      <c r="B546" s="137" t="s">
        <v>145</v>
      </c>
      <c r="C546" s="137" t="s">
        <v>52</v>
      </c>
      <c r="D546" s="138" t="s">
        <v>529</v>
      </c>
      <c r="E546" s="139"/>
    </row>
    <row r="547" spans="1:5" ht="15.75" x14ac:dyDescent="0.25">
      <c r="A547" s="136">
        <v>13</v>
      </c>
      <c r="B547" s="137" t="s">
        <v>159</v>
      </c>
      <c r="C547" s="137" t="s">
        <v>160</v>
      </c>
      <c r="D547" s="138" t="s">
        <v>531</v>
      </c>
      <c r="E547" s="139"/>
    </row>
    <row r="548" spans="1:5" x14ac:dyDescent="0.25">
      <c r="A548" s="136"/>
      <c r="B548" s="136"/>
      <c r="C548" s="136"/>
      <c r="D548" s="136"/>
      <c r="E548" s="136"/>
    </row>
    <row r="553" spans="1:5" ht="15.75" x14ac:dyDescent="0.25">
      <c r="E553" s="129" t="s">
        <v>2</v>
      </c>
    </row>
    <row r="554" spans="1:5" ht="15.75" x14ac:dyDescent="0.25">
      <c r="E554" s="129" t="s">
        <v>3</v>
      </c>
    </row>
    <row r="555" spans="1:5" ht="15.75" x14ac:dyDescent="0.25">
      <c r="E555" s="131" t="s">
        <v>7</v>
      </c>
    </row>
    <row r="556" spans="1:5" x14ac:dyDescent="0.25">
      <c r="E556" s="133" t="s">
        <v>624</v>
      </c>
    </row>
    <row r="557" spans="1:5" x14ac:dyDescent="0.25">
      <c r="A557" s="142" t="str">
        <f>VLOOKUP(A560,[1]BD!C:D,2,0)</f>
        <v>Ecatepec de Morelos</v>
      </c>
      <c r="B557" s="142"/>
      <c r="C557" s="142"/>
      <c r="D557" s="142"/>
      <c r="E557" s="142"/>
    </row>
    <row r="558" spans="1:5" x14ac:dyDescent="0.25">
      <c r="A558" s="142"/>
      <c r="B558" s="142"/>
      <c r="C558" s="142"/>
      <c r="D558" s="142"/>
      <c r="E558" s="142"/>
    </row>
    <row r="559" spans="1:5" x14ac:dyDescent="0.25">
      <c r="A559" s="143" t="s">
        <v>21</v>
      </c>
      <c r="B559" s="143"/>
      <c r="C559" s="143"/>
      <c r="D559" s="143"/>
      <c r="E559" s="134" t="s">
        <v>23</v>
      </c>
    </row>
    <row r="560" spans="1:5" ht="36" x14ac:dyDescent="0.25">
      <c r="A560" s="144">
        <v>6021</v>
      </c>
      <c r="B560" s="144"/>
      <c r="C560" s="144"/>
      <c r="D560" s="144"/>
      <c r="E560" s="135"/>
    </row>
    <row r="561" spans="1:5" x14ac:dyDescent="0.25">
      <c r="A561" s="136" t="s">
        <v>625</v>
      </c>
      <c r="B561" s="136" t="s">
        <v>24</v>
      </c>
      <c r="C561" s="136" t="s">
        <v>25</v>
      </c>
      <c r="D561" s="136" t="s">
        <v>626</v>
      </c>
      <c r="E561" s="136" t="s">
        <v>30</v>
      </c>
    </row>
    <row r="562" spans="1:5" ht="15.75" x14ac:dyDescent="0.25">
      <c r="A562" s="136">
        <v>1</v>
      </c>
      <c r="B562" s="137" t="s">
        <v>37</v>
      </c>
      <c r="C562" s="137" t="s">
        <v>39</v>
      </c>
      <c r="D562" s="138" t="s">
        <v>533</v>
      </c>
      <c r="E562" s="135" t="s">
        <v>41</v>
      </c>
    </row>
    <row r="563" spans="1:5" ht="15.75" x14ac:dyDescent="0.25">
      <c r="A563" s="136">
        <v>2</v>
      </c>
      <c r="B563" s="137" t="s">
        <v>51</v>
      </c>
      <c r="C563" s="137" t="s">
        <v>52</v>
      </c>
      <c r="D563" s="138" t="s">
        <v>535</v>
      </c>
      <c r="E563" s="135"/>
    </row>
    <row r="564" spans="1:5" ht="15.75" x14ac:dyDescent="0.25">
      <c r="A564" s="136">
        <v>3</v>
      </c>
      <c r="B564" s="137" t="s">
        <v>61</v>
      </c>
      <c r="C564" s="137" t="s">
        <v>62</v>
      </c>
      <c r="D564" s="138" t="s">
        <v>536</v>
      </c>
      <c r="E564" s="135" t="s">
        <v>64</v>
      </c>
    </row>
    <row r="565" spans="1:5" ht="15.75" x14ac:dyDescent="0.25">
      <c r="A565" s="136">
        <v>4</v>
      </c>
      <c r="B565" s="137" t="s">
        <v>72</v>
      </c>
      <c r="C565" s="137" t="s">
        <v>73</v>
      </c>
      <c r="D565" s="138" t="s">
        <v>538</v>
      </c>
      <c r="E565" s="135"/>
    </row>
    <row r="566" spans="1:5" ht="15.75" x14ac:dyDescent="0.25">
      <c r="A566" s="136">
        <v>5</v>
      </c>
      <c r="B566" s="137" t="s">
        <v>88</v>
      </c>
      <c r="C566" s="137" t="s">
        <v>90</v>
      </c>
      <c r="D566" s="138" t="s">
        <v>539</v>
      </c>
      <c r="E566" s="135"/>
    </row>
    <row r="567" spans="1:5" ht="15.75" x14ac:dyDescent="0.25">
      <c r="A567" s="136">
        <v>6</v>
      </c>
      <c r="B567" s="137" t="s">
        <v>96</v>
      </c>
      <c r="C567" s="137" t="s">
        <v>62</v>
      </c>
      <c r="D567" s="138" t="s">
        <v>540</v>
      </c>
      <c r="E567" s="135"/>
    </row>
    <row r="568" spans="1:5" ht="15.75" x14ac:dyDescent="0.25">
      <c r="A568" s="136">
        <v>7</v>
      </c>
      <c r="B568" s="137" t="s">
        <v>98</v>
      </c>
      <c r="C568" s="137" t="s">
        <v>352</v>
      </c>
      <c r="D568" s="138" t="s">
        <v>542</v>
      </c>
      <c r="E568" s="135" t="s">
        <v>101</v>
      </c>
    </row>
    <row r="569" spans="1:5" ht="15.75" x14ac:dyDescent="0.25">
      <c r="A569" s="136">
        <v>8</v>
      </c>
      <c r="B569" s="137" t="s">
        <v>98</v>
      </c>
      <c r="C569" s="137" t="s">
        <v>352</v>
      </c>
      <c r="D569" s="138" t="s">
        <v>544</v>
      </c>
      <c r="E569" s="135" t="s">
        <v>101</v>
      </c>
    </row>
    <row r="570" spans="1:5" ht="15.75" x14ac:dyDescent="0.25">
      <c r="A570" s="136">
        <v>9</v>
      </c>
      <c r="B570" s="137" t="s">
        <v>98</v>
      </c>
      <c r="C570" s="137" t="s">
        <v>352</v>
      </c>
      <c r="D570" s="138" t="s">
        <v>546</v>
      </c>
      <c r="E570" s="135" t="s">
        <v>101</v>
      </c>
    </row>
    <row r="571" spans="1:5" ht="15.75" x14ac:dyDescent="0.25">
      <c r="A571" s="136">
        <v>10</v>
      </c>
      <c r="B571" s="137" t="s">
        <v>114</v>
      </c>
      <c r="C571" s="137" t="s">
        <v>39</v>
      </c>
      <c r="D571" s="138" t="s">
        <v>52</v>
      </c>
      <c r="E571" s="135" t="s">
        <v>115</v>
      </c>
    </row>
    <row r="572" spans="1:5" ht="30" x14ac:dyDescent="0.25">
      <c r="A572" s="136">
        <v>11</v>
      </c>
      <c r="B572" s="137" t="s">
        <v>134</v>
      </c>
      <c r="C572" s="137" t="s">
        <v>135</v>
      </c>
      <c r="D572" s="138" t="s">
        <v>548</v>
      </c>
      <c r="E572" s="139" t="s">
        <v>138</v>
      </c>
    </row>
    <row r="573" spans="1:5" ht="15.75" x14ac:dyDescent="0.25">
      <c r="A573" s="136">
        <v>12</v>
      </c>
      <c r="B573" s="137" t="s">
        <v>145</v>
      </c>
      <c r="C573" s="137" t="s">
        <v>52</v>
      </c>
      <c r="D573" s="138" t="s">
        <v>550</v>
      </c>
      <c r="E573" s="139"/>
    </row>
    <row r="574" spans="1:5" ht="15.75" x14ac:dyDescent="0.25">
      <c r="A574" s="136">
        <v>13</v>
      </c>
      <c r="B574" s="137" t="s">
        <v>159</v>
      </c>
      <c r="C574" s="137" t="s">
        <v>160</v>
      </c>
      <c r="D574" s="138" t="s">
        <v>552</v>
      </c>
      <c r="E574" s="139"/>
    </row>
    <row r="575" spans="1:5" x14ac:dyDescent="0.25">
      <c r="A575" s="136"/>
      <c r="B575" s="136"/>
      <c r="C575" s="136"/>
      <c r="D575" s="136"/>
      <c r="E575" s="136"/>
    </row>
    <row r="580" spans="1:5" ht="15.75" x14ac:dyDescent="0.25">
      <c r="E580" s="129" t="s">
        <v>2</v>
      </c>
    </row>
    <row r="581" spans="1:5" ht="15.75" x14ac:dyDescent="0.25">
      <c r="E581" s="129" t="s">
        <v>3</v>
      </c>
    </row>
    <row r="582" spans="1:5" ht="15.75" x14ac:dyDescent="0.25">
      <c r="E582" s="131" t="s">
        <v>7</v>
      </c>
    </row>
    <row r="583" spans="1:5" x14ac:dyDescent="0.25">
      <c r="E583" s="133" t="s">
        <v>624</v>
      </c>
    </row>
    <row r="584" spans="1:5" x14ac:dyDescent="0.25">
      <c r="A584" s="142" t="str">
        <f>VLOOKUP(A587,[1]BD!C:D,2,0)</f>
        <v>Ojo de agua Tecamac</v>
      </c>
      <c r="B584" s="142"/>
      <c r="C584" s="142"/>
      <c r="D584" s="142"/>
      <c r="E584" s="142"/>
    </row>
    <row r="585" spans="1:5" x14ac:dyDescent="0.25">
      <c r="A585" s="142"/>
      <c r="B585" s="142"/>
      <c r="C585" s="142"/>
      <c r="D585" s="142"/>
      <c r="E585" s="142"/>
    </row>
    <row r="586" spans="1:5" x14ac:dyDescent="0.25">
      <c r="A586" s="143" t="s">
        <v>21</v>
      </c>
      <c r="B586" s="143"/>
      <c r="C586" s="143"/>
      <c r="D586" s="143"/>
      <c r="E586" s="134" t="s">
        <v>23</v>
      </c>
    </row>
    <row r="587" spans="1:5" ht="36" x14ac:dyDescent="0.25">
      <c r="A587" s="144">
        <v>6022</v>
      </c>
      <c r="B587" s="144"/>
      <c r="C587" s="144"/>
      <c r="D587" s="144"/>
      <c r="E587" s="135"/>
    </row>
    <row r="588" spans="1:5" x14ac:dyDescent="0.25">
      <c r="A588" s="136" t="s">
        <v>625</v>
      </c>
      <c r="B588" s="136" t="s">
        <v>24</v>
      </c>
      <c r="C588" s="136" t="s">
        <v>25</v>
      </c>
      <c r="D588" s="136" t="s">
        <v>626</v>
      </c>
      <c r="E588" s="136" t="s">
        <v>30</v>
      </c>
    </row>
    <row r="589" spans="1:5" ht="15.75" x14ac:dyDescent="0.25">
      <c r="A589" s="136">
        <v>1</v>
      </c>
      <c r="B589" s="137" t="s">
        <v>37</v>
      </c>
      <c r="C589" s="137" t="s">
        <v>39</v>
      </c>
      <c r="D589" s="138" t="s">
        <v>554</v>
      </c>
      <c r="E589" s="135" t="s">
        <v>41</v>
      </c>
    </row>
    <row r="590" spans="1:5" ht="15.75" x14ac:dyDescent="0.25">
      <c r="A590" s="136">
        <v>2</v>
      </c>
      <c r="B590" s="137" t="s">
        <v>51</v>
      </c>
      <c r="C590" s="137" t="s">
        <v>52</v>
      </c>
      <c r="D590" s="138" t="s">
        <v>556</v>
      </c>
      <c r="E590" s="135"/>
    </row>
    <row r="591" spans="1:5" ht="15.75" x14ac:dyDescent="0.25">
      <c r="A591" s="136">
        <v>3</v>
      </c>
      <c r="B591" s="137" t="s">
        <v>61</v>
      </c>
      <c r="C591" s="137" t="s">
        <v>62</v>
      </c>
      <c r="D591" s="138" t="s">
        <v>557</v>
      </c>
      <c r="E591" s="135" t="s">
        <v>64</v>
      </c>
    </row>
    <row r="592" spans="1:5" ht="15.75" x14ac:dyDescent="0.25">
      <c r="A592" s="136">
        <v>4</v>
      </c>
      <c r="B592" s="137" t="s">
        <v>72</v>
      </c>
      <c r="C592" s="137" t="s">
        <v>73</v>
      </c>
      <c r="D592" s="138" t="s">
        <v>559</v>
      </c>
      <c r="E592" s="135"/>
    </row>
    <row r="593" spans="1:5" ht="15.75" x14ac:dyDescent="0.25">
      <c r="A593" s="136">
        <v>5</v>
      </c>
      <c r="B593" s="137" t="s">
        <v>88</v>
      </c>
      <c r="C593" s="137" t="s">
        <v>90</v>
      </c>
      <c r="D593" s="138" t="s">
        <v>561</v>
      </c>
      <c r="E593" s="135"/>
    </row>
    <row r="594" spans="1:5" ht="15.75" x14ac:dyDescent="0.25">
      <c r="A594" s="136">
        <v>6</v>
      </c>
      <c r="B594" s="137" t="s">
        <v>96</v>
      </c>
      <c r="C594" s="137" t="s">
        <v>62</v>
      </c>
      <c r="D594" s="138" t="s">
        <v>562</v>
      </c>
      <c r="E594" s="135"/>
    </row>
    <row r="595" spans="1:5" ht="15.75" x14ac:dyDescent="0.25">
      <c r="A595" s="136">
        <v>7</v>
      </c>
      <c r="B595" s="137" t="s">
        <v>98</v>
      </c>
      <c r="C595" s="137" t="s">
        <v>563</v>
      </c>
      <c r="D595" s="138" t="s">
        <v>565</v>
      </c>
      <c r="E595" s="135" t="s">
        <v>101</v>
      </c>
    </row>
    <row r="596" spans="1:5" ht="15.75" x14ac:dyDescent="0.25">
      <c r="A596" s="136">
        <v>8</v>
      </c>
      <c r="B596" s="137" t="s">
        <v>98</v>
      </c>
      <c r="C596" s="137" t="s">
        <v>563</v>
      </c>
      <c r="D596" s="138" t="s">
        <v>567</v>
      </c>
      <c r="E596" s="135" t="s">
        <v>101</v>
      </c>
    </row>
    <row r="597" spans="1:5" ht="15.75" x14ac:dyDescent="0.25">
      <c r="A597" s="136">
        <v>9</v>
      </c>
      <c r="B597" s="137" t="s">
        <v>98</v>
      </c>
      <c r="C597" s="137" t="s">
        <v>563</v>
      </c>
      <c r="D597" s="138" t="s">
        <v>569</v>
      </c>
      <c r="E597" s="135" t="s">
        <v>101</v>
      </c>
    </row>
    <row r="598" spans="1:5" ht="15.75" x14ac:dyDescent="0.25">
      <c r="A598" s="136">
        <v>10</v>
      </c>
      <c r="B598" s="137" t="s">
        <v>114</v>
      </c>
      <c r="C598" s="137" t="s">
        <v>39</v>
      </c>
      <c r="D598" s="138" t="s">
        <v>52</v>
      </c>
      <c r="E598" s="135" t="s">
        <v>115</v>
      </c>
    </row>
    <row r="599" spans="1:5" ht="30" x14ac:dyDescent="0.25">
      <c r="A599" s="136">
        <v>11</v>
      </c>
      <c r="B599" s="137" t="s">
        <v>134</v>
      </c>
      <c r="C599" s="137" t="s">
        <v>135</v>
      </c>
      <c r="D599" s="138" t="s">
        <v>571</v>
      </c>
      <c r="E599" s="139" t="s">
        <v>138</v>
      </c>
    </row>
    <row r="600" spans="1:5" ht="15.75" x14ac:dyDescent="0.25">
      <c r="A600" s="136">
        <v>12</v>
      </c>
      <c r="B600" s="137" t="s">
        <v>145</v>
      </c>
      <c r="C600" s="137" t="s">
        <v>52</v>
      </c>
      <c r="D600" s="138" t="s">
        <v>573</v>
      </c>
      <c r="E600" s="139"/>
    </row>
    <row r="601" spans="1:5" ht="15.75" x14ac:dyDescent="0.25">
      <c r="A601" s="136">
        <v>13</v>
      </c>
      <c r="B601" s="137" t="s">
        <v>159</v>
      </c>
      <c r="C601" s="137" t="s">
        <v>160</v>
      </c>
      <c r="D601" s="138" t="s">
        <v>575</v>
      </c>
      <c r="E601" s="139"/>
    </row>
    <row r="602" spans="1:5" x14ac:dyDescent="0.25">
      <c r="A602" s="136"/>
      <c r="B602" s="136"/>
      <c r="C602" s="136"/>
      <c r="D602" s="136"/>
      <c r="E602" s="136"/>
    </row>
    <row r="606" spans="1:5" ht="15.75" x14ac:dyDescent="0.25">
      <c r="E606" s="129" t="s">
        <v>2</v>
      </c>
    </row>
    <row r="607" spans="1:5" ht="15.75" x14ac:dyDescent="0.25">
      <c r="E607" s="129" t="s">
        <v>3</v>
      </c>
    </row>
    <row r="608" spans="1:5" ht="15.75" x14ac:dyDescent="0.25">
      <c r="E608" s="131" t="s">
        <v>7</v>
      </c>
    </row>
    <row r="609" spans="1:5" x14ac:dyDescent="0.25">
      <c r="E609" s="133" t="s">
        <v>624</v>
      </c>
    </row>
    <row r="610" spans="1:5" x14ac:dyDescent="0.25">
      <c r="A610" s="142" t="str">
        <f>VLOOKUP(A613,[1]BD!C:D,2,0)</f>
        <v>Texcoco de Mora</v>
      </c>
      <c r="B610" s="142"/>
      <c r="C610" s="142"/>
      <c r="D610" s="142"/>
      <c r="E610" s="142"/>
    </row>
    <row r="611" spans="1:5" x14ac:dyDescent="0.25">
      <c r="A611" s="142"/>
      <c r="B611" s="142"/>
      <c r="C611" s="142"/>
      <c r="D611" s="142"/>
      <c r="E611" s="142"/>
    </row>
    <row r="612" spans="1:5" x14ac:dyDescent="0.25">
      <c r="A612" s="143" t="s">
        <v>21</v>
      </c>
      <c r="B612" s="143"/>
      <c r="C612" s="143"/>
      <c r="D612" s="143"/>
      <c r="E612" s="134" t="s">
        <v>23</v>
      </c>
    </row>
    <row r="613" spans="1:5" ht="36" x14ac:dyDescent="0.25">
      <c r="A613" s="144">
        <v>6023</v>
      </c>
      <c r="B613" s="144"/>
      <c r="C613" s="144"/>
      <c r="D613" s="144"/>
      <c r="E613" s="135"/>
    </row>
    <row r="614" spans="1:5" x14ac:dyDescent="0.25">
      <c r="A614" s="136" t="s">
        <v>625</v>
      </c>
      <c r="B614" s="136" t="s">
        <v>24</v>
      </c>
      <c r="C614" s="136" t="s">
        <v>25</v>
      </c>
      <c r="D614" s="136" t="s">
        <v>626</v>
      </c>
      <c r="E614" s="136" t="s">
        <v>30</v>
      </c>
    </row>
    <row r="615" spans="1:5" ht="15.75" x14ac:dyDescent="0.25">
      <c r="A615" s="136">
        <v>1</v>
      </c>
      <c r="B615" s="137" t="s">
        <v>37</v>
      </c>
      <c r="C615" s="137" t="s">
        <v>39</v>
      </c>
      <c r="D615" s="138" t="s">
        <v>577</v>
      </c>
      <c r="E615" s="135" t="s">
        <v>41</v>
      </c>
    </row>
    <row r="616" spans="1:5" ht="15.75" x14ac:dyDescent="0.25">
      <c r="A616" s="136">
        <v>2</v>
      </c>
      <c r="B616" s="137" t="s">
        <v>51</v>
      </c>
      <c r="C616" s="137" t="s">
        <v>52</v>
      </c>
      <c r="D616" s="138" t="s">
        <v>579</v>
      </c>
      <c r="E616" s="135"/>
    </row>
    <row r="617" spans="1:5" ht="15.75" x14ac:dyDescent="0.25">
      <c r="A617" s="136">
        <v>3</v>
      </c>
      <c r="B617" s="137" t="s">
        <v>61</v>
      </c>
      <c r="C617" s="137" t="s">
        <v>62</v>
      </c>
      <c r="D617" s="138" t="s">
        <v>580</v>
      </c>
      <c r="E617" s="135" t="s">
        <v>64</v>
      </c>
    </row>
    <row r="618" spans="1:5" ht="15.75" x14ac:dyDescent="0.25">
      <c r="A618" s="136">
        <v>4</v>
      </c>
      <c r="B618" s="137" t="s">
        <v>72</v>
      </c>
      <c r="C618" s="137" t="s">
        <v>73</v>
      </c>
      <c r="D618" s="138" t="s">
        <v>582</v>
      </c>
      <c r="E618" s="135"/>
    </row>
    <row r="619" spans="1:5" ht="15.75" x14ac:dyDescent="0.25">
      <c r="A619" s="136">
        <v>5</v>
      </c>
      <c r="B619" s="137" t="s">
        <v>88</v>
      </c>
      <c r="C619" s="137" t="s">
        <v>90</v>
      </c>
      <c r="D619" s="138" t="s">
        <v>584</v>
      </c>
      <c r="E619" s="135"/>
    </row>
    <row r="620" spans="1:5" ht="15.75" x14ac:dyDescent="0.25">
      <c r="A620" s="136">
        <v>6</v>
      </c>
      <c r="B620" s="137" t="s">
        <v>96</v>
      </c>
      <c r="C620" s="137" t="s">
        <v>62</v>
      </c>
      <c r="D620" s="138" t="s">
        <v>585</v>
      </c>
      <c r="E620" s="135"/>
    </row>
    <row r="621" spans="1:5" ht="15.75" x14ac:dyDescent="0.25">
      <c r="A621" s="136">
        <v>7</v>
      </c>
      <c r="B621" s="137" t="s">
        <v>98</v>
      </c>
      <c r="C621" s="137" t="s">
        <v>39</v>
      </c>
      <c r="D621" s="138" t="s">
        <v>586</v>
      </c>
      <c r="E621" s="135" t="s">
        <v>101</v>
      </c>
    </row>
    <row r="622" spans="1:5" ht="15.75" x14ac:dyDescent="0.25">
      <c r="A622" s="136">
        <v>8</v>
      </c>
      <c r="B622" s="137" t="s">
        <v>98</v>
      </c>
      <c r="C622" s="137" t="s">
        <v>39</v>
      </c>
      <c r="D622" s="138" t="s">
        <v>587</v>
      </c>
      <c r="E622" s="135" t="s">
        <v>101</v>
      </c>
    </row>
    <row r="623" spans="1:5" ht="15.75" x14ac:dyDescent="0.25">
      <c r="A623" s="136">
        <v>9</v>
      </c>
      <c r="B623" s="137" t="s">
        <v>98</v>
      </c>
      <c r="C623" s="137" t="s">
        <v>39</v>
      </c>
      <c r="D623" s="138" t="s">
        <v>588</v>
      </c>
      <c r="E623" s="135" t="s">
        <v>101</v>
      </c>
    </row>
    <row r="624" spans="1:5" ht="15.75" x14ac:dyDescent="0.25">
      <c r="A624" s="136">
        <v>10</v>
      </c>
      <c r="B624" s="137" t="s">
        <v>98</v>
      </c>
      <c r="C624" s="137" t="s">
        <v>39</v>
      </c>
      <c r="D624" s="138" t="s">
        <v>589</v>
      </c>
      <c r="E624" s="135" t="s">
        <v>101</v>
      </c>
    </row>
    <row r="625" spans="1:5" ht="15.75" x14ac:dyDescent="0.25">
      <c r="A625" s="136">
        <v>11</v>
      </c>
      <c r="B625" s="137" t="s">
        <v>114</v>
      </c>
      <c r="C625" s="137" t="s">
        <v>39</v>
      </c>
      <c r="D625" s="138" t="s">
        <v>52</v>
      </c>
      <c r="E625" s="139" t="s">
        <v>115</v>
      </c>
    </row>
    <row r="626" spans="1:5" ht="30" x14ac:dyDescent="0.25">
      <c r="A626" s="136">
        <v>12</v>
      </c>
      <c r="B626" s="137" t="s">
        <v>134</v>
      </c>
      <c r="C626" s="137" t="s">
        <v>135</v>
      </c>
      <c r="D626" s="138" t="s">
        <v>591</v>
      </c>
      <c r="E626" s="139" t="s">
        <v>138</v>
      </c>
    </row>
    <row r="627" spans="1:5" ht="15.75" x14ac:dyDescent="0.25">
      <c r="A627" s="136">
        <v>13</v>
      </c>
      <c r="B627" s="137" t="s">
        <v>145</v>
      </c>
      <c r="C627" s="137" t="s">
        <v>52</v>
      </c>
      <c r="D627" s="138" t="s">
        <v>593</v>
      </c>
      <c r="E627" s="139"/>
    </row>
    <row r="628" spans="1:5" ht="15.75" x14ac:dyDescent="0.25">
      <c r="A628" s="136">
        <v>14</v>
      </c>
      <c r="B628" s="137" t="s">
        <v>159</v>
      </c>
      <c r="C628" s="137" t="s">
        <v>160</v>
      </c>
      <c r="D628" s="138" t="s">
        <v>594</v>
      </c>
      <c r="E628" s="139"/>
    </row>
    <row r="629" spans="1:5" x14ac:dyDescent="0.25">
      <c r="A629" s="136"/>
      <c r="B629" s="136"/>
      <c r="C629" s="136"/>
      <c r="D629" s="136"/>
      <c r="E629" s="136"/>
    </row>
    <row r="634" spans="1:5" ht="15.75" x14ac:dyDescent="0.25">
      <c r="E634" s="129" t="s">
        <v>2</v>
      </c>
    </row>
    <row r="635" spans="1:5" ht="15.75" x14ac:dyDescent="0.25">
      <c r="E635" s="129" t="s">
        <v>3</v>
      </c>
    </row>
    <row r="636" spans="1:5" ht="15.75" x14ac:dyDescent="0.25">
      <c r="E636" s="131" t="s">
        <v>7</v>
      </c>
    </row>
    <row r="637" spans="1:5" x14ac:dyDescent="0.25">
      <c r="E637" s="133" t="s">
        <v>624</v>
      </c>
    </row>
    <row r="638" spans="1:5" x14ac:dyDescent="0.25">
      <c r="A638" s="142" t="str">
        <f>VLOOKUP(A641,[1]BD!C:D,2,0)</f>
        <v>CD Nezahualcoyotl</v>
      </c>
      <c r="B638" s="142"/>
      <c r="C638" s="142"/>
      <c r="D638" s="142"/>
      <c r="E638" s="142"/>
    </row>
    <row r="639" spans="1:5" x14ac:dyDescent="0.25">
      <c r="A639" s="142"/>
      <c r="B639" s="142"/>
      <c r="C639" s="142"/>
      <c r="D639" s="142"/>
      <c r="E639" s="142"/>
    </row>
    <row r="640" spans="1:5" x14ac:dyDescent="0.25">
      <c r="A640" s="143" t="s">
        <v>21</v>
      </c>
      <c r="B640" s="143"/>
      <c r="C640" s="143"/>
      <c r="D640" s="143"/>
      <c r="E640" s="134" t="s">
        <v>23</v>
      </c>
    </row>
    <row r="641" spans="1:5" ht="36" x14ac:dyDescent="0.25">
      <c r="A641" s="144">
        <v>6024</v>
      </c>
      <c r="B641" s="144"/>
      <c r="C641" s="144"/>
      <c r="D641" s="144"/>
      <c r="E641" s="135"/>
    </row>
    <row r="642" spans="1:5" x14ac:dyDescent="0.25">
      <c r="A642" s="136" t="s">
        <v>625</v>
      </c>
      <c r="B642" s="136" t="s">
        <v>24</v>
      </c>
      <c r="C642" s="136" t="s">
        <v>25</v>
      </c>
      <c r="D642" s="136" t="s">
        <v>626</v>
      </c>
      <c r="E642" s="136" t="s">
        <v>30</v>
      </c>
    </row>
    <row r="643" spans="1:5" ht="15.75" x14ac:dyDescent="0.25">
      <c r="A643" s="136">
        <v>1</v>
      </c>
      <c r="B643" s="137" t="s">
        <v>37</v>
      </c>
      <c r="C643" s="137" t="s">
        <v>39</v>
      </c>
      <c r="D643" s="138" t="s">
        <v>596</v>
      </c>
      <c r="E643" s="135" t="s">
        <v>41</v>
      </c>
    </row>
    <row r="644" spans="1:5" ht="15.75" x14ac:dyDescent="0.25">
      <c r="A644" s="136">
        <v>2</v>
      </c>
      <c r="B644" s="137" t="s">
        <v>51</v>
      </c>
      <c r="C644" s="137" t="s">
        <v>52</v>
      </c>
      <c r="D644" s="138" t="s">
        <v>598</v>
      </c>
      <c r="E644" s="135"/>
    </row>
    <row r="645" spans="1:5" ht="15.75" x14ac:dyDescent="0.25">
      <c r="A645" s="136">
        <v>3</v>
      </c>
      <c r="B645" s="137" t="s">
        <v>61</v>
      </c>
      <c r="C645" s="137" t="s">
        <v>62</v>
      </c>
      <c r="D645" s="138" t="s">
        <v>599</v>
      </c>
      <c r="E645" s="135" t="s">
        <v>64</v>
      </c>
    </row>
    <row r="646" spans="1:5" ht="15.75" x14ac:dyDescent="0.25">
      <c r="A646" s="136">
        <v>4</v>
      </c>
      <c r="B646" s="137" t="s">
        <v>72</v>
      </c>
      <c r="C646" s="137" t="s">
        <v>73</v>
      </c>
      <c r="D646" s="138" t="s">
        <v>601</v>
      </c>
      <c r="E646" s="135"/>
    </row>
    <row r="647" spans="1:5" ht="15.75" x14ac:dyDescent="0.25">
      <c r="A647" s="136">
        <v>5</v>
      </c>
      <c r="B647" s="137" t="s">
        <v>88</v>
      </c>
      <c r="C647" s="137" t="s">
        <v>90</v>
      </c>
      <c r="D647" s="138" t="s">
        <v>603</v>
      </c>
      <c r="E647" s="135"/>
    </row>
    <row r="648" spans="1:5" ht="15.75" x14ac:dyDescent="0.25">
      <c r="A648" s="136">
        <v>6</v>
      </c>
      <c r="B648" s="137" t="s">
        <v>96</v>
      </c>
      <c r="C648" s="137" t="s">
        <v>62</v>
      </c>
      <c r="D648" s="138" t="s">
        <v>604</v>
      </c>
      <c r="E648" s="135"/>
    </row>
    <row r="649" spans="1:5" ht="15.75" x14ac:dyDescent="0.25">
      <c r="A649" s="136">
        <v>7</v>
      </c>
      <c r="B649" s="137" t="s">
        <v>98</v>
      </c>
      <c r="C649" s="137" t="s">
        <v>39</v>
      </c>
      <c r="D649" s="138" t="s">
        <v>605</v>
      </c>
      <c r="E649" s="135" t="s">
        <v>101</v>
      </c>
    </row>
    <row r="650" spans="1:5" ht="15.75" x14ac:dyDescent="0.25">
      <c r="A650" s="136">
        <v>8</v>
      </c>
      <c r="B650" s="137" t="s">
        <v>98</v>
      </c>
      <c r="C650" s="137" t="s">
        <v>39</v>
      </c>
      <c r="D650" s="138" t="s">
        <v>606</v>
      </c>
      <c r="E650" s="135" t="s">
        <v>101</v>
      </c>
    </row>
    <row r="651" spans="1:5" ht="15.75" x14ac:dyDescent="0.25">
      <c r="A651" s="136">
        <v>9</v>
      </c>
      <c r="B651" s="137" t="s">
        <v>98</v>
      </c>
      <c r="C651" s="137" t="s">
        <v>39</v>
      </c>
      <c r="D651" s="138" t="s">
        <v>607</v>
      </c>
      <c r="E651" s="135" t="s">
        <v>101</v>
      </c>
    </row>
    <row r="652" spans="1:5" ht="15.75" x14ac:dyDescent="0.25">
      <c r="A652" s="136">
        <v>10</v>
      </c>
      <c r="B652" s="137" t="s">
        <v>114</v>
      </c>
      <c r="C652" s="137" t="s">
        <v>39</v>
      </c>
      <c r="D652" s="138" t="s">
        <v>52</v>
      </c>
      <c r="E652" s="135" t="s">
        <v>115</v>
      </c>
    </row>
    <row r="653" spans="1:5" ht="30" x14ac:dyDescent="0.25">
      <c r="A653" s="136">
        <v>11</v>
      </c>
      <c r="B653" s="137" t="s">
        <v>134</v>
      </c>
      <c r="C653" s="137" t="s">
        <v>135</v>
      </c>
      <c r="D653" s="138" t="s">
        <v>609</v>
      </c>
      <c r="E653" s="139" t="s">
        <v>138</v>
      </c>
    </row>
    <row r="654" spans="1:5" ht="15.75" x14ac:dyDescent="0.25">
      <c r="A654" s="136">
        <v>12</v>
      </c>
      <c r="B654" s="137" t="s">
        <v>145</v>
      </c>
      <c r="C654" s="137" t="s">
        <v>52</v>
      </c>
      <c r="D654" s="138" t="s">
        <v>611</v>
      </c>
      <c r="E654" s="139"/>
    </row>
    <row r="655" spans="1:5" ht="15.75" x14ac:dyDescent="0.25">
      <c r="A655" s="136">
        <v>13</v>
      </c>
      <c r="B655" s="137" t="s">
        <v>159</v>
      </c>
      <c r="C655" s="137" t="s">
        <v>160</v>
      </c>
      <c r="D655" s="138" t="s">
        <v>613</v>
      </c>
      <c r="E655" s="139"/>
    </row>
    <row r="656" spans="1:5" x14ac:dyDescent="0.25">
      <c r="A656" s="136"/>
      <c r="B656" s="136"/>
      <c r="C656" s="136"/>
      <c r="D656" s="136"/>
      <c r="E656" s="136"/>
    </row>
  </sheetData>
  <mergeCells count="72">
    <mergeCell ref="A38:D38"/>
    <mergeCell ref="A6:E7"/>
    <mergeCell ref="A8:D8"/>
    <mergeCell ref="A9:D9"/>
    <mergeCell ref="A35:E36"/>
    <mergeCell ref="A37:D37"/>
    <mergeCell ref="A145:D145"/>
    <mergeCell ref="A60:E61"/>
    <mergeCell ref="A62:D62"/>
    <mergeCell ref="A63:D63"/>
    <mergeCell ref="A91:E92"/>
    <mergeCell ref="A93:D93"/>
    <mergeCell ref="A94:D94"/>
    <mergeCell ref="A116:E117"/>
    <mergeCell ref="A118:D118"/>
    <mergeCell ref="A119:D119"/>
    <mergeCell ref="A142:E143"/>
    <mergeCell ref="A144:D144"/>
    <mergeCell ref="A265:D265"/>
    <mergeCell ref="A170:E171"/>
    <mergeCell ref="A172:D172"/>
    <mergeCell ref="A173:D173"/>
    <mergeCell ref="A200:E201"/>
    <mergeCell ref="A202:D202"/>
    <mergeCell ref="A203:D203"/>
    <mergeCell ref="A231:E232"/>
    <mergeCell ref="A233:D233"/>
    <mergeCell ref="A234:D234"/>
    <mergeCell ref="A262:E263"/>
    <mergeCell ref="A264:D264"/>
    <mergeCell ref="A371:D371"/>
    <mergeCell ref="A288:E289"/>
    <mergeCell ref="A290:D290"/>
    <mergeCell ref="A291:D291"/>
    <mergeCell ref="A314:E315"/>
    <mergeCell ref="A316:D316"/>
    <mergeCell ref="A317:D317"/>
    <mergeCell ref="A340:E341"/>
    <mergeCell ref="A342:D342"/>
    <mergeCell ref="A343:D343"/>
    <mergeCell ref="A368:E369"/>
    <mergeCell ref="A370:D370"/>
    <mergeCell ref="A479:D479"/>
    <mergeCell ref="A393:E394"/>
    <mergeCell ref="A395:D395"/>
    <mergeCell ref="A396:D396"/>
    <mergeCell ref="A420:E421"/>
    <mergeCell ref="A422:D422"/>
    <mergeCell ref="A423:D423"/>
    <mergeCell ref="A448:E449"/>
    <mergeCell ref="A450:D450"/>
    <mergeCell ref="A451:D451"/>
    <mergeCell ref="A476:E477"/>
    <mergeCell ref="A478:D478"/>
    <mergeCell ref="A641:D641"/>
    <mergeCell ref="A587:D587"/>
    <mergeCell ref="A502:E503"/>
    <mergeCell ref="A504:D504"/>
    <mergeCell ref="A505:D505"/>
    <mergeCell ref="A530:E531"/>
    <mergeCell ref="A532:D532"/>
    <mergeCell ref="A533:D533"/>
    <mergeCell ref="A557:E558"/>
    <mergeCell ref="A559:D559"/>
    <mergeCell ref="A560:D560"/>
    <mergeCell ref="A584:E585"/>
    <mergeCell ref="A586:D586"/>
    <mergeCell ref="A610:E611"/>
    <mergeCell ref="A612:D612"/>
    <mergeCell ref="A613:D613"/>
    <mergeCell ref="A638:E639"/>
    <mergeCell ref="A640:D640"/>
  </mergeCells>
  <pageMargins left="0.31496062992125984" right="0.31496062992125984" top="0.35433070866141736" bottom="0.35433070866141736" header="0.31496062992125984" footer="0.31496062992125984"/>
  <pageSetup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showGridLines="0" zoomScale="115" zoomScaleNormal="115" zoomScaleSheetLayoutView="100" workbookViewId="0">
      <selection activeCell="O9" sqref="O9"/>
    </sheetView>
  </sheetViews>
  <sheetFormatPr baseColWidth="10" defaultRowHeight="12.75" x14ac:dyDescent="0.25"/>
  <cols>
    <col min="1" max="1" width="7.5703125" style="24" customWidth="1"/>
    <col min="2" max="2" width="7.5703125" style="25" customWidth="1"/>
    <col min="3" max="3" width="7.5703125" style="26" customWidth="1"/>
    <col min="4" max="4" width="50.42578125" style="27" customWidth="1"/>
    <col min="5" max="5" width="10.5703125" style="25" customWidth="1"/>
    <col min="6" max="6" width="13.42578125" style="25" customWidth="1"/>
    <col min="7" max="216" width="11.42578125" style="28"/>
    <col min="217" max="217" width="5.28515625" style="28" customWidth="1"/>
    <col min="218" max="218" width="33.140625" style="28" customWidth="1"/>
    <col min="219" max="220" width="4" style="28" bestFit="1" customWidth="1"/>
    <col min="221" max="221" width="4.28515625" style="28" bestFit="1" customWidth="1"/>
    <col min="222" max="222" width="4.140625" style="28" bestFit="1" customWidth="1"/>
    <col min="223" max="223" width="4.42578125" style="28" bestFit="1" customWidth="1"/>
    <col min="224" max="225" width="4" style="28" bestFit="1" customWidth="1"/>
    <col min="226" max="226" width="4.42578125" style="28" bestFit="1" customWidth="1"/>
    <col min="227" max="228" width="4" style="28" bestFit="1" customWidth="1"/>
    <col min="229" max="229" width="4.28515625" style="28" bestFit="1" customWidth="1"/>
    <col min="230" max="230" width="4.140625" style="28" customWidth="1"/>
    <col min="231" max="231" width="14.42578125" style="28" customWidth="1"/>
    <col min="232" max="472" width="11.42578125" style="28"/>
    <col min="473" max="473" width="5.28515625" style="28" customWidth="1"/>
    <col min="474" max="474" width="33.140625" style="28" customWidth="1"/>
    <col min="475" max="476" width="4" style="28" bestFit="1" customWidth="1"/>
    <col min="477" max="477" width="4.28515625" style="28" bestFit="1" customWidth="1"/>
    <col min="478" max="478" width="4.140625" style="28" bestFit="1" customWidth="1"/>
    <col min="479" max="479" width="4.42578125" style="28" bestFit="1" customWidth="1"/>
    <col min="480" max="481" width="4" style="28" bestFit="1" customWidth="1"/>
    <col min="482" max="482" width="4.42578125" style="28" bestFit="1" customWidth="1"/>
    <col min="483" max="484" width="4" style="28" bestFit="1" customWidth="1"/>
    <col min="485" max="485" width="4.28515625" style="28" bestFit="1" customWidth="1"/>
    <col min="486" max="486" width="4.140625" style="28" customWidth="1"/>
    <col min="487" max="487" width="14.42578125" style="28" customWidth="1"/>
    <col min="488" max="728" width="11.42578125" style="28"/>
    <col min="729" max="729" width="5.28515625" style="28" customWidth="1"/>
    <col min="730" max="730" width="33.140625" style="28" customWidth="1"/>
    <col min="731" max="732" width="4" style="28" bestFit="1" customWidth="1"/>
    <col min="733" max="733" width="4.28515625" style="28" bestFit="1" customWidth="1"/>
    <col min="734" max="734" width="4.140625" style="28" bestFit="1" customWidth="1"/>
    <col min="735" max="735" width="4.42578125" style="28" bestFit="1" customWidth="1"/>
    <col min="736" max="737" width="4" style="28" bestFit="1" customWidth="1"/>
    <col min="738" max="738" width="4.42578125" style="28" bestFit="1" customWidth="1"/>
    <col min="739" max="740" width="4" style="28" bestFit="1" customWidth="1"/>
    <col min="741" max="741" width="4.28515625" style="28" bestFit="1" customWidth="1"/>
    <col min="742" max="742" width="4.140625" style="28" customWidth="1"/>
    <col min="743" max="743" width="14.42578125" style="28" customWidth="1"/>
    <col min="744" max="984" width="11.42578125" style="28"/>
    <col min="985" max="985" width="5.28515625" style="28" customWidth="1"/>
    <col min="986" max="986" width="33.140625" style="28" customWidth="1"/>
    <col min="987" max="988" width="4" style="28" bestFit="1" customWidth="1"/>
    <col min="989" max="989" width="4.28515625" style="28" bestFit="1" customWidth="1"/>
    <col min="990" max="990" width="4.140625" style="28" bestFit="1" customWidth="1"/>
    <col min="991" max="991" width="4.42578125" style="28" bestFit="1" customWidth="1"/>
    <col min="992" max="993" width="4" style="28" bestFit="1" customWidth="1"/>
    <col min="994" max="994" width="4.42578125" style="28" bestFit="1" customWidth="1"/>
    <col min="995" max="996" width="4" style="28" bestFit="1" customWidth="1"/>
    <col min="997" max="997" width="4.28515625" style="28" bestFit="1" customWidth="1"/>
    <col min="998" max="998" width="4.140625" style="28" customWidth="1"/>
    <col min="999" max="999" width="14.42578125" style="28" customWidth="1"/>
    <col min="1000" max="1240" width="11.42578125" style="28"/>
    <col min="1241" max="1241" width="5.28515625" style="28" customWidth="1"/>
    <col min="1242" max="1242" width="33.140625" style="28" customWidth="1"/>
    <col min="1243" max="1244" width="4" style="28" bestFit="1" customWidth="1"/>
    <col min="1245" max="1245" width="4.28515625" style="28" bestFit="1" customWidth="1"/>
    <col min="1246" max="1246" width="4.140625" style="28" bestFit="1" customWidth="1"/>
    <col min="1247" max="1247" width="4.42578125" style="28" bestFit="1" customWidth="1"/>
    <col min="1248" max="1249" width="4" style="28" bestFit="1" customWidth="1"/>
    <col min="1250" max="1250" width="4.42578125" style="28" bestFit="1" customWidth="1"/>
    <col min="1251" max="1252" width="4" style="28" bestFit="1" customWidth="1"/>
    <col min="1253" max="1253" width="4.28515625" style="28" bestFit="1" customWidth="1"/>
    <col min="1254" max="1254" width="4.140625" style="28" customWidth="1"/>
    <col min="1255" max="1255" width="14.42578125" style="28" customWidth="1"/>
    <col min="1256" max="1496" width="11.42578125" style="28"/>
    <col min="1497" max="1497" width="5.28515625" style="28" customWidth="1"/>
    <col min="1498" max="1498" width="33.140625" style="28" customWidth="1"/>
    <col min="1499" max="1500" width="4" style="28" bestFit="1" customWidth="1"/>
    <col min="1501" max="1501" width="4.28515625" style="28" bestFit="1" customWidth="1"/>
    <col min="1502" max="1502" width="4.140625" style="28" bestFit="1" customWidth="1"/>
    <col min="1503" max="1503" width="4.42578125" style="28" bestFit="1" customWidth="1"/>
    <col min="1504" max="1505" width="4" style="28" bestFit="1" customWidth="1"/>
    <col min="1506" max="1506" width="4.42578125" style="28" bestFit="1" customWidth="1"/>
    <col min="1507" max="1508" width="4" style="28" bestFit="1" customWidth="1"/>
    <col min="1509" max="1509" width="4.28515625" style="28" bestFit="1" customWidth="1"/>
    <col min="1510" max="1510" width="4.140625" style="28" customWidth="1"/>
    <col min="1511" max="1511" width="14.42578125" style="28" customWidth="1"/>
    <col min="1512" max="1752" width="11.42578125" style="28"/>
    <col min="1753" max="1753" width="5.28515625" style="28" customWidth="1"/>
    <col min="1754" max="1754" width="33.140625" style="28" customWidth="1"/>
    <col min="1755" max="1756" width="4" style="28" bestFit="1" customWidth="1"/>
    <col min="1757" max="1757" width="4.28515625" style="28" bestFit="1" customWidth="1"/>
    <col min="1758" max="1758" width="4.140625" style="28" bestFit="1" customWidth="1"/>
    <col min="1759" max="1759" width="4.42578125" style="28" bestFit="1" customWidth="1"/>
    <col min="1760" max="1761" width="4" style="28" bestFit="1" customWidth="1"/>
    <col min="1762" max="1762" width="4.42578125" style="28" bestFit="1" customWidth="1"/>
    <col min="1763" max="1764" width="4" style="28" bestFit="1" customWidth="1"/>
    <col min="1765" max="1765" width="4.28515625" style="28" bestFit="1" customWidth="1"/>
    <col min="1766" max="1766" width="4.140625" style="28" customWidth="1"/>
    <col min="1767" max="1767" width="14.42578125" style="28" customWidth="1"/>
    <col min="1768" max="2008" width="11.42578125" style="28"/>
    <col min="2009" max="2009" width="5.28515625" style="28" customWidth="1"/>
    <col min="2010" max="2010" width="33.140625" style="28" customWidth="1"/>
    <col min="2011" max="2012" width="4" style="28" bestFit="1" customWidth="1"/>
    <col min="2013" max="2013" width="4.28515625" style="28" bestFit="1" customWidth="1"/>
    <col min="2014" max="2014" width="4.140625" style="28" bestFit="1" customWidth="1"/>
    <col min="2015" max="2015" width="4.42578125" style="28" bestFit="1" customWidth="1"/>
    <col min="2016" max="2017" width="4" style="28" bestFit="1" customWidth="1"/>
    <col min="2018" max="2018" width="4.42578125" style="28" bestFit="1" customWidth="1"/>
    <col min="2019" max="2020" width="4" style="28" bestFit="1" customWidth="1"/>
    <col min="2021" max="2021" width="4.28515625" style="28" bestFit="1" customWidth="1"/>
    <col min="2022" max="2022" width="4.140625" style="28" customWidth="1"/>
    <col min="2023" max="2023" width="14.42578125" style="28" customWidth="1"/>
    <col min="2024" max="2264" width="11.42578125" style="28"/>
    <col min="2265" max="2265" width="5.28515625" style="28" customWidth="1"/>
    <col min="2266" max="2266" width="33.140625" style="28" customWidth="1"/>
    <col min="2267" max="2268" width="4" style="28" bestFit="1" customWidth="1"/>
    <col min="2269" max="2269" width="4.28515625" style="28" bestFit="1" customWidth="1"/>
    <col min="2270" max="2270" width="4.140625" style="28" bestFit="1" customWidth="1"/>
    <col min="2271" max="2271" width="4.42578125" style="28" bestFit="1" customWidth="1"/>
    <col min="2272" max="2273" width="4" style="28" bestFit="1" customWidth="1"/>
    <col min="2274" max="2274" width="4.42578125" style="28" bestFit="1" customWidth="1"/>
    <col min="2275" max="2276" width="4" style="28" bestFit="1" customWidth="1"/>
    <col min="2277" max="2277" width="4.28515625" style="28" bestFit="1" customWidth="1"/>
    <col min="2278" max="2278" width="4.140625" style="28" customWidth="1"/>
    <col min="2279" max="2279" width="14.42578125" style="28" customWidth="1"/>
    <col min="2280" max="2520" width="11.42578125" style="28"/>
    <col min="2521" max="2521" width="5.28515625" style="28" customWidth="1"/>
    <col min="2522" max="2522" width="33.140625" style="28" customWidth="1"/>
    <col min="2523" max="2524" width="4" style="28" bestFit="1" customWidth="1"/>
    <col min="2525" max="2525" width="4.28515625" style="28" bestFit="1" customWidth="1"/>
    <col min="2526" max="2526" width="4.140625" style="28" bestFit="1" customWidth="1"/>
    <col min="2527" max="2527" width="4.42578125" style="28" bestFit="1" customWidth="1"/>
    <col min="2528" max="2529" width="4" style="28" bestFit="1" customWidth="1"/>
    <col min="2530" max="2530" width="4.42578125" style="28" bestFit="1" customWidth="1"/>
    <col min="2531" max="2532" width="4" style="28" bestFit="1" customWidth="1"/>
    <col min="2533" max="2533" width="4.28515625" style="28" bestFit="1" customWidth="1"/>
    <col min="2534" max="2534" width="4.140625" style="28" customWidth="1"/>
    <col min="2535" max="2535" width="14.42578125" style="28" customWidth="1"/>
    <col min="2536" max="2776" width="11.42578125" style="28"/>
    <col min="2777" max="2777" width="5.28515625" style="28" customWidth="1"/>
    <col min="2778" max="2778" width="33.140625" style="28" customWidth="1"/>
    <col min="2779" max="2780" width="4" style="28" bestFit="1" customWidth="1"/>
    <col min="2781" max="2781" width="4.28515625" style="28" bestFit="1" customWidth="1"/>
    <col min="2782" max="2782" width="4.140625" style="28" bestFit="1" customWidth="1"/>
    <col min="2783" max="2783" width="4.42578125" style="28" bestFit="1" customWidth="1"/>
    <col min="2784" max="2785" width="4" style="28" bestFit="1" customWidth="1"/>
    <col min="2786" max="2786" width="4.42578125" style="28" bestFit="1" customWidth="1"/>
    <col min="2787" max="2788" width="4" style="28" bestFit="1" customWidth="1"/>
    <col min="2789" max="2789" width="4.28515625" style="28" bestFit="1" customWidth="1"/>
    <col min="2790" max="2790" width="4.140625" style="28" customWidth="1"/>
    <col min="2791" max="2791" width="14.42578125" style="28" customWidth="1"/>
    <col min="2792" max="3032" width="11.42578125" style="28"/>
    <col min="3033" max="3033" width="5.28515625" style="28" customWidth="1"/>
    <col min="3034" max="3034" width="33.140625" style="28" customWidth="1"/>
    <col min="3035" max="3036" width="4" style="28" bestFit="1" customWidth="1"/>
    <col min="3037" max="3037" width="4.28515625" style="28" bestFit="1" customWidth="1"/>
    <col min="3038" max="3038" width="4.140625" style="28" bestFit="1" customWidth="1"/>
    <col min="3039" max="3039" width="4.42578125" style="28" bestFit="1" customWidth="1"/>
    <col min="3040" max="3041" width="4" style="28" bestFit="1" customWidth="1"/>
    <col min="3042" max="3042" width="4.42578125" style="28" bestFit="1" customWidth="1"/>
    <col min="3043" max="3044" width="4" style="28" bestFit="1" customWidth="1"/>
    <col min="3045" max="3045" width="4.28515625" style="28" bestFit="1" customWidth="1"/>
    <col min="3046" max="3046" width="4.140625" style="28" customWidth="1"/>
    <col min="3047" max="3047" width="14.42578125" style="28" customWidth="1"/>
    <col min="3048" max="3288" width="11.42578125" style="28"/>
    <col min="3289" max="3289" width="5.28515625" style="28" customWidth="1"/>
    <col min="3290" max="3290" width="33.140625" style="28" customWidth="1"/>
    <col min="3291" max="3292" width="4" style="28" bestFit="1" customWidth="1"/>
    <col min="3293" max="3293" width="4.28515625" style="28" bestFit="1" customWidth="1"/>
    <col min="3294" max="3294" width="4.140625" style="28" bestFit="1" customWidth="1"/>
    <col min="3295" max="3295" width="4.42578125" style="28" bestFit="1" customWidth="1"/>
    <col min="3296" max="3297" width="4" style="28" bestFit="1" customWidth="1"/>
    <col min="3298" max="3298" width="4.42578125" style="28" bestFit="1" customWidth="1"/>
    <col min="3299" max="3300" width="4" style="28" bestFit="1" customWidth="1"/>
    <col min="3301" max="3301" width="4.28515625" style="28" bestFit="1" customWidth="1"/>
    <col min="3302" max="3302" width="4.140625" style="28" customWidth="1"/>
    <col min="3303" max="3303" width="14.42578125" style="28" customWidth="1"/>
    <col min="3304" max="3544" width="11.42578125" style="28"/>
    <col min="3545" max="3545" width="5.28515625" style="28" customWidth="1"/>
    <col min="3546" max="3546" width="33.140625" style="28" customWidth="1"/>
    <col min="3547" max="3548" width="4" style="28" bestFit="1" customWidth="1"/>
    <col min="3549" max="3549" width="4.28515625" style="28" bestFit="1" customWidth="1"/>
    <col min="3550" max="3550" width="4.140625" style="28" bestFit="1" customWidth="1"/>
    <col min="3551" max="3551" width="4.42578125" style="28" bestFit="1" customWidth="1"/>
    <col min="3552" max="3553" width="4" style="28" bestFit="1" customWidth="1"/>
    <col min="3554" max="3554" width="4.42578125" style="28" bestFit="1" customWidth="1"/>
    <col min="3555" max="3556" width="4" style="28" bestFit="1" customWidth="1"/>
    <col min="3557" max="3557" width="4.28515625" style="28" bestFit="1" customWidth="1"/>
    <col min="3558" max="3558" width="4.140625" style="28" customWidth="1"/>
    <col min="3559" max="3559" width="14.42578125" style="28" customWidth="1"/>
    <col min="3560" max="3800" width="11.42578125" style="28"/>
    <col min="3801" max="3801" width="5.28515625" style="28" customWidth="1"/>
    <col min="3802" max="3802" width="33.140625" style="28" customWidth="1"/>
    <col min="3803" max="3804" width="4" style="28" bestFit="1" customWidth="1"/>
    <col min="3805" max="3805" width="4.28515625" style="28" bestFit="1" customWidth="1"/>
    <col min="3806" max="3806" width="4.140625" style="28" bestFit="1" customWidth="1"/>
    <col min="3807" max="3807" width="4.42578125" style="28" bestFit="1" customWidth="1"/>
    <col min="3808" max="3809" width="4" style="28" bestFit="1" customWidth="1"/>
    <col min="3810" max="3810" width="4.42578125" style="28" bestFit="1" customWidth="1"/>
    <col min="3811" max="3812" width="4" style="28" bestFit="1" customWidth="1"/>
    <col min="3813" max="3813" width="4.28515625" style="28" bestFit="1" customWidth="1"/>
    <col min="3814" max="3814" width="4.140625" style="28" customWidth="1"/>
    <col min="3815" max="3815" width="14.42578125" style="28" customWidth="1"/>
    <col min="3816" max="4056" width="11.42578125" style="28"/>
    <col min="4057" max="4057" width="5.28515625" style="28" customWidth="1"/>
    <col min="4058" max="4058" width="33.140625" style="28" customWidth="1"/>
    <col min="4059" max="4060" width="4" style="28" bestFit="1" customWidth="1"/>
    <col min="4061" max="4061" width="4.28515625" style="28" bestFit="1" customWidth="1"/>
    <col min="4062" max="4062" width="4.140625" style="28" bestFit="1" customWidth="1"/>
    <col min="4063" max="4063" width="4.42578125" style="28" bestFit="1" customWidth="1"/>
    <col min="4064" max="4065" width="4" style="28" bestFit="1" customWidth="1"/>
    <col min="4066" max="4066" width="4.42578125" style="28" bestFit="1" customWidth="1"/>
    <col min="4067" max="4068" width="4" style="28" bestFit="1" customWidth="1"/>
    <col min="4069" max="4069" width="4.28515625" style="28" bestFit="1" customWidth="1"/>
    <col min="4070" max="4070" width="4.140625" style="28" customWidth="1"/>
    <col min="4071" max="4071" width="14.42578125" style="28" customWidth="1"/>
    <col min="4072" max="4312" width="11.42578125" style="28"/>
    <col min="4313" max="4313" width="5.28515625" style="28" customWidth="1"/>
    <col min="4314" max="4314" width="33.140625" style="28" customWidth="1"/>
    <col min="4315" max="4316" width="4" style="28" bestFit="1" customWidth="1"/>
    <col min="4317" max="4317" width="4.28515625" style="28" bestFit="1" customWidth="1"/>
    <col min="4318" max="4318" width="4.140625" style="28" bestFit="1" customWidth="1"/>
    <col min="4319" max="4319" width="4.42578125" style="28" bestFit="1" customWidth="1"/>
    <col min="4320" max="4321" width="4" style="28" bestFit="1" customWidth="1"/>
    <col min="4322" max="4322" width="4.42578125" style="28" bestFit="1" customWidth="1"/>
    <col min="4323" max="4324" width="4" style="28" bestFit="1" customWidth="1"/>
    <col min="4325" max="4325" width="4.28515625" style="28" bestFit="1" customWidth="1"/>
    <col min="4326" max="4326" width="4.140625" style="28" customWidth="1"/>
    <col min="4327" max="4327" width="14.42578125" style="28" customWidth="1"/>
    <col min="4328" max="4568" width="11.42578125" style="28"/>
    <col min="4569" max="4569" width="5.28515625" style="28" customWidth="1"/>
    <col min="4570" max="4570" width="33.140625" style="28" customWidth="1"/>
    <col min="4571" max="4572" width="4" style="28" bestFit="1" customWidth="1"/>
    <col min="4573" max="4573" width="4.28515625" style="28" bestFit="1" customWidth="1"/>
    <col min="4574" max="4574" width="4.140625" style="28" bestFit="1" customWidth="1"/>
    <col min="4575" max="4575" width="4.42578125" style="28" bestFit="1" customWidth="1"/>
    <col min="4576" max="4577" width="4" style="28" bestFit="1" customWidth="1"/>
    <col min="4578" max="4578" width="4.42578125" style="28" bestFit="1" customWidth="1"/>
    <col min="4579" max="4580" width="4" style="28" bestFit="1" customWidth="1"/>
    <col min="4581" max="4581" width="4.28515625" style="28" bestFit="1" customWidth="1"/>
    <col min="4582" max="4582" width="4.140625" style="28" customWidth="1"/>
    <col min="4583" max="4583" width="14.42578125" style="28" customWidth="1"/>
    <col min="4584" max="4824" width="11.42578125" style="28"/>
    <col min="4825" max="4825" width="5.28515625" style="28" customWidth="1"/>
    <col min="4826" max="4826" width="33.140625" style="28" customWidth="1"/>
    <col min="4827" max="4828" width="4" style="28" bestFit="1" customWidth="1"/>
    <col min="4829" max="4829" width="4.28515625" style="28" bestFit="1" customWidth="1"/>
    <col min="4830" max="4830" width="4.140625" style="28" bestFit="1" customWidth="1"/>
    <col min="4831" max="4831" width="4.42578125" style="28" bestFit="1" customWidth="1"/>
    <col min="4832" max="4833" width="4" style="28" bestFit="1" customWidth="1"/>
    <col min="4834" max="4834" width="4.42578125" style="28" bestFit="1" customWidth="1"/>
    <col min="4835" max="4836" width="4" style="28" bestFit="1" customWidth="1"/>
    <col min="4837" max="4837" width="4.28515625" style="28" bestFit="1" customWidth="1"/>
    <col min="4838" max="4838" width="4.140625" style="28" customWidth="1"/>
    <col min="4839" max="4839" width="14.42578125" style="28" customWidth="1"/>
    <col min="4840" max="5080" width="11.42578125" style="28"/>
    <col min="5081" max="5081" width="5.28515625" style="28" customWidth="1"/>
    <col min="5082" max="5082" width="33.140625" style="28" customWidth="1"/>
    <col min="5083" max="5084" width="4" style="28" bestFit="1" customWidth="1"/>
    <col min="5085" max="5085" width="4.28515625" style="28" bestFit="1" customWidth="1"/>
    <col min="5086" max="5086" width="4.140625" style="28" bestFit="1" customWidth="1"/>
    <col min="5087" max="5087" width="4.42578125" style="28" bestFit="1" customWidth="1"/>
    <col min="5088" max="5089" width="4" style="28" bestFit="1" customWidth="1"/>
    <col min="5090" max="5090" width="4.42578125" style="28" bestFit="1" customWidth="1"/>
    <col min="5091" max="5092" width="4" style="28" bestFit="1" customWidth="1"/>
    <col min="5093" max="5093" width="4.28515625" style="28" bestFit="1" customWidth="1"/>
    <col min="5094" max="5094" width="4.140625" style="28" customWidth="1"/>
    <col min="5095" max="5095" width="14.42578125" style="28" customWidth="1"/>
    <col min="5096" max="5336" width="11.42578125" style="28"/>
    <col min="5337" max="5337" width="5.28515625" style="28" customWidth="1"/>
    <col min="5338" max="5338" width="33.140625" style="28" customWidth="1"/>
    <col min="5339" max="5340" width="4" style="28" bestFit="1" customWidth="1"/>
    <col min="5341" max="5341" width="4.28515625" style="28" bestFit="1" customWidth="1"/>
    <col min="5342" max="5342" width="4.140625" style="28" bestFit="1" customWidth="1"/>
    <col min="5343" max="5343" width="4.42578125" style="28" bestFit="1" customWidth="1"/>
    <col min="5344" max="5345" width="4" style="28" bestFit="1" customWidth="1"/>
    <col min="5346" max="5346" width="4.42578125" style="28" bestFit="1" customWidth="1"/>
    <col min="5347" max="5348" width="4" style="28" bestFit="1" customWidth="1"/>
    <col min="5349" max="5349" width="4.28515625" style="28" bestFit="1" customWidth="1"/>
    <col min="5350" max="5350" width="4.140625" style="28" customWidth="1"/>
    <col min="5351" max="5351" width="14.42578125" style="28" customWidth="1"/>
    <col min="5352" max="5592" width="11.42578125" style="28"/>
    <col min="5593" max="5593" width="5.28515625" style="28" customWidth="1"/>
    <col min="5594" max="5594" width="33.140625" style="28" customWidth="1"/>
    <col min="5595" max="5596" width="4" style="28" bestFit="1" customWidth="1"/>
    <col min="5597" max="5597" width="4.28515625" style="28" bestFit="1" customWidth="1"/>
    <col min="5598" max="5598" width="4.140625" style="28" bestFit="1" customWidth="1"/>
    <col min="5599" max="5599" width="4.42578125" style="28" bestFit="1" customWidth="1"/>
    <col min="5600" max="5601" width="4" style="28" bestFit="1" customWidth="1"/>
    <col min="5602" max="5602" width="4.42578125" style="28" bestFit="1" customWidth="1"/>
    <col min="5603" max="5604" width="4" style="28" bestFit="1" customWidth="1"/>
    <col min="5605" max="5605" width="4.28515625" style="28" bestFit="1" customWidth="1"/>
    <col min="5606" max="5606" width="4.140625" style="28" customWidth="1"/>
    <col min="5607" max="5607" width="14.42578125" style="28" customWidth="1"/>
    <col min="5608" max="5848" width="11.42578125" style="28"/>
    <col min="5849" max="5849" width="5.28515625" style="28" customWidth="1"/>
    <col min="5850" max="5850" width="33.140625" style="28" customWidth="1"/>
    <col min="5851" max="5852" width="4" style="28" bestFit="1" customWidth="1"/>
    <col min="5853" max="5853" width="4.28515625" style="28" bestFit="1" customWidth="1"/>
    <col min="5854" max="5854" width="4.140625" style="28" bestFit="1" customWidth="1"/>
    <col min="5855" max="5855" width="4.42578125" style="28" bestFit="1" customWidth="1"/>
    <col min="5856" max="5857" width="4" style="28" bestFit="1" customWidth="1"/>
    <col min="5858" max="5858" width="4.42578125" style="28" bestFit="1" customWidth="1"/>
    <col min="5859" max="5860" width="4" style="28" bestFit="1" customWidth="1"/>
    <col min="5861" max="5861" width="4.28515625" style="28" bestFit="1" customWidth="1"/>
    <col min="5862" max="5862" width="4.140625" style="28" customWidth="1"/>
    <col min="5863" max="5863" width="14.42578125" style="28" customWidth="1"/>
    <col min="5864" max="6104" width="11.42578125" style="28"/>
    <col min="6105" max="6105" width="5.28515625" style="28" customWidth="1"/>
    <col min="6106" max="6106" width="33.140625" style="28" customWidth="1"/>
    <col min="6107" max="6108" width="4" style="28" bestFit="1" customWidth="1"/>
    <col min="6109" max="6109" width="4.28515625" style="28" bestFit="1" customWidth="1"/>
    <col min="6110" max="6110" width="4.140625" style="28" bestFit="1" customWidth="1"/>
    <col min="6111" max="6111" width="4.42578125" style="28" bestFit="1" customWidth="1"/>
    <col min="6112" max="6113" width="4" style="28" bestFit="1" customWidth="1"/>
    <col min="6114" max="6114" width="4.42578125" style="28" bestFit="1" customWidth="1"/>
    <col min="6115" max="6116" width="4" style="28" bestFit="1" customWidth="1"/>
    <col min="6117" max="6117" width="4.28515625" style="28" bestFit="1" customWidth="1"/>
    <col min="6118" max="6118" width="4.140625" style="28" customWidth="1"/>
    <col min="6119" max="6119" width="14.42578125" style="28" customWidth="1"/>
    <col min="6120" max="6360" width="11.42578125" style="28"/>
    <col min="6361" max="6361" width="5.28515625" style="28" customWidth="1"/>
    <col min="6362" max="6362" width="33.140625" style="28" customWidth="1"/>
    <col min="6363" max="6364" width="4" style="28" bestFit="1" customWidth="1"/>
    <col min="6365" max="6365" width="4.28515625" style="28" bestFit="1" customWidth="1"/>
    <col min="6366" max="6366" width="4.140625" style="28" bestFit="1" customWidth="1"/>
    <col min="6367" max="6367" width="4.42578125" style="28" bestFit="1" customWidth="1"/>
    <col min="6368" max="6369" width="4" style="28" bestFit="1" customWidth="1"/>
    <col min="6370" max="6370" width="4.42578125" style="28" bestFit="1" customWidth="1"/>
    <col min="6371" max="6372" width="4" style="28" bestFit="1" customWidth="1"/>
    <col min="6373" max="6373" width="4.28515625" style="28" bestFit="1" customWidth="1"/>
    <col min="6374" max="6374" width="4.140625" style="28" customWidth="1"/>
    <col min="6375" max="6375" width="14.42578125" style="28" customWidth="1"/>
    <col min="6376" max="6616" width="11.42578125" style="28"/>
    <col min="6617" max="6617" width="5.28515625" style="28" customWidth="1"/>
    <col min="6618" max="6618" width="33.140625" style="28" customWidth="1"/>
    <col min="6619" max="6620" width="4" style="28" bestFit="1" customWidth="1"/>
    <col min="6621" max="6621" width="4.28515625" style="28" bestFit="1" customWidth="1"/>
    <col min="6622" max="6622" width="4.140625" style="28" bestFit="1" customWidth="1"/>
    <col min="6623" max="6623" width="4.42578125" style="28" bestFit="1" customWidth="1"/>
    <col min="6624" max="6625" width="4" style="28" bestFit="1" customWidth="1"/>
    <col min="6626" max="6626" width="4.42578125" style="28" bestFit="1" customWidth="1"/>
    <col min="6627" max="6628" width="4" style="28" bestFit="1" customWidth="1"/>
    <col min="6629" max="6629" width="4.28515625" style="28" bestFit="1" customWidth="1"/>
    <col min="6630" max="6630" width="4.140625" style="28" customWidth="1"/>
    <col min="6631" max="6631" width="14.42578125" style="28" customWidth="1"/>
    <col min="6632" max="6872" width="11.42578125" style="28"/>
    <col min="6873" max="6873" width="5.28515625" style="28" customWidth="1"/>
    <col min="6874" max="6874" width="33.140625" style="28" customWidth="1"/>
    <col min="6875" max="6876" width="4" style="28" bestFit="1" customWidth="1"/>
    <col min="6877" max="6877" width="4.28515625" style="28" bestFit="1" customWidth="1"/>
    <col min="6878" max="6878" width="4.140625" style="28" bestFit="1" customWidth="1"/>
    <col min="6879" max="6879" width="4.42578125" style="28" bestFit="1" customWidth="1"/>
    <col min="6880" max="6881" width="4" style="28" bestFit="1" customWidth="1"/>
    <col min="6882" max="6882" width="4.42578125" style="28" bestFit="1" customWidth="1"/>
    <col min="6883" max="6884" width="4" style="28" bestFit="1" customWidth="1"/>
    <col min="6885" max="6885" width="4.28515625" style="28" bestFit="1" customWidth="1"/>
    <col min="6886" max="6886" width="4.140625" style="28" customWidth="1"/>
    <col min="6887" max="6887" width="14.42578125" style="28" customWidth="1"/>
    <col min="6888" max="7128" width="11.42578125" style="28"/>
    <col min="7129" max="7129" width="5.28515625" style="28" customWidth="1"/>
    <col min="7130" max="7130" width="33.140625" style="28" customWidth="1"/>
    <col min="7131" max="7132" width="4" style="28" bestFit="1" customWidth="1"/>
    <col min="7133" max="7133" width="4.28515625" style="28" bestFit="1" customWidth="1"/>
    <col min="7134" max="7134" width="4.140625" style="28" bestFit="1" customWidth="1"/>
    <col min="7135" max="7135" width="4.42578125" style="28" bestFit="1" customWidth="1"/>
    <col min="7136" max="7137" width="4" style="28" bestFit="1" customWidth="1"/>
    <col min="7138" max="7138" width="4.42578125" style="28" bestFit="1" customWidth="1"/>
    <col min="7139" max="7140" width="4" style="28" bestFit="1" customWidth="1"/>
    <col min="7141" max="7141" width="4.28515625" style="28" bestFit="1" customWidth="1"/>
    <col min="7142" max="7142" width="4.140625" style="28" customWidth="1"/>
    <col min="7143" max="7143" width="14.42578125" style="28" customWidth="1"/>
    <col min="7144" max="7384" width="11.42578125" style="28"/>
    <col min="7385" max="7385" width="5.28515625" style="28" customWidth="1"/>
    <col min="7386" max="7386" width="33.140625" style="28" customWidth="1"/>
    <col min="7387" max="7388" width="4" style="28" bestFit="1" customWidth="1"/>
    <col min="7389" max="7389" width="4.28515625" style="28" bestFit="1" customWidth="1"/>
    <col min="7390" max="7390" width="4.140625" style="28" bestFit="1" customWidth="1"/>
    <col min="7391" max="7391" width="4.42578125" style="28" bestFit="1" customWidth="1"/>
    <col min="7392" max="7393" width="4" style="28" bestFit="1" customWidth="1"/>
    <col min="7394" max="7394" width="4.42578125" style="28" bestFit="1" customWidth="1"/>
    <col min="7395" max="7396" width="4" style="28" bestFit="1" customWidth="1"/>
    <col min="7397" max="7397" width="4.28515625" style="28" bestFit="1" customWidth="1"/>
    <col min="7398" max="7398" width="4.140625" style="28" customWidth="1"/>
    <col min="7399" max="7399" width="14.42578125" style="28" customWidth="1"/>
    <col min="7400" max="7640" width="11.42578125" style="28"/>
    <col min="7641" max="7641" width="5.28515625" style="28" customWidth="1"/>
    <col min="7642" max="7642" width="33.140625" style="28" customWidth="1"/>
    <col min="7643" max="7644" width="4" style="28" bestFit="1" customWidth="1"/>
    <col min="7645" max="7645" width="4.28515625" style="28" bestFit="1" customWidth="1"/>
    <col min="7646" max="7646" width="4.140625" style="28" bestFit="1" customWidth="1"/>
    <col min="7647" max="7647" width="4.42578125" style="28" bestFit="1" customWidth="1"/>
    <col min="7648" max="7649" width="4" style="28" bestFit="1" customWidth="1"/>
    <col min="7650" max="7650" width="4.42578125" style="28" bestFit="1" customWidth="1"/>
    <col min="7651" max="7652" width="4" style="28" bestFit="1" customWidth="1"/>
    <col min="7653" max="7653" width="4.28515625" style="28" bestFit="1" customWidth="1"/>
    <col min="7654" max="7654" width="4.140625" style="28" customWidth="1"/>
    <col min="7655" max="7655" width="14.42578125" style="28" customWidth="1"/>
    <col min="7656" max="7896" width="11.42578125" style="28"/>
    <col min="7897" max="7897" width="5.28515625" style="28" customWidth="1"/>
    <col min="7898" max="7898" width="33.140625" style="28" customWidth="1"/>
    <col min="7899" max="7900" width="4" style="28" bestFit="1" customWidth="1"/>
    <col min="7901" max="7901" width="4.28515625" style="28" bestFit="1" customWidth="1"/>
    <col min="7902" max="7902" width="4.140625" style="28" bestFit="1" customWidth="1"/>
    <col min="7903" max="7903" width="4.42578125" style="28" bestFit="1" customWidth="1"/>
    <col min="7904" max="7905" width="4" style="28" bestFit="1" customWidth="1"/>
    <col min="7906" max="7906" width="4.42578125" style="28" bestFit="1" customWidth="1"/>
    <col min="7907" max="7908" width="4" style="28" bestFit="1" customWidth="1"/>
    <col min="7909" max="7909" width="4.28515625" style="28" bestFit="1" customWidth="1"/>
    <col min="7910" max="7910" width="4.140625" style="28" customWidth="1"/>
    <col min="7911" max="7911" width="14.42578125" style="28" customWidth="1"/>
    <col min="7912" max="8152" width="11.42578125" style="28"/>
    <col min="8153" max="8153" width="5.28515625" style="28" customWidth="1"/>
    <col min="8154" max="8154" width="33.140625" style="28" customWidth="1"/>
    <col min="8155" max="8156" width="4" style="28" bestFit="1" customWidth="1"/>
    <col min="8157" max="8157" width="4.28515625" style="28" bestFit="1" customWidth="1"/>
    <col min="8158" max="8158" width="4.140625" style="28" bestFit="1" customWidth="1"/>
    <col min="8159" max="8159" width="4.42578125" style="28" bestFit="1" customWidth="1"/>
    <col min="8160" max="8161" width="4" style="28" bestFit="1" customWidth="1"/>
    <col min="8162" max="8162" width="4.42578125" style="28" bestFit="1" customWidth="1"/>
    <col min="8163" max="8164" width="4" style="28" bestFit="1" customWidth="1"/>
    <col min="8165" max="8165" width="4.28515625" style="28" bestFit="1" customWidth="1"/>
    <col min="8166" max="8166" width="4.140625" style="28" customWidth="1"/>
    <col min="8167" max="8167" width="14.42578125" style="28" customWidth="1"/>
    <col min="8168" max="8408" width="11.42578125" style="28"/>
    <col min="8409" max="8409" width="5.28515625" style="28" customWidth="1"/>
    <col min="8410" max="8410" width="33.140625" style="28" customWidth="1"/>
    <col min="8411" max="8412" width="4" style="28" bestFit="1" customWidth="1"/>
    <col min="8413" max="8413" width="4.28515625" style="28" bestFit="1" customWidth="1"/>
    <col min="8414" max="8414" width="4.140625" style="28" bestFit="1" customWidth="1"/>
    <col min="8415" max="8415" width="4.42578125" style="28" bestFit="1" customWidth="1"/>
    <col min="8416" max="8417" width="4" style="28" bestFit="1" customWidth="1"/>
    <col min="8418" max="8418" width="4.42578125" style="28" bestFit="1" customWidth="1"/>
    <col min="8419" max="8420" width="4" style="28" bestFit="1" customWidth="1"/>
    <col min="8421" max="8421" width="4.28515625" style="28" bestFit="1" customWidth="1"/>
    <col min="8422" max="8422" width="4.140625" style="28" customWidth="1"/>
    <col min="8423" max="8423" width="14.42578125" style="28" customWidth="1"/>
    <col min="8424" max="8664" width="11.42578125" style="28"/>
    <col min="8665" max="8665" width="5.28515625" style="28" customWidth="1"/>
    <col min="8666" max="8666" width="33.140625" style="28" customWidth="1"/>
    <col min="8667" max="8668" width="4" style="28" bestFit="1" customWidth="1"/>
    <col min="8669" max="8669" width="4.28515625" style="28" bestFit="1" customWidth="1"/>
    <col min="8670" max="8670" width="4.140625" style="28" bestFit="1" customWidth="1"/>
    <col min="8671" max="8671" width="4.42578125" style="28" bestFit="1" customWidth="1"/>
    <col min="8672" max="8673" width="4" style="28" bestFit="1" customWidth="1"/>
    <col min="8674" max="8674" width="4.42578125" style="28" bestFit="1" customWidth="1"/>
    <col min="8675" max="8676" width="4" style="28" bestFit="1" customWidth="1"/>
    <col min="8677" max="8677" width="4.28515625" style="28" bestFit="1" customWidth="1"/>
    <col min="8678" max="8678" width="4.140625" style="28" customWidth="1"/>
    <col min="8679" max="8679" width="14.42578125" style="28" customWidth="1"/>
    <col min="8680" max="8920" width="11.42578125" style="28"/>
    <col min="8921" max="8921" width="5.28515625" style="28" customWidth="1"/>
    <col min="8922" max="8922" width="33.140625" style="28" customWidth="1"/>
    <col min="8923" max="8924" width="4" style="28" bestFit="1" customWidth="1"/>
    <col min="8925" max="8925" width="4.28515625" style="28" bestFit="1" customWidth="1"/>
    <col min="8926" max="8926" width="4.140625" style="28" bestFit="1" customWidth="1"/>
    <col min="8927" max="8927" width="4.42578125" style="28" bestFit="1" customWidth="1"/>
    <col min="8928" max="8929" width="4" style="28" bestFit="1" customWidth="1"/>
    <col min="8930" max="8930" width="4.42578125" style="28" bestFit="1" customWidth="1"/>
    <col min="8931" max="8932" width="4" style="28" bestFit="1" customWidth="1"/>
    <col min="8933" max="8933" width="4.28515625" style="28" bestFit="1" customWidth="1"/>
    <col min="8934" max="8934" width="4.140625" style="28" customWidth="1"/>
    <col min="8935" max="8935" width="14.42578125" style="28" customWidth="1"/>
    <col min="8936" max="9176" width="11.42578125" style="28"/>
    <col min="9177" max="9177" width="5.28515625" style="28" customWidth="1"/>
    <col min="9178" max="9178" width="33.140625" style="28" customWidth="1"/>
    <col min="9179" max="9180" width="4" style="28" bestFit="1" customWidth="1"/>
    <col min="9181" max="9181" width="4.28515625" style="28" bestFit="1" customWidth="1"/>
    <col min="9182" max="9182" width="4.140625" style="28" bestFit="1" customWidth="1"/>
    <col min="9183" max="9183" width="4.42578125" style="28" bestFit="1" customWidth="1"/>
    <col min="9184" max="9185" width="4" style="28" bestFit="1" customWidth="1"/>
    <col min="9186" max="9186" width="4.42578125" style="28" bestFit="1" customWidth="1"/>
    <col min="9187" max="9188" width="4" style="28" bestFit="1" customWidth="1"/>
    <col min="9189" max="9189" width="4.28515625" style="28" bestFit="1" customWidth="1"/>
    <col min="9190" max="9190" width="4.140625" style="28" customWidth="1"/>
    <col min="9191" max="9191" width="14.42578125" style="28" customWidth="1"/>
    <col min="9192" max="9432" width="11.42578125" style="28"/>
    <col min="9433" max="9433" width="5.28515625" style="28" customWidth="1"/>
    <col min="9434" max="9434" width="33.140625" style="28" customWidth="1"/>
    <col min="9435" max="9436" width="4" style="28" bestFit="1" customWidth="1"/>
    <col min="9437" max="9437" width="4.28515625" style="28" bestFit="1" customWidth="1"/>
    <col min="9438" max="9438" width="4.140625" style="28" bestFit="1" customWidth="1"/>
    <col min="9439" max="9439" width="4.42578125" style="28" bestFit="1" customWidth="1"/>
    <col min="9440" max="9441" width="4" style="28" bestFit="1" customWidth="1"/>
    <col min="9442" max="9442" width="4.42578125" style="28" bestFit="1" customWidth="1"/>
    <col min="9443" max="9444" width="4" style="28" bestFit="1" customWidth="1"/>
    <col min="9445" max="9445" width="4.28515625" style="28" bestFit="1" customWidth="1"/>
    <col min="9446" max="9446" width="4.140625" style="28" customWidth="1"/>
    <col min="9447" max="9447" width="14.42578125" style="28" customWidth="1"/>
    <col min="9448" max="9688" width="11.42578125" style="28"/>
    <col min="9689" max="9689" width="5.28515625" style="28" customWidth="1"/>
    <col min="9690" max="9690" width="33.140625" style="28" customWidth="1"/>
    <col min="9691" max="9692" width="4" style="28" bestFit="1" customWidth="1"/>
    <col min="9693" max="9693" width="4.28515625" style="28" bestFit="1" customWidth="1"/>
    <col min="9694" max="9694" width="4.140625" style="28" bestFit="1" customWidth="1"/>
    <col min="9695" max="9695" width="4.42578125" style="28" bestFit="1" customWidth="1"/>
    <col min="9696" max="9697" width="4" style="28" bestFit="1" customWidth="1"/>
    <col min="9698" max="9698" width="4.42578125" style="28" bestFit="1" customWidth="1"/>
    <col min="9699" max="9700" width="4" style="28" bestFit="1" customWidth="1"/>
    <col min="9701" max="9701" width="4.28515625" style="28" bestFit="1" customWidth="1"/>
    <col min="9702" max="9702" width="4.140625" style="28" customWidth="1"/>
    <col min="9703" max="9703" width="14.42578125" style="28" customWidth="1"/>
    <col min="9704" max="9944" width="11.42578125" style="28"/>
    <col min="9945" max="9945" width="5.28515625" style="28" customWidth="1"/>
    <col min="9946" max="9946" width="33.140625" style="28" customWidth="1"/>
    <col min="9947" max="9948" width="4" style="28" bestFit="1" customWidth="1"/>
    <col min="9949" max="9949" width="4.28515625" style="28" bestFit="1" customWidth="1"/>
    <col min="9950" max="9950" width="4.140625" style="28" bestFit="1" customWidth="1"/>
    <col min="9951" max="9951" width="4.42578125" style="28" bestFit="1" customWidth="1"/>
    <col min="9952" max="9953" width="4" style="28" bestFit="1" customWidth="1"/>
    <col min="9954" max="9954" width="4.42578125" style="28" bestFit="1" customWidth="1"/>
    <col min="9955" max="9956" width="4" style="28" bestFit="1" customWidth="1"/>
    <col min="9957" max="9957" width="4.28515625" style="28" bestFit="1" customWidth="1"/>
    <col min="9958" max="9958" width="4.140625" style="28" customWidth="1"/>
    <col min="9959" max="9959" width="14.42578125" style="28" customWidth="1"/>
    <col min="9960" max="10200" width="11.42578125" style="28"/>
    <col min="10201" max="10201" width="5.28515625" style="28" customWidth="1"/>
    <col min="10202" max="10202" width="33.140625" style="28" customWidth="1"/>
    <col min="10203" max="10204" width="4" style="28" bestFit="1" customWidth="1"/>
    <col min="10205" max="10205" width="4.28515625" style="28" bestFit="1" customWidth="1"/>
    <col min="10206" max="10206" width="4.140625" style="28" bestFit="1" customWidth="1"/>
    <col min="10207" max="10207" width="4.42578125" style="28" bestFit="1" customWidth="1"/>
    <col min="10208" max="10209" width="4" style="28" bestFit="1" customWidth="1"/>
    <col min="10210" max="10210" width="4.42578125" style="28" bestFit="1" customWidth="1"/>
    <col min="10211" max="10212" width="4" style="28" bestFit="1" customWidth="1"/>
    <col min="10213" max="10213" width="4.28515625" style="28" bestFit="1" customWidth="1"/>
    <col min="10214" max="10214" width="4.140625" style="28" customWidth="1"/>
    <col min="10215" max="10215" width="14.42578125" style="28" customWidth="1"/>
    <col min="10216" max="10456" width="11.42578125" style="28"/>
    <col min="10457" max="10457" width="5.28515625" style="28" customWidth="1"/>
    <col min="10458" max="10458" width="33.140625" style="28" customWidth="1"/>
    <col min="10459" max="10460" width="4" style="28" bestFit="1" customWidth="1"/>
    <col min="10461" max="10461" width="4.28515625" style="28" bestFit="1" customWidth="1"/>
    <col min="10462" max="10462" width="4.140625" style="28" bestFit="1" customWidth="1"/>
    <col min="10463" max="10463" width="4.42578125" style="28" bestFit="1" customWidth="1"/>
    <col min="10464" max="10465" width="4" style="28" bestFit="1" customWidth="1"/>
    <col min="10466" max="10466" width="4.42578125" style="28" bestFit="1" customWidth="1"/>
    <col min="10467" max="10468" width="4" style="28" bestFit="1" customWidth="1"/>
    <col min="10469" max="10469" width="4.28515625" style="28" bestFit="1" customWidth="1"/>
    <col min="10470" max="10470" width="4.140625" style="28" customWidth="1"/>
    <col min="10471" max="10471" width="14.42578125" style="28" customWidth="1"/>
    <col min="10472" max="10712" width="11.42578125" style="28"/>
    <col min="10713" max="10713" width="5.28515625" style="28" customWidth="1"/>
    <col min="10714" max="10714" width="33.140625" style="28" customWidth="1"/>
    <col min="10715" max="10716" width="4" style="28" bestFit="1" customWidth="1"/>
    <col min="10717" max="10717" width="4.28515625" style="28" bestFit="1" customWidth="1"/>
    <col min="10718" max="10718" width="4.140625" style="28" bestFit="1" customWidth="1"/>
    <col min="10719" max="10719" width="4.42578125" style="28" bestFit="1" customWidth="1"/>
    <col min="10720" max="10721" width="4" style="28" bestFit="1" customWidth="1"/>
    <col min="10722" max="10722" width="4.42578125" style="28" bestFit="1" customWidth="1"/>
    <col min="10723" max="10724" width="4" style="28" bestFit="1" customWidth="1"/>
    <col min="10725" max="10725" width="4.28515625" style="28" bestFit="1" customWidth="1"/>
    <col min="10726" max="10726" width="4.140625" style="28" customWidth="1"/>
    <col min="10727" max="10727" width="14.42578125" style="28" customWidth="1"/>
    <col min="10728" max="10968" width="11.42578125" style="28"/>
    <col min="10969" max="10969" width="5.28515625" style="28" customWidth="1"/>
    <col min="10970" max="10970" width="33.140625" style="28" customWidth="1"/>
    <col min="10971" max="10972" width="4" style="28" bestFit="1" customWidth="1"/>
    <col min="10973" max="10973" width="4.28515625" style="28" bestFit="1" customWidth="1"/>
    <col min="10974" max="10974" width="4.140625" style="28" bestFit="1" customWidth="1"/>
    <col min="10975" max="10975" width="4.42578125" style="28" bestFit="1" customWidth="1"/>
    <col min="10976" max="10977" width="4" style="28" bestFit="1" customWidth="1"/>
    <col min="10978" max="10978" width="4.42578125" style="28" bestFit="1" customWidth="1"/>
    <col min="10979" max="10980" width="4" style="28" bestFit="1" customWidth="1"/>
    <col min="10981" max="10981" width="4.28515625" style="28" bestFit="1" customWidth="1"/>
    <col min="10982" max="10982" width="4.140625" style="28" customWidth="1"/>
    <col min="10983" max="10983" width="14.42578125" style="28" customWidth="1"/>
    <col min="10984" max="11224" width="11.42578125" style="28"/>
    <col min="11225" max="11225" width="5.28515625" style="28" customWidth="1"/>
    <col min="11226" max="11226" width="33.140625" style="28" customWidth="1"/>
    <col min="11227" max="11228" width="4" style="28" bestFit="1" customWidth="1"/>
    <col min="11229" max="11229" width="4.28515625" style="28" bestFit="1" customWidth="1"/>
    <col min="11230" max="11230" width="4.140625" style="28" bestFit="1" customWidth="1"/>
    <col min="11231" max="11231" width="4.42578125" style="28" bestFit="1" customWidth="1"/>
    <col min="11232" max="11233" width="4" style="28" bestFit="1" customWidth="1"/>
    <col min="11234" max="11234" width="4.42578125" style="28" bestFit="1" customWidth="1"/>
    <col min="11235" max="11236" width="4" style="28" bestFit="1" customWidth="1"/>
    <col min="11237" max="11237" width="4.28515625" style="28" bestFit="1" customWidth="1"/>
    <col min="11238" max="11238" width="4.140625" style="28" customWidth="1"/>
    <col min="11239" max="11239" width="14.42578125" style="28" customWidth="1"/>
    <col min="11240" max="11480" width="11.42578125" style="28"/>
    <col min="11481" max="11481" width="5.28515625" style="28" customWidth="1"/>
    <col min="11482" max="11482" width="33.140625" style="28" customWidth="1"/>
    <col min="11483" max="11484" width="4" style="28" bestFit="1" customWidth="1"/>
    <col min="11485" max="11485" width="4.28515625" style="28" bestFit="1" customWidth="1"/>
    <col min="11486" max="11486" width="4.140625" style="28" bestFit="1" customWidth="1"/>
    <col min="11487" max="11487" width="4.42578125" style="28" bestFit="1" customWidth="1"/>
    <col min="11488" max="11489" width="4" style="28" bestFit="1" customWidth="1"/>
    <col min="11490" max="11490" width="4.42578125" style="28" bestFit="1" customWidth="1"/>
    <col min="11491" max="11492" width="4" style="28" bestFit="1" customWidth="1"/>
    <col min="11493" max="11493" width="4.28515625" style="28" bestFit="1" customWidth="1"/>
    <col min="11494" max="11494" width="4.140625" style="28" customWidth="1"/>
    <col min="11495" max="11495" width="14.42578125" style="28" customWidth="1"/>
    <col min="11496" max="11736" width="11.42578125" style="28"/>
    <col min="11737" max="11737" width="5.28515625" style="28" customWidth="1"/>
    <col min="11738" max="11738" width="33.140625" style="28" customWidth="1"/>
    <col min="11739" max="11740" width="4" style="28" bestFit="1" customWidth="1"/>
    <col min="11741" max="11741" width="4.28515625" style="28" bestFit="1" customWidth="1"/>
    <col min="11742" max="11742" width="4.140625" style="28" bestFit="1" customWidth="1"/>
    <col min="11743" max="11743" width="4.42578125" style="28" bestFit="1" customWidth="1"/>
    <col min="11744" max="11745" width="4" style="28" bestFit="1" customWidth="1"/>
    <col min="11746" max="11746" width="4.42578125" style="28" bestFit="1" customWidth="1"/>
    <col min="11747" max="11748" width="4" style="28" bestFit="1" customWidth="1"/>
    <col min="11749" max="11749" width="4.28515625" style="28" bestFit="1" customWidth="1"/>
    <col min="11750" max="11750" width="4.140625" style="28" customWidth="1"/>
    <col min="11751" max="11751" width="14.42578125" style="28" customWidth="1"/>
    <col min="11752" max="11992" width="11.42578125" style="28"/>
    <col min="11993" max="11993" width="5.28515625" style="28" customWidth="1"/>
    <col min="11994" max="11994" width="33.140625" style="28" customWidth="1"/>
    <col min="11995" max="11996" width="4" style="28" bestFit="1" customWidth="1"/>
    <col min="11997" max="11997" width="4.28515625" style="28" bestFit="1" customWidth="1"/>
    <col min="11998" max="11998" width="4.140625" style="28" bestFit="1" customWidth="1"/>
    <col min="11999" max="11999" width="4.42578125" style="28" bestFit="1" customWidth="1"/>
    <col min="12000" max="12001" width="4" style="28" bestFit="1" customWidth="1"/>
    <col min="12002" max="12002" width="4.42578125" style="28" bestFit="1" customWidth="1"/>
    <col min="12003" max="12004" width="4" style="28" bestFit="1" customWidth="1"/>
    <col min="12005" max="12005" width="4.28515625" style="28" bestFit="1" customWidth="1"/>
    <col min="12006" max="12006" width="4.140625" style="28" customWidth="1"/>
    <col min="12007" max="12007" width="14.42578125" style="28" customWidth="1"/>
    <col min="12008" max="12248" width="11.42578125" style="28"/>
    <col min="12249" max="12249" width="5.28515625" style="28" customWidth="1"/>
    <col min="12250" max="12250" width="33.140625" style="28" customWidth="1"/>
    <col min="12251" max="12252" width="4" style="28" bestFit="1" customWidth="1"/>
    <col min="12253" max="12253" width="4.28515625" style="28" bestFit="1" customWidth="1"/>
    <col min="12254" max="12254" width="4.140625" style="28" bestFit="1" customWidth="1"/>
    <col min="12255" max="12255" width="4.42578125" style="28" bestFit="1" customWidth="1"/>
    <col min="12256" max="12257" width="4" style="28" bestFit="1" customWidth="1"/>
    <col min="12258" max="12258" width="4.42578125" style="28" bestFit="1" customWidth="1"/>
    <col min="12259" max="12260" width="4" style="28" bestFit="1" customWidth="1"/>
    <col min="12261" max="12261" width="4.28515625" style="28" bestFit="1" customWidth="1"/>
    <col min="12262" max="12262" width="4.140625" style="28" customWidth="1"/>
    <col min="12263" max="12263" width="14.42578125" style="28" customWidth="1"/>
    <col min="12264" max="12504" width="11.42578125" style="28"/>
    <col min="12505" max="12505" width="5.28515625" style="28" customWidth="1"/>
    <col min="12506" max="12506" width="33.140625" style="28" customWidth="1"/>
    <col min="12507" max="12508" width="4" style="28" bestFit="1" customWidth="1"/>
    <col min="12509" max="12509" width="4.28515625" style="28" bestFit="1" customWidth="1"/>
    <col min="12510" max="12510" width="4.140625" style="28" bestFit="1" customWidth="1"/>
    <col min="12511" max="12511" width="4.42578125" style="28" bestFit="1" customWidth="1"/>
    <col min="12512" max="12513" width="4" style="28" bestFit="1" customWidth="1"/>
    <col min="12514" max="12514" width="4.42578125" style="28" bestFit="1" customWidth="1"/>
    <col min="12515" max="12516" width="4" style="28" bestFit="1" customWidth="1"/>
    <col min="12517" max="12517" width="4.28515625" style="28" bestFit="1" customWidth="1"/>
    <col min="12518" max="12518" width="4.140625" style="28" customWidth="1"/>
    <col min="12519" max="12519" width="14.42578125" style="28" customWidth="1"/>
    <col min="12520" max="12760" width="11.42578125" style="28"/>
    <col min="12761" max="12761" width="5.28515625" style="28" customWidth="1"/>
    <col min="12762" max="12762" width="33.140625" style="28" customWidth="1"/>
    <col min="12763" max="12764" width="4" style="28" bestFit="1" customWidth="1"/>
    <col min="12765" max="12765" width="4.28515625" style="28" bestFit="1" customWidth="1"/>
    <col min="12766" max="12766" width="4.140625" style="28" bestFit="1" customWidth="1"/>
    <col min="12767" max="12767" width="4.42578125" style="28" bestFit="1" customWidth="1"/>
    <col min="12768" max="12769" width="4" style="28" bestFit="1" customWidth="1"/>
    <col min="12770" max="12770" width="4.42578125" style="28" bestFit="1" customWidth="1"/>
    <col min="12771" max="12772" width="4" style="28" bestFit="1" customWidth="1"/>
    <col min="12773" max="12773" width="4.28515625" style="28" bestFit="1" customWidth="1"/>
    <col min="12774" max="12774" width="4.140625" style="28" customWidth="1"/>
    <col min="12775" max="12775" width="14.42578125" style="28" customWidth="1"/>
    <col min="12776" max="13016" width="11.42578125" style="28"/>
    <col min="13017" max="13017" width="5.28515625" style="28" customWidth="1"/>
    <col min="13018" max="13018" width="33.140625" style="28" customWidth="1"/>
    <col min="13019" max="13020" width="4" style="28" bestFit="1" customWidth="1"/>
    <col min="13021" max="13021" width="4.28515625" style="28" bestFit="1" customWidth="1"/>
    <col min="13022" max="13022" width="4.140625" style="28" bestFit="1" customWidth="1"/>
    <col min="13023" max="13023" width="4.42578125" style="28" bestFit="1" customWidth="1"/>
    <col min="13024" max="13025" width="4" style="28" bestFit="1" customWidth="1"/>
    <col min="13026" max="13026" width="4.42578125" style="28" bestFit="1" customWidth="1"/>
    <col min="13027" max="13028" width="4" style="28" bestFit="1" customWidth="1"/>
    <col min="13029" max="13029" width="4.28515625" style="28" bestFit="1" customWidth="1"/>
    <col min="13030" max="13030" width="4.140625" style="28" customWidth="1"/>
    <col min="13031" max="13031" width="14.42578125" style="28" customWidth="1"/>
    <col min="13032" max="13272" width="11.42578125" style="28"/>
    <col min="13273" max="13273" width="5.28515625" style="28" customWidth="1"/>
    <col min="13274" max="13274" width="33.140625" style="28" customWidth="1"/>
    <col min="13275" max="13276" width="4" style="28" bestFit="1" customWidth="1"/>
    <col min="13277" max="13277" width="4.28515625" style="28" bestFit="1" customWidth="1"/>
    <col min="13278" max="13278" width="4.140625" style="28" bestFit="1" customWidth="1"/>
    <col min="13279" max="13279" width="4.42578125" style="28" bestFit="1" customWidth="1"/>
    <col min="13280" max="13281" width="4" style="28" bestFit="1" customWidth="1"/>
    <col min="13282" max="13282" width="4.42578125" style="28" bestFit="1" customWidth="1"/>
    <col min="13283" max="13284" width="4" style="28" bestFit="1" customWidth="1"/>
    <col min="13285" max="13285" width="4.28515625" style="28" bestFit="1" customWidth="1"/>
    <col min="13286" max="13286" width="4.140625" style="28" customWidth="1"/>
    <col min="13287" max="13287" width="14.42578125" style="28" customWidth="1"/>
    <col min="13288" max="13528" width="11.42578125" style="28"/>
    <col min="13529" max="13529" width="5.28515625" style="28" customWidth="1"/>
    <col min="13530" max="13530" width="33.140625" style="28" customWidth="1"/>
    <col min="13531" max="13532" width="4" style="28" bestFit="1" customWidth="1"/>
    <col min="13533" max="13533" width="4.28515625" style="28" bestFit="1" customWidth="1"/>
    <col min="13534" max="13534" width="4.140625" style="28" bestFit="1" customWidth="1"/>
    <col min="13535" max="13535" width="4.42578125" style="28" bestFit="1" customWidth="1"/>
    <col min="13536" max="13537" width="4" style="28" bestFit="1" customWidth="1"/>
    <col min="13538" max="13538" width="4.42578125" style="28" bestFit="1" customWidth="1"/>
    <col min="13539" max="13540" width="4" style="28" bestFit="1" customWidth="1"/>
    <col min="13541" max="13541" width="4.28515625" style="28" bestFit="1" customWidth="1"/>
    <col min="13542" max="13542" width="4.140625" style="28" customWidth="1"/>
    <col min="13543" max="13543" width="14.42578125" style="28" customWidth="1"/>
    <col min="13544" max="13784" width="11.42578125" style="28"/>
    <col min="13785" max="13785" width="5.28515625" style="28" customWidth="1"/>
    <col min="13786" max="13786" width="33.140625" style="28" customWidth="1"/>
    <col min="13787" max="13788" width="4" style="28" bestFit="1" customWidth="1"/>
    <col min="13789" max="13789" width="4.28515625" style="28" bestFit="1" customWidth="1"/>
    <col min="13790" max="13790" width="4.140625" style="28" bestFit="1" customWidth="1"/>
    <col min="13791" max="13791" width="4.42578125" style="28" bestFit="1" customWidth="1"/>
    <col min="13792" max="13793" width="4" style="28" bestFit="1" customWidth="1"/>
    <col min="13794" max="13794" width="4.42578125" style="28" bestFit="1" customWidth="1"/>
    <col min="13795" max="13796" width="4" style="28" bestFit="1" customWidth="1"/>
    <col min="13797" max="13797" width="4.28515625" style="28" bestFit="1" customWidth="1"/>
    <col min="13798" max="13798" width="4.140625" style="28" customWidth="1"/>
    <col min="13799" max="13799" width="14.42578125" style="28" customWidth="1"/>
    <col min="13800" max="14040" width="11.42578125" style="28"/>
    <col min="14041" max="14041" width="5.28515625" style="28" customWidth="1"/>
    <col min="14042" max="14042" width="33.140625" style="28" customWidth="1"/>
    <col min="14043" max="14044" width="4" style="28" bestFit="1" customWidth="1"/>
    <col min="14045" max="14045" width="4.28515625" style="28" bestFit="1" customWidth="1"/>
    <col min="14046" max="14046" width="4.140625" style="28" bestFit="1" customWidth="1"/>
    <col min="14047" max="14047" width="4.42578125" style="28" bestFit="1" customWidth="1"/>
    <col min="14048" max="14049" width="4" style="28" bestFit="1" customWidth="1"/>
    <col min="14050" max="14050" width="4.42578125" style="28" bestFit="1" customWidth="1"/>
    <col min="14051" max="14052" width="4" style="28" bestFit="1" customWidth="1"/>
    <col min="14053" max="14053" width="4.28515625" style="28" bestFit="1" customWidth="1"/>
    <col min="14054" max="14054" width="4.140625" style="28" customWidth="1"/>
    <col min="14055" max="14055" width="14.42578125" style="28" customWidth="1"/>
    <col min="14056" max="14296" width="11.42578125" style="28"/>
    <col min="14297" max="14297" width="5.28515625" style="28" customWidth="1"/>
    <col min="14298" max="14298" width="33.140625" style="28" customWidth="1"/>
    <col min="14299" max="14300" width="4" style="28" bestFit="1" customWidth="1"/>
    <col min="14301" max="14301" width="4.28515625" style="28" bestFit="1" customWidth="1"/>
    <col min="14302" max="14302" width="4.140625" style="28" bestFit="1" customWidth="1"/>
    <col min="14303" max="14303" width="4.42578125" style="28" bestFit="1" customWidth="1"/>
    <col min="14304" max="14305" width="4" style="28" bestFit="1" customWidth="1"/>
    <col min="14306" max="14306" width="4.42578125" style="28" bestFit="1" customWidth="1"/>
    <col min="14307" max="14308" width="4" style="28" bestFit="1" customWidth="1"/>
    <col min="14309" max="14309" width="4.28515625" style="28" bestFit="1" customWidth="1"/>
    <col min="14310" max="14310" width="4.140625" style="28" customWidth="1"/>
    <col min="14311" max="14311" width="14.42578125" style="28" customWidth="1"/>
    <col min="14312" max="14552" width="11.42578125" style="28"/>
    <col min="14553" max="14553" width="5.28515625" style="28" customWidth="1"/>
    <col min="14554" max="14554" width="33.140625" style="28" customWidth="1"/>
    <col min="14555" max="14556" width="4" style="28" bestFit="1" customWidth="1"/>
    <col min="14557" max="14557" width="4.28515625" style="28" bestFit="1" customWidth="1"/>
    <col min="14558" max="14558" width="4.140625" style="28" bestFit="1" customWidth="1"/>
    <col min="14559" max="14559" width="4.42578125" style="28" bestFit="1" customWidth="1"/>
    <col min="14560" max="14561" width="4" style="28" bestFit="1" customWidth="1"/>
    <col min="14562" max="14562" width="4.42578125" style="28" bestFit="1" customWidth="1"/>
    <col min="14563" max="14564" width="4" style="28" bestFit="1" customWidth="1"/>
    <col min="14565" max="14565" width="4.28515625" style="28" bestFit="1" customWidth="1"/>
    <col min="14566" max="14566" width="4.140625" style="28" customWidth="1"/>
    <col min="14567" max="14567" width="14.42578125" style="28" customWidth="1"/>
    <col min="14568" max="14808" width="11.42578125" style="28"/>
    <col min="14809" max="14809" width="5.28515625" style="28" customWidth="1"/>
    <col min="14810" max="14810" width="33.140625" style="28" customWidth="1"/>
    <col min="14811" max="14812" width="4" style="28" bestFit="1" customWidth="1"/>
    <col min="14813" max="14813" width="4.28515625" style="28" bestFit="1" customWidth="1"/>
    <col min="14814" max="14814" width="4.140625" style="28" bestFit="1" customWidth="1"/>
    <col min="14815" max="14815" width="4.42578125" style="28" bestFit="1" customWidth="1"/>
    <col min="14816" max="14817" width="4" style="28" bestFit="1" customWidth="1"/>
    <col min="14818" max="14818" width="4.42578125" style="28" bestFit="1" customWidth="1"/>
    <col min="14819" max="14820" width="4" style="28" bestFit="1" customWidth="1"/>
    <col min="14821" max="14821" width="4.28515625" style="28" bestFit="1" customWidth="1"/>
    <col min="14822" max="14822" width="4.140625" style="28" customWidth="1"/>
    <col min="14823" max="14823" width="14.42578125" style="28" customWidth="1"/>
    <col min="14824" max="15064" width="11.42578125" style="28"/>
    <col min="15065" max="15065" width="5.28515625" style="28" customWidth="1"/>
    <col min="15066" max="15066" width="33.140625" style="28" customWidth="1"/>
    <col min="15067" max="15068" width="4" style="28" bestFit="1" customWidth="1"/>
    <col min="15069" max="15069" width="4.28515625" style="28" bestFit="1" customWidth="1"/>
    <col min="15070" max="15070" width="4.140625" style="28" bestFit="1" customWidth="1"/>
    <col min="15071" max="15071" width="4.42578125" style="28" bestFit="1" customWidth="1"/>
    <col min="15072" max="15073" width="4" style="28" bestFit="1" customWidth="1"/>
    <col min="15074" max="15074" width="4.42578125" style="28" bestFit="1" customWidth="1"/>
    <col min="15075" max="15076" width="4" style="28" bestFit="1" customWidth="1"/>
    <col min="15077" max="15077" width="4.28515625" style="28" bestFit="1" customWidth="1"/>
    <col min="15078" max="15078" width="4.140625" style="28" customWidth="1"/>
    <col min="15079" max="15079" width="14.42578125" style="28" customWidth="1"/>
    <col min="15080" max="15320" width="11.42578125" style="28"/>
    <col min="15321" max="15321" width="5.28515625" style="28" customWidth="1"/>
    <col min="15322" max="15322" width="33.140625" style="28" customWidth="1"/>
    <col min="15323" max="15324" width="4" style="28" bestFit="1" customWidth="1"/>
    <col min="15325" max="15325" width="4.28515625" style="28" bestFit="1" customWidth="1"/>
    <col min="15326" max="15326" width="4.140625" style="28" bestFit="1" customWidth="1"/>
    <col min="15327" max="15327" width="4.42578125" style="28" bestFit="1" customWidth="1"/>
    <col min="15328" max="15329" width="4" style="28" bestFit="1" customWidth="1"/>
    <col min="15330" max="15330" width="4.42578125" style="28" bestFit="1" customWidth="1"/>
    <col min="15331" max="15332" width="4" style="28" bestFit="1" customWidth="1"/>
    <col min="15333" max="15333" width="4.28515625" style="28" bestFit="1" customWidth="1"/>
    <col min="15334" max="15334" width="4.140625" style="28" customWidth="1"/>
    <col min="15335" max="15335" width="14.42578125" style="28" customWidth="1"/>
    <col min="15336" max="15576" width="11.42578125" style="28"/>
    <col min="15577" max="15577" width="5.28515625" style="28" customWidth="1"/>
    <col min="15578" max="15578" width="33.140625" style="28" customWidth="1"/>
    <col min="15579" max="15580" width="4" style="28" bestFit="1" customWidth="1"/>
    <col min="15581" max="15581" width="4.28515625" style="28" bestFit="1" customWidth="1"/>
    <col min="15582" max="15582" width="4.140625" style="28" bestFit="1" customWidth="1"/>
    <col min="15583" max="15583" width="4.42578125" style="28" bestFit="1" customWidth="1"/>
    <col min="15584" max="15585" width="4" style="28" bestFit="1" customWidth="1"/>
    <col min="15586" max="15586" width="4.42578125" style="28" bestFit="1" customWidth="1"/>
    <col min="15587" max="15588" width="4" style="28" bestFit="1" customWidth="1"/>
    <col min="15589" max="15589" width="4.28515625" style="28" bestFit="1" customWidth="1"/>
    <col min="15590" max="15590" width="4.140625" style="28" customWidth="1"/>
    <col min="15591" max="15591" width="14.42578125" style="28" customWidth="1"/>
    <col min="15592" max="15832" width="11.42578125" style="28"/>
    <col min="15833" max="15833" width="5.28515625" style="28" customWidth="1"/>
    <col min="15834" max="15834" width="33.140625" style="28" customWidth="1"/>
    <col min="15835" max="15836" width="4" style="28" bestFit="1" customWidth="1"/>
    <col min="15837" max="15837" width="4.28515625" style="28" bestFit="1" customWidth="1"/>
    <col min="15838" max="15838" width="4.140625" style="28" bestFit="1" customWidth="1"/>
    <col min="15839" max="15839" width="4.42578125" style="28" bestFit="1" customWidth="1"/>
    <col min="15840" max="15841" width="4" style="28" bestFit="1" customWidth="1"/>
    <col min="15842" max="15842" width="4.42578125" style="28" bestFit="1" customWidth="1"/>
    <col min="15843" max="15844" width="4" style="28" bestFit="1" customWidth="1"/>
    <col min="15845" max="15845" width="4.28515625" style="28" bestFit="1" customWidth="1"/>
    <col min="15846" max="15846" width="4.140625" style="28" customWidth="1"/>
    <col min="15847" max="15847" width="14.42578125" style="28" customWidth="1"/>
    <col min="15848" max="16088" width="11.42578125" style="28"/>
    <col min="16089" max="16089" width="5.28515625" style="28" customWidth="1"/>
    <col min="16090" max="16090" width="33.140625" style="28" customWidth="1"/>
    <col min="16091" max="16092" width="4" style="28" bestFit="1" customWidth="1"/>
    <col min="16093" max="16093" width="4.28515625" style="28" bestFit="1" customWidth="1"/>
    <col min="16094" max="16094" width="4.140625" style="28" bestFit="1" customWidth="1"/>
    <col min="16095" max="16095" width="4.42578125" style="28" bestFit="1" customWidth="1"/>
    <col min="16096" max="16097" width="4" style="28" bestFit="1" customWidth="1"/>
    <col min="16098" max="16098" width="4.42578125" style="28" bestFit="1" customWidth="1"/>
    <col min="16099" max="16100" width="4" style="28" bestFit="1" customWidth="1"/>
    <col min="16101" max="16101" width="4.28515625" style="28" bestFit="1" customWidth="1"/>
    <col min="16102" max="16102" width="4.140625" style="28" customWidth="1"/>
    <col min="16103" max="16103" width="14.42578125" style="28" customWidth="1"/>
    <col min="16104" max="16384" width="11.42578125" style="28"/>
  </cols>
  <sheetData>
    <row r="1" spans="1:7" ht="54" customHeight="1" x14ac:dyDescent="0.25"/>
    <row r="2" spans="1:7" ht="50.25" customHeight="1" x14ac:dyDescent="0.25"/>
    <row r="3" spans="1:7" ht="15.75" customHeight="1" x14ac:dyDescent="0.25">
      <c r="A3" s="145" t="s">
        <v>616</v>
      </c>
      <c r="B3" s="145"/>
      <c r="C3" s="145"/>
      <c r="D3" s="145"/>
      <c r="E3" s="145"/>
      <c r="F3" s="145"/>
      <c r="G3" s="145"/>
    </row>
    <row r="4" spans="1:7" ht="15.75" customHeight="1" x14ac:dyDescent="0.25">
      <c r="A4" s="145" t="s">
        <v>617</v>
      </c>
      <c r="B4" s="145"/>
      <c r="C4" s="145"/>
      <c r="D4" s="145"/>
      <c r="E4" s="145"/>
      <c r="F4" s="145"/>
      <c r="G4" s="145"/>
    </row>
    <row r="5" spans="1:7" ht="4.5" customHeight="1" x14ac:dyDescent="0.25">
      <c r="A5" s="146"/>
      <c r="B5" s="146"/>
      <c r="C5" s="146"/>
      <c r="D5" s="146"/>
      <c r="E5" s="146"/>
      <c r="F5" s="146"/>
      <c r="G5" s="29"/>
    </row>
    <row r="6" spans="1:7" s="31" customFormat="1" ht="22.5" customHeight="1" x14ac:dyDescent="0.25">
      <c r="A6" s="147" t="s">
        <v>110</v>
      </c>
      <c r="B6" s="147" t="s">
        <v>111</v>
      </c>
      <c r="C6" s="147" t="s">
        <v>104</v>
      </c>
      <c r="D6" s="147" t="s">
        <v>105</v>
      </c>
      <c r="E6" s="147" t="s">
        <v>618</v>
      </c>
      <c r="F6" s="147"/>
      <c r="G6" s="30" t="s">
        <v>108</v>
      </c>
    </row>
    <row r="7" spans="1:7" s="31" customFormat="1" ht="17.25" customHeight="1" x14ac:dyDescent="0.25">
      <c r="A7" s="147"/>
      <c r="B7" s="147"/>
      <c r="C7" s="147"/>
      <c r="D7" s="147"/>
      <c r="E7" s="147" t="s">
        <v>106</v>
      </c>
      <c r="F7" s="147" t="s">
        <v>107</v>
      </c>
      <c r="G7" s="149" t="s">
        <v>619</v>
      </c>
    </row>
    <row r="8" spans="1:7" s="31" customFormat="1" ht="17.25" customHeight="1" thickBot="1" x14ac:dyDescent="0.3">
      <c r="A8" s="148"/>
      <c r="B8" s="148"/>
      <c r="C8" s="148"/>
      <c r="D8" s="148"/>
      <c r="E8" s="148"/>
      <c r="F8" s="148"/>
      <c r="G8" s="150"/>
    </row>
    <row r="9" spans="1:7" s="31" customFormat="1" ht="18.75" customHeight="1" thickTop="1" x14ac:dyDescent="0.25">
      <c r="A9" s="151" t="s">
        <v>117</v>
      </c>
      <c r="B9" s="154">
        <v>1</v>
      </c>
      <c r="C9" s="32">
        <v>6028</v>
      </c>
      <c r="D9" s="33" t="s">
        <v>112</v>
      </c>
      <c r="E9" s="34" t="s">
        <v>113</v>
      </c>
      <c r="F9" s="35" t="s">
        <v>116</v>
      </c>
      <c r="G9" s="156">
        <v>70</v>
      </c>
    </row>
    <row r="10" spans="1:7" s="31" customFormat="1" ht="18" customHeight="1" x14ac:dyDescent="0.25">
      <c r="A10" s="152"/>
      <c r="B10" s="155"/>
      <c r="C10" s="36">
        <v>6040</v>
      </c>
      <c r="D10" s="37" t="s">
        <v>89</v>
      </c>
      <c r="E10" s="38" t="s">
        <v>118</v>
      </c>
      <c r="F10" s="39" t="s">
        <v>119</v>
      </c>
      <c r="G10" s="157"/>
    </row>
    <row r="11" spans="1:7" s="31" customFormat="1" ht="18" customHeight="1" x14ac:dyDescent="0.25">
      <c r="A11" s="152"/>
      <c r="B11" s="40">
        <v>2</v>
      </c>
      <c r="C11" s="41">
        <v>6003</v>
      </c>
      <c r="D11" s="42" t="s">
        <v>120</v>
      </c>
      <c r="E11" s="43" t="s">
        <v>121</v>
      </c>
      <c r="F11" s="44" t="s">
        <v>122</v>
      </c>
      <c r="G11" s="41">
        <v>50</v>
      </c>
    </row>
    <row r="12" spans="1:7" s="31" customFormat="1" ht="18" customHeight="1" x14ac:dyDescent="0.25">
      <c r="A12" s="152"/>
      <c r="B12" s="45">
        <v>3</v>
      </c>
      <c r="C12" s="46">
        <v>6005</v>
      </c>
      <c r="D12" s="47" t="s">
        <v>120</v>
      </c>
      <c r="E12" s="48" t="s">
        <v>123</v>
      </c>
      <c r="F12" s="49" t="s">
        <v>124</v>
      </c>
      <c r="G12" s="46">
        <v>70</v>
      </c>
    </row>
    <row r="13" spans="1:7" s="31" customFormat="1" ht="18" customHeight="1" x14ac:dyDescent="0.25">
      <c r="A13" s="152"/>
      <c r="B13" s="158">
        <v>4</v>
      </c>
      <c r="C13" s="50">
        <v>6031</v>
      </c>
      <c r="D13" s="51" t="s">
        <v>81</v>
      </c>
      <c r="E13" s="52" t="s">
        <v>123</v>
      </c>
      <c r="F13" s="53" t="s">
        <v>125</v>
      </c>
      <c r="G13" s="160">
        <v>70</v>
      </c>
    </row>
    <row r="14" spans="1:7" s="31" customFormat="1" ht="18" customHeight="1" x14ac:dyDescent="0.25">
      <c r="A14" s="152"/>
      <c r="B14" s="159"/>
      <c r="C14" s="54">
        <v>6041</v>
      </c>
      <c r="D14" s="55" t="s">
        <v>126</v>
      </c>
      <c r="E14" s="56" t="s">
        <v>127</v>
      </c>
      <c r="F14" s="57" t="s">
        <v>128</v>
      </c>
      <c r="G14" s="161"/>
    </row>
    <row r="15" spans="1:7" s="31" customFormat="1" ht="18" customHeight="1" x14ac:dyDescent="0.25">
      <c r="A15" s="152"/>
      <c r="B15" s="45">
        <v>5</v>
      </c>
      <c r="C15" s="46">
        <v>6032</v>
      </c>
      <c r="D15" s="47" t="s">
        <v>129</v>
      </c>
      <c r="E15" s="48" t="s">
        <v>130</v>
      </c>
      <c r="F15" s="49" t="s">
        <v>131</v>
      </c>
      <c r="G15" s="46">
        <v>50</v>
      </c>
    </row>
    <row r="16" spans="1:7" s="31" customFormat="1" ht="18" customHeight="1" thickBot="1" x14ac:dyDescent="0.3">
      <c r="A16" s="153"/>
      <c r="B16" s="58">
        <v>6</v>
      </c>
      <c r="C16" s="59">
        <v>6030</v>
      </c>
      <c r="D16" s="60" t="s">
        <v>129</v>
      </c>
      <c r="E16" s="61" t="s">
        <v>132</v>
      </c>
      <c r="F16" s="62" t="s">
        <v>133</v>
      </c>
      <c r="G16" s="59">
        <v>50</v>
      </c>
    </row>
    <row r="17" spans="1:8" ht="18" customHeight="1" thickTop="1" x14ac:dyDescent="0.25">
      <c r="A17" s="151" t="s">
        <v>140</v>
      </c>
      <c r="B17" s="45">
        <v>7</v>
      </c>
      <c r="C17" s="46">
        <v>6006</v>
      </c>
      <c r="D17" s="47" t="s">
        <v>44</v>
      </c>
      <c r="E17" s="63" t="s">
        <v>113</v>
      </c>
      <c r="F17" s="64" t="s">
        <v>139</v>
      </c>
      <c r="G17" s="65">
        <v>70</v>
      </c>
    </row>
    <row r="18" spans="1:8" ht="18" customHeight="1" x14ac:dyDescent="0.25">
      <c r="A18" s="152"/>
      <c r="B18" s="66">
        <v>8</v>
      </c>
      <c r="C18" s="41">
        <v>6021</v>
      </c>
      <c r="D18" s="42" t="s">
        <v>44</v>
      </c>
      <c r="E18" s="67" t="s">
        <v>141</v>
      </c>
      <c r="F18" s="68" t="s">
        <v>142</v>
      </c>
      <c r="G18" s="69">
        <v>70</v>
      </c>
    </row>
    <row r="19" spans="1:8" ht="18" customHeight="1" x14ac:dyDescent="0.25">
      <c r="A19" s="152"/>
      <c r="B19" s="45">
        <v>9</v>
      </c>
      <c r="C19" s="46">
        <v>6020</v>
      </c>
      <c r="D19" s="47" t="s">
        <v>65</v>
      </c>
      <c r="E19" s="63" t="s">
        <v>121</v>
      </c>
      <c r="F19" s="64" t="s">
        <v>132</v>
      </c>
      <c r="G19" s="65">
        <v>50</v>
      </c>
      <c r="H19" s="70"/>
    </row>
    <row r="20" spans="1:8" s="31" customFormat="1" ht="18" customHeight="1" x14ac:dyDescent="0.25">
      <c r="A20" s="152"/>
      <c r="B20" s="66">
        <v>10</v>
      </c>
      <c r="C20" s="41">
        <v>6026</v>
      </c>
      <c r="D20" s="42" t="s">
        <v>143</v>
      </c>
      <c r="E20" s="67" t="s">
        <v>123</v>
      </c>
      <c r="F20" s="68" t="s">
        <v>124</v>
      </c>
      <c r="G20" s="41">
        <v>70</v>
      </c>
    </row>
    <row r="21" spans="1:8" s="31" customFormat="1" ht="18" customHeight="1" x14ac:dyDescent="0.25">
      <c r="A21" s="152"/>
      <c r="B21" s="162">
        <v>11</v>
      </c>
      <c r="C21" s="71">
        <v>6012</v>
      </c>
      <c r="D21" s="72" t="s">
        <v>49</v>
      </c>
      <c r="E21" s="73" t="s">
        <v>127</v>
      </c>
      <c r="F21" s="74" t="s">
        <v>131</v>
      </c>
      <c r="G21" s="164">
        <v>70</v>
      </c>
    </row>
    <row r="22" spans="1:8" s="31" customFormat="1" ht="18" customHeight="1" x14ac:dyDescent="0.25">
      <c r="A22" s="152"/>
      <c r="B22" s="163"/>
      <c r="C22" s="36">
        <v>6043</v>
      </c>
      <c r="D22" s="37" t="s">
        <v>143</v>
      </c>
      <c r="E22" s="75" t="s">
        <v>142</v>
      </c>
      <c r="F22" s="76" t="s">
        <v>144</v>
      </c>
      <c r="G22" s="165"/>
    </row>
    <row r="23" spans="1:8" s="31" customFormat="1" ht="18" customHeight="1" x14ac:dyDescent="0.25">
      <c r="A23" s="152"/>
      <c r="B23" s="77">
        <v>12</v>
      </c>
      <c r="C23" s="78">
        <v>6002</v>
      </c>
      <c r="D23" s="79" t="s">
        <v>76</v>
      </c>
      <c r="E23" s="80" t="s">
        <v>132</v>
      </c>
      <c r="F23" s="81" t="s">
        <v>119</v>
      </c>
      <c r="G23" s="78">
        <v>70</v>
      </c>
    </row>
    <row r="24" spans="1:8" s="31" customFormat="1" ht="18" customHeight="1" thickBot="1" x14ac:dyDescent="0.3">
      <c r="A24" s="153"/>
      <c r="B24" s="82">
        <v>13</v>
      </c>
      <c r="C24" s="83">
        <v>6034</v>
      </c>
      <c r="D24" s="84" t="s">
        <v>76</v>
      </c>
      <c r="E24" s="85" t="s">
        <v>148</v>
      </c>
      <c r="F24" s="86" t="s">
        <v>149</v>
      </c>
      <c r="G24" s="83">
        <v>70</v>
      </c>
    </row>
    <row r="25" spans="1:8" s="31" customFormat="1" ht="18" customHeight="1" thickTop="1" x14ac:dyDescent="0.25">
      <c r="A25" s="151" t="s">
        <v>151</v>
      </c>
      <c r="B25" s="87">
        <v>14</v>
      </c>
      <c r="C25" s="88">
        <v>6022</v>
      </c>
      <c r="D25" s="89" t="s">
        <v>150</v>
      </c>
      <c r="E25" s="90" t="s">
        <v>113</v>
      </c>
      <c r="F25" s="91" t="s">
        <v>139</v>
      </c>
      <c r="G25" s="88">
        <v>70</v>
      </c>
    </row>
    <row r="26" spans="1:8" s="31" customFormat="1" ht="18" customHeight="1" x14ac:dyDescent="0.25">
      <c r="A26" s="152"/>
      <c r="B26" s="45">
        <v>15</v>
      </c>
      <c r="C26" s="46">
        <v>6033</v>
      </c>
      <c r="D26" s="47" t="s">
        <v>152</v>
      </c>
      <c r="E26" s="92" t="s">
        <v>153</v>
      </c>
      <c r="F26" s="64" t="s">
        <v>116</v>
      </c>
      <c r="G26" s="46">
        <v>70</v>
      </c>
    </row>
    <row r="27" spans="1:8" s="31" customFormat="1" ht="18" customHeight="1" x14ac:dyDescent="0.25">
      <c r="A27" s="152"/>
      <c r="B27" s="66">
        <v>16</v>
      </c>
      <c r="C27" s="41">
        <v>6042</v>
      </c>
      <c r="D27" s="42" t="s">
        <v>44</v>
      </c>
      <c r="E27" s="67" t="s">
        <v>154</v>
      </c>
      <c r="F27" s="68" t="s">
        <v>142</v>
      </c>
      <c r="G27" s="41">
        <v>50</v>
      </c>
    </row>
    <row r="28" spans="1:8" s="31" customFormat="1" ht="18" customHeight="1" x14ac:dyDescent="0.25">
      <c r="A28" s="152"/>
      <c r="B28" s="45">
        <v>17</v>
      </c>
      <c r="C28" s="46">
        <v>6008</v>
      </c>
      <c r="D28" s="47" t="s">
        <v>44</v>
      </c>
      <c r="E28" s="63" t="s">
        <v>155</v>
      </c>
      <c r="F28" s="64" t="s">
        <v>124</v>
      </c>
      <c r="G28" s="46">
        <v>50</v>
      </c>
    </row>
    <row r="29" spans="1:8" s="31" customFormat="1" ht="18" customHeight="1" x14ac:dyDescent="0.25">
      <c r="A29" s="152"/>
      <c r="B29" s="166">
        <v>18</v>
      </c>
      <c r="C29" s="93">
        <v>6015</v>
      </c>
      <c r="D29" s="94" t="s">
        <v>156</v>
      </c>
      <c r="E29" s="95" t="s">
        <v>139</v>
      </c>
      <c r="F29" s="96" t="s">
        <v>132</v>
      </c>
      <c r="G29" s="167">
        <v>70</v>
      </c>
    </row>
    <row r="30" spans="1:8" s="31" customFormat="1" ht="18" customHeight="1" x14ac:dyDescent="0.25">
      <c r="A30" s="152"/>
      <c r="B30" s="159"/>
      <c r="C30" s="54">
        <v>6045</v>
      </c>
      <c r="D30" s="55" t="s">
        <v>157</v>
      </c>
      <c r="E30" s="57" t="s">
        <v>116</v>
      </c>
      <c r="F30" s="57" t="s">
        <v>125</v>
      </c>
      <c r="G30" s="161"/>
    </row>
    <row r="31" spans="1:8" ht="18" customHeight="1" x14ac:dyDescent="0.25">
      <c r="A31" s="152"/>
      <c r="B31" s="162">
        <v>19</v>
      </c>
      <c r="C31" s="71">
        <v>6036</v>
      </c>
      <c r="D31" s="72" t="s">
        <v>158</v>
      </c>
      <c r="E31" s="73" t="s">
        <v>122</v>
      </c>
      <c r="F31" s="74" t="s">
        <v>161</v>
      </c>
      <c r="G31" s="169">
        <v>70</v>
      </c>
    </row>
    <row r="32" spans="1:8" s="31" customFormat="1" ht="18" customHeight="1" thickBot="1" x14ac:dyDescent="0.3">
      <c r="A32" s="153"/>
      <c r="B32" s="168"/>
      <c r="C32" s="97">
        <v>6035</v>
      </c>
      <c r="D32" s="98" t="s">
        <v>84</v>
      </c>
      <c r="E32" s="99" t="s">
        <v>124</v>
      </c>
      <c r="F32" s="100" t="s">
        <v>144</v>
      </c>
      <c r="G32" s="170"/>
    </row>
    <row r="33" spans="1:7" s="31" customFormat="1" ht="18" customHeight="1" thickTop="1" x14ac:dyDescent="0.25">
      <c r="A33" s="151" t="s">
        <v>164</v>
      </c>
      <c r="B33" s="176">
        <v>22</v>
      </c>
      <c r="C33" s="101">
        <v>6023</v>
      </c>
      <c r="D33" s="102" t="s">
        <v>70</v>
      </c>
      <c r="E33" s="103" t="s">
        <v>113</v>
      </c>
      <c r="F33" s="104" t="s">
        <v>127</v>
      </c>
      <c r="G33" s="178">
        <v>70</v>
      </c>
    </row>
    <row r="34" spans="1:7" s="31" customFormat="1" ht="18" customHeight="1" x14ac:dyDescent="0.25">
      <c r="A34" s="152"/>
      <c r="B34" s="177"/>
      <c r="C34" s="54">
        <v>6039</v>
      </c>
      <c r="D34" s="55" t="s">
        <v>87</v>
      </c>
      <c r="E34" s="56" t="s">
        <v>153</v>
      </c>
      <c r="F34" s="57" t="s">
        <v>116</v>
      </c>
      <c r="G34" s="161"/>
    </row>
    <row r="35" spans="1:7" s="31" customFormat="1" ht="18" customHeight="1" x14ac:dyDescent="0.25">
      <c r="A35" s="152"/>
      <c r="B35" s="105">
        <v>20</v>
      </c>
      <c r="C35" s="106">
        <v>6037</v>
      </c>
      <c r="D35" s="107" t="s">
        <v>165</v>
      </c>
      <c r="E35" s="108" t="s">
        <v>154</v>
      </c>
      <c r="F35" s="109" t="s">
        <v>142</v>
      </c>
      <c r="G35" s="106">
        <v>70</v>
      </c>
    </row>
    <row r="36" spans="1:7" s="31" customFormat="1" ht="18" customHeight="1" x14ac:dyDescent="0.25">
      <c r="A36" s="152"/>
      <c r="B36" s="40">
        <v>21</v>
      </c>
      <c r="C36" s="41">
        <v>6018</v>
      </c>
      <c r="D36" s="42" t="s">
        <v>165</v>
      </c>
      <c r="E36" s="67" t="s">
        <v>155</v>
      </c>
      <c r="F36" s="68" t="s">
        <v>132</v>
      </c>
      <c r="G36" s="41">
        <v>70</v>
      </c>
    </row>
    <row r="37" spans="1:7" ht="18" customHeight="1" x14ac:dyDescent="0.25">
      <c r="A37" s="152"/>
      <c r="B37" s="162">
        <v>23</v>
      </c>
      <c r="C37" s="71">
        <v>6014</v>
      </c>
      <c r="D37" s="72" t="s">
        <v>166</v>
      </c>
      <c r="E37" s="73" t="s">
        <v>139</v>
      </c>
      <c r="F37" s="74" t="s">
        <v>125</v>
      </c>
      <c r="G37" s="169">
        <v>70</v>
      </c>
    </row>
    <row r="38" spans="1:7" ht="18" customHeight="1" x14ac:dyDescent="0.25">
      <c r="A38" s="152"/>
      <c r="B38" s="163"/>
      <c r="C38" s="36">
        <v>6013</v>
      </c>
      <c r="D38" s="37" t="s">
        <v>50</v>
      </c>
      <c r="E38" s="75" t="s">
        <v>116</v>
      </c>
      <c r="F38" s="75" t="s">
        <v>149</v>
      </c>
      <c r="G38" s="179"/>
    </row>
    <row r="39" spans="1:7" s="31" customFormat="1" ht="18" customHeight="1" x14ac:dyDescent="0.25">
      <c r="A39" s="152"/>
      <c r="B39" s="180">
        <v>24</v>
      </c>
      <c r="C39" s="50">
        <v>6004</v>
      </c>
      <c r="D39" s="51" t="s">
        <v>42</v>
      </c>
      <c r="E39" s="52" t="s">
        <v>122</v>
      </c>
      <c r="F39" s="53" t="s">
        <v>131</v>
      </c>
      <c r="G39" s="160">
        <v>70</v>
      </c>
    </row>
    <row r="40" spans="1:7" s="31" customFormat="1" ht="18" customHeight="1" thickBot="1" x14ac:dyDescent="0.3">
      <c r="A40" s="153"/>
      <c r="B40" s="181"/>
      <c r="C40" s="110">
        <v>6017</v>
      </c>
      <c r="D40" s="111" t="s">
        <v>167</v>
      </c>
      <c r="E40" s="112" t="s">
        <v>124</v>
      </c>
      <c r="F40" s="113" t="s">
        <v>168</v>
      </c>
      <c r="G40" s="175"/>
    </row>
    <row r="41" spans="1:7" s="31" customFormat="1" ht="18" customHeight="1" thickTop="1" x14ac:dyDescent="0.25">
      <c r="A41" s="171" t="s">
        <v>170</v>
      </c>
      <c r="B41" s="45">
        <v>25</v>
      </c>
      <c r="C41" s="46">
        <v>6001</v>
      </c>
      <c r="D41" s="47" t="s">
        <v>169</v>
      </c>
      <c r="E41" s="64" t="s">
        <v>113</v>
      </c>
      <c r="F41" s="64" t="s">
        <v>139</v>
      </c>
      <c r="G41" s="46">
        <v>70</v>
      </c>
    </row>
    <row r="42" spans="1:7" s="31" customFormat="1" ht="18" customHeight="1" x14ac:dyDescent="0.25">
      <c r="A42" s="172"/>
      <c r="B42" s="114">
        <v>26</v>
      </c>
      <c r="C42" s="115">
        <v>6027</v>
      </c>
      <c r="D42" s="116" t="s">
        <v>77</v>
      </c>
      <c r="E42" s="117" t="s">
        <v>153</v>
      </c>
      <c r="F42" s="117" t="s">
        <v>116</v>
      </c>
      <c r="G42" s="115">
        <v>50</v>
      </c>
    </row>
    <row r="43" spans="1:7" s="31" customFormat="1" ht="18" customHeight="1" x14ac:dyDescent="0.25">
      <c r="A43" s="172"/>
      <c r="B43" s="45">
        <v>27</v>
      </c>
      <c r="C43" s="46">
        <v>6044</v>
      </c>
      <c r="D43" s="47" t="s">
        <v>172</v>
      </c>
      <c r="E43" s="63" t="s">
        <v>154</v>
      </c>
      <c r="F43" s="64" t="s">
        <v>142</v>
      </c>
      <c r="G43" s="46">
        <v>50</v>
      </c>
    </row>
    <row r="44" spans="1:7" s="31" customFormat="1" ht="18" customHeight="1" x14ac:dyDescent="0.25">
      <c r="A44" s="172"/>
      <c r="B44" s="158">
        <v>28</v>
      </c>
      <c r="C44" s="50">
        <v>6016</v>
      </c>
      <c r="D44" s="51" t="s">
        <v>173</v>
      </c>
      <c r="E44" s="52" t="s">
        <v>155</v>
      </c>
      <c r="F44" s="53" t="s">
        <v>148</v>
      </c>
      <c r="G44" s="160">
        <v>70</v>
      </c>
    </row>
    <row r="45" spans="1:7" s="31" customFormat="1" ht="18" customHeight="1" x14ac:dyDescent="0.25">
      <c r="A45" s="172"/>
      <c r="B45" s="159"/>
      <c r="C45" s="54">
        <v>6019</v>
      </c>
      <c r="D45" s="55" t="s">
        <v>174</v>
      </c>
      <c r="E45" s="56" t="s">
        <v>139</v>
      </c>
      <c r="F45" s="57" t="s">
        <v>131</v>
      </c>
      <c r="G45" s="161"/>
    </row>
    <row r="46" spans="1:7" s="31" customFormat="1" ht="18" customHeight="1" x14ac:dyDescent="0.25">
      <c r="A46" s="172"/>
      <c r="B46" s="45">
        <v>29</v>
      </c>
      <c r="C46" s="46">
        <v>6010</v>
      </c>
      <c r="D46" s="47" t="s">
        <v>47</v>
      </c>
      <c r="E46" s="63" t="s">
        <v>116</v>
      </c>
      <c r="F46" s="64" t="s">
        <v>119</v>
      </c>
      <c r="G46" s="46">
        <v>50</v>
      </c>
    </row>
    <row r="47" spans="1:7" s="31" customFormat="1" ht="18" customHeight="1" x14ac:dyDescent="0.25">
      <c r="A47" s="172"/>
      <c r="B47" s="66">
        <v>30</v>
      </c>
      <c r="C47" s="41">
        <v>6009</v>
      </c>
      <c r="D47" s="42" t="s">
        <v>46</v>
      </c>
      <c r="E47" s="67" t="s">
        <v>122</v>
      </c>
      <c r="F47" s="68" t="s">
        <v>131</v>
      </c>
      <c r="G47" s="41">
        <v>50</v>
      </c>
    </row>
    <row r="48" spans="1:7" s="31" customFormat="1" ht="18" customHeight="1" x14ac:dyDescent="0.25">
      <c r="A48" s="172"/>
      <c r="B48" s="162">
        <v>31</v>
      </c>
      <c r="C48" s="71">
        <v>6007</v>
      </c>
      <c r="D48" s="72" t="s">
        <v>45</v>
      </c>
      <c r="E48" s="73" t="s">
        <v>124</v>
      </c>
      <c r="F48" s="74" t="s">
        <v>168</v>
      </c>
      <c r="G48" s="164">
        <v>70</v>
      </c>
    </row>
    <row r="49" spans="1:7" s="31" customFormat="1" ht="18" customHeight="1" thickBot="1" x14ac:dyDescent="0.3">
      <c r="A49" s="173"/>
      <c r="B49" s="163"/>
      <c r="C49" s="36">
        <v>6029</v>
      </c>
      <c r="D49" s="37" t="s">
        <v>175</v>
      </c>
      <c r="E49" s="118" t="s">
        <v>125</v>
      </c>
      <c r="F49" s="76" t="s">
        <v>176</v>
      </c>
      <c r="G49" s="165"/>
    </row>
    <row r="50" spans="1:7" s="31" customFormat="1" ht="18" customHeight="1" thickTop="1" x14ac:dyDescent="0.25">
      <c r="A50" s="171" t="s">
        <v>178</v>
      </c>
      <c r="B50" s="119">
        <v>32</v>
      </c>
      <c r="C50" s="88">
        <v>6025</v>
      </c>
      <c r="D50" s="89" t="s">
        <v>177</v>
      </c>
      <c r="E50" s="90" t="s">
        <v>113</v>
      </c>
      <c r="F50" s="91" t="s">
        <v>139</v>
      </c>
      <c r="G50" s="88">
        <v>70</v>
      </c>
    </row>
    <row r="51" spans="1:7" s="31" customFormat="1" ht="18" customHeight="1" x14ac:dyDescent="0.25">
      <c r="A51" s="172"/>
      <c r="B51" s="45">
        <v>33</v>
      </c>
      <c r="C51" s="46">
        <v>6024</v>
      </c>
      <c r="D51" s="47" t="s">
        <v>177</v>
      </c>
      <c r="E51" s="63" t="s">
        <v>153</v>
      </c>
      <c r="F51" s="63" t="s">
        <v>116</v>
      </c>
      <c r="G51" s="46">
        <v>70</v>
      </c>
    </row>
    <row r="52" spans="1:7" s="31" customFormat="1" ht="18" customHeight="1" x14ac:dyDescent="0.25">
      <c r="A52" s="172"/>
      <c r="B52" s="158">
        <v>34</v>
      </c>
      <c r="C52" s="50">
        <v>6038</v>
      </c>
      <c r="D52" s="51" t="s">
        <v>180</v>
      </c>
      <c r="E52" s="52" t="s">
        <v>154</v>
      </c>
      <c r="F52" s="53" t="s">
        <v>124</v>
      </c>
      <c r="G52" s="160">
        <v>70</v>
      </c>
    </row>
    <row r="53" spans="1:7" s="31" customFormat="1" ht="18" customHeight="1" thickBot="1" x14ac:dyDescent="0.3">
      <c r="A53" s="173"/>
      <c r="B53" s="174"/>
      <c r="C53" s="110">
        <v>6011</v>
      </c>
      <c r="D53" s="111" t="s">
        <v>181</v>
      </c>
      <c r="E53" s="112" t="s">
        <v>155</v>
      </c>
      <c r="F53" s="113" t="s">
        <v>131</v>
      </c>
      <c r="G53" s="175"/>
    </row>
    <row r="54" spans="1:7" ht="6.75" customHeight="1" thickTop="1" x14ac:dyDescent="0.25">
      <c r="A54" s="120"/>
      <c r="B54" s="120"/>
      <c r="C54" s="120"/>
      <c r="D54" s="120"/>
      <c r="E54" s="120"/>
      <c r="F54" s="120"/>
      <c r="G54" s="120"/>
    </row>
    <row r="55" spans="1:7" s="31" customFormat="1" ht="14.25" customHeight="1" x14ac:dyDescent="0.25">
      <c r="A55" s="121" t="s">
        <v>620</v>
      </c>
      <c r="B55" s="122" t="s">
        <v>621</v>
      </c>
      <c r="C55" s="121">
        <v>10</v>
      </c>
      <c r="D55" s="123" t="s">
        <v>109</v>
      </c>
      <c r="E55" s="124"/>
      <c r="F55" s="124"/>
      <c r="G55" s="124"/>
    </row>
    <row r="56" spans="1:7" s="31" customFormat="1" ht="2.25" customHeight="1" x14ac:dyDescent="0.25">
      <c r="A56" s="121"/>
      <c r="B56" s="121"/>
      <c r="C56" s="121"/>
      <c r="D56" s="123"/>
      <c r="E56" s="124"/>
      <c r="F56" s="124"/>
      <c r="G56" s="124"/>
    </row>
    <row r="57" spans="1:7" s="31" customFormat="1" ht="14.25" customHeight="1" x14ac:dyDescent="0.25">
      <c r="A57" s="121" t="s">
        <v>620</v>
      </c>
      <c r="B57" s="122" t="s">
        <v>622</v>
      </c>
      <c r="C57" s="121">
        <v>24</v>
      </c>
      <c r="D57" s="123" t="s">
        <v>109</v>
      </c>
      <c r="E57" s="124"/>
      <c r="F57" s="124"/>
      <c r="G57" s="124"/>
    </row>
    <row r="58" spans="1:7" ht="2.25" customHeight="1" x14ac:dyDescent="0.25"/>
    <row r="59" spans="1:7" ht="14.25" customHeight="1" x14ac:dyDescent="0.25">
      <c r="B59" s="25" t="s">
        <v>623</v>
      </c>
      <c r="C59" s="125">
        <v>34</v>
      </c>
      <c r="D59" s="27" t="s">
        <v>109</v>
      </c>
    </row>
    <row r="60" spans="1:7" s="126" customFormat="1" ht="15" customHeight="1" x14ac:dyDescent="0.25">
      <c r="A60" s="24"/>
      <c r="B60" s="25"/>
      <c r="D60" s="127"/>
      <c r="E60" s="25"/>
      <c r="F60" s="25"/>
    </row>
  </sheetData>
  <autoFilter ref="A8:F53"/>
  <mergeCells count="39">
    <mergeCell ref="A50:A53"/>
    <mergeCell ref="B52:B53"/>
    <mergeCell ref="G52:G53"/>
    <mergeCell ref="A33:A40"/>
    <mergeCell ref="B33:B34"/>
    <mergeCell ref="G33:G34"/>
    <mergeCell ref="B37:B38"/>
    <mergeCell ref="G37:G38"/>
    <mergeCell ref="B39:B40"/>
    <mergeCell ref="G39:G40"/>
    <mergeCell ref="A41:A49"/>
    <mergeCell ref="B44:B45"/>
    <mergeCell ref="G44:G45"/>
    <mergeCell ref="B48:B49"/>
    <mergeCell ref="G48:G49"/>
    <mergeCell ref="A17:A24"/>
    <mergeCell ref="B21:B22"/>
    <mergeCell ref="G21:G22"/>
    <mergeCell ref="A25:A32"/>
    <mergeCell ref="B29:B30"/>
    <mergeCell ref="G29:G30"/>
    <mergeCell ref="B31:B32"/>
    <mergeCell ref="G31:G32"/>
    <mergeCell ref="A9:A16"/>
    <mergeCell ref="B9:B10"/>
    <mergeCell ref="G9:G10"/>
    <mergeCell ref="B13:B14"/>
    <mergeCell ref="G13:G14"/>
    <mergeCell ref="A3:G3"/>
    <mergeCell ref="A4:G4"/>
    <mergeCell ref="A5:F5"/>
    <mergeCell ref="A6:A8"/>
    <mergeCell ref="B6:B8"/>
    <mergeCell ref="C6:C8"/>
    <mergeCell ref="D6:D8"/>
    <mergeCell ref="E6:F6"/>
    <mergeCell ref="E7:E8"/>
    <mergeCell ref="F7:F8"/>
    <mergeCell ref="G7:G8"/>
  </mergeCells>
  <printOptions horizontalCentered="1"/>
  <pageMargins left="0.23622047244094491" right="0.23622047244094491" top="0" bottom="0.74803149606299213" header="0.31496062992125984" footer="0.31496062992125984"/>
  <pageSetup scale="70" orientation="portrait" r:id="rId1"/>
  <headerFooter>
    <oddFooter>&amp;RPágina &amp;P de &amp;N           &amp;K00+000.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00"/>
  <sheetViews>
    <sheetView workbookViewId="0"/>
  </sheetViews>
  <sheetFormatPr baseColWidth="10" defaultColWidth="14.42578125" defaultRowHeight="15" customHeight="1" x14ac:dyDescent="0.25"/>
  <cols>
    <col min="1" max="1" width="12.5703125" customWidth="1"/>
    <col min="2" max="2" width="33.7109375" customWidth="1"/>
    <col min="3" max="3" width="19.42578125" customWidth="1"/>
    <col min="4" max="4" width="16.140625" customWidth="1"/>
    <col min="5" max="26" width="10.7109375" customWidth="1"/>
  </cols>
  <sheetData>
    <row r="3" spans="1:5" x14ac:dyDescent="0.25">
      <c r="A3" s="13"/>
      <c r="B3" s="14"/>
      <c r="C3" s="15" t="s">
        <v>614</v>
      </c>
      <c r="D3" s="16"/>
      <c r="E3" s="1" t="s">
        <v>69</v>
      </c>
    </row>
    <row r="4" spans="1:5" x14ac:dyDescent="0.25">
      <c r="A4" s="15" t="s">
        <v>21</v>
      </c>
      <c r="B4" s="15" t="s">
        <v>22</v>
      </c>
      <c r="C4" s="13" t="s">
        <v>66</v>
      </c>
      <c r="D4" s="17" t="s">
        <v>68</v>
      </c>
      <c r="E4" s="1" t="e">
        <f>D4-C4</f>
        <v>#VALUE!</v>
      </c>
    </row>
    <row r="5" spans="1:5" x14ac:dyDescent="0.25">
      <c r="A5" s="13">
        <v>6001</v>
      </c>
      <c r="B5" s="13" t="s">
        <v>27</v>
      </c>
      <c r="C5" s="18">
        <v>13</v>
      </c>
      <c r="D5" s="19">
        <v>13</v>
      </c>
      <c r="E5" s="1">
        <f>GETPIVOTDATA("Cuenta de TOTAL",$A$3,"CLAVE",6002,"DISTRITO","Toluca de Lerdo")-GETPIVOTDATA("Cuenta de ARTICULO",$A$3,"CLAVE",6002,"DISTRITO","Toluca de Lerdo")</f>
        <v>0</v>
      </c>
    </row>
    <row r="6" spans="1:5" x14ac:dyDescent="0.25">
      <c r="A6" s="13">
        <v>6002</v>
      </c>
      <c r="B6" s="13" t="s">
        <v>76</v>
      </c>
      <c r="C6" s="18">
        <v>12</v>
      </c>
      <c r="D6" s="19">
        <v>12</v>
      </c>
      <c r="E6" s="1">
        <f>GETPIVOTDATA("Cuenta de TOTAL",$A$3,"CLAVE",6003,"DISTRITO","Chimaihuacan")-GETPIVOTDATA("Cuenta de ARTICULO",$A$3,"CLAVE",6003,"DISTRITO","Chimaihuacan")</f>
        <v>0</v>
      </c>
    </row>
    <row r="7" spans="1:5" x14ac:dyDescent="0.25">
      <c r="A7" s="13">
        <v>6003</v>
      </c>
      <c r="B7" s="13" t="s">
        <v>38</v>
      </c>
      <c r="C7" s="18">
        <v>17</v>
      </c>
      <c r="D7" s="19">
        <v>17</v>
      </c>
    </row>
    <row r="8" spans="1:5" x14ac:dyDescent="0.25">
      <c r="A8" s="13">
        <v>6004</v>
      </c>
      <c r="B8" s="13" t="s">
        <v>42</v>
      </c>
      <c r="C8" s="18">
        <v>12</v>
      </c>
      <c r="D8" s="19">
        <v>12</v>
      </c>
    </row>
    <row r="9" spans="1:5" x14ac:dyDescent="0.25">
      <c r="A9" s="13">
        <v>6005</v>
      </c>
      <c r="B9" s="13" t="s">
        <v>43</v>
      </c>
      <c r="C9" s="18">
        <v>13</v>
      </c>
      <c r="D9" s="19">
        <v>13</v>
      </c>
    </row>
    <row r="10" spans="1:5" x14ac:dyDescent="0.25">
      <c r="A10" s="13">
        <v>6006</v>
      </c>
      <c r="B10" s="13" t="s">
        <v>44</v>
      </c>
      <c r="C10" s="18">
        <v>13</v>
      </c>
      <c r="D10" s="19">
        <v>13</v>
      </c>
    </row>
    <row r="11" spans="1:5" x14ac:dyDescent="0.25">
      <c r="A11" s="13">
        <v>6007</v>
      </c>
      <c r="B11" s="13" t="s">
        <v>45</v>
      </c>
      <c r="C11" s="18">
        <v>15</v>
      </c>
      <c r="D11" s="19">
        <v>15</v>
      </c>
    </row>
    <row r="12" spans="1:5" x14ac:dyDescent="0.25">
      <c r="A12" s="13">
        <v>6008</v>
      </c>
      <c r="B12" s="13" t="s">
        <v>44</v>
      </c>
      <c r="C12" s="18">
        <v>16</v>
      </c>
      <c r="D12" s="19">
        <v>16</v>
      </c>
    </row>
    <row r="13" spans="1:5" x14ac:dyDescent="0.25">
      <c r="A13" s="13">
        <v>6009</v>
      </c>
      <c r="B13" s="13" t="s">
        <v>46</v>
      </c>
      <c r="C13" s="18">
        <v>14</v>
      </c>
      <c r="D13" s="19">
        <v>14</v>
      </c>
    </row>
    <row r="14" spans="1:5" x14ac:dyDescent="0.25">
      <c r="A14" s="13">
        <v>6010</v>
      </c>
      <c r="B14" s="13" t="s">
        <v>47</v>
      </c>
      <c r="C14" s="18">
        <v>13</v>
      </c>
      <c r="D14" s="19">
        <v>13</v>
      </c>
    </row>
    <row r="15" spans="1:5" x14ac:dyDescent="0.25">
      <c r="A15" s="13">
        <v>6011</v>
      </c>
      <c r="B15" s="13" t="s">
        <v>48</v>
      </c>
      <c r="C15" s="18">
        <v>13</v>
      </c>
      <c r="D15" s="19">
        <v>13</v>
      </c>
    </row>
    <row r="16" spans="1:5" x14ac:dyDescent="0.25">
      <c r="A16" s="13">
        <v>6012</v>
      </c>
      <c r="B16" s="13" t="s">
        <v>49</v>
      </c>
      <c r="C16" s="18">
        <v>13</v>
      </c>
      <c r="D16" s="19">
        <v>13</v>
      </c>
    </row>
    <row r="17" spans="1:4" x14ac:dyDescent="0.25">
      <c r="A17" s="13">
        <v>6013</v>
      </c>
      <c r="B17" s="13" t="s">
        <v>50</v>
      </c>
      <c r="C17" s="18">
        <v>13</v>
      </c>
      <c r="D17" s="19">
        <v>13</v>
      </c>
    </row>
    <row r="18" spans="1:4" x14ac:dyDescent="0.25">
      <c r="A18" s="13">
        <v>6014</v>
      </c>
      <c r="B18" s="13" t="s">
        <v>55</v>
      </c>
      <c r="C18" s="18">
        <v>11</v>
      </c>
      <c r="D18" s="19">
        <v>11</v>
      </c>
    </row>
    <row r="19" spans="1:4" x14ac:dyDescent="0.25">
      <c r="A19" s="13">
        <v>6015</v>
      </c>
      <c r="B19" s="13" t="s">
        <v>56</v>
      </c>
      <c r="C19" s="18">
        <v>13</v>
      </c>
      <c r="D19" s="19">
        <v>13</v>
      </c>
    </row>
    <row r="20" spans="1:4" x14ac:dyDescent="0.25">
      <c r="A20" s="13">
        <v>6016</v>
      </c>
      <c r="B20" s="13" t="s">
        <v>57</v>
      </c>
      <c r="C20" s="18">
        <v>14</v>
      </c>
      <c r="D20" s="19">
        <v>14</v>
      </c>
    </row>
    <row r="21" spans="1:4" ht="15.75" customHeight="1" x14ac:dyDescent="0.25">
      <c r="A21" s="13">
        <v>6017</v>
      </c>
      <c r="B21" s="13" t="s">
        <v>58</v>
      </c>
      <c r="C21" s="18">
        <v>14</v>
      </c>
      <c r="D21" s="19">
        <v>14</v>
      </c>
    </row>
    <row r="22" spans="1:4" ht="15.75" customHeight="1" x14ac:dyDescent="0.25">
      <c r="A22" s="13">
        <v>6018</v>
      </c>
      <c r="B22" s="13" t="s">
        <v>59</v>
      </c>
      <c r="C22" s="18">
        <v>12</v>
      </c>
      <c r="D22" s="19">
        <v>12</v>
      </c>
    </row>
    <row r="23" spans="1:4" ht="15.75" customHeight="1" x14ac:dyDescent="0.25">
      <c r="A23" s="13">
        <v>6019</v>
      </c>
      <c r="B23" s="13" t="s">
        <v>60</v>
      </c>
      <c r="C23" s="18">
        <v>14</v>
      </c>
      <c r="D23" s="19">
        <v>14</v>
      </c>
    </row>
    <row r="24" spans="1:4" ht="15.75" customHeight="1" x14ac:dyDescent="0.25">
      <c r="A24" s="13">
        <v>6020</v>
      </c>
      <c r="B24" s="13" t="s">
        <v>65</v>
      </c>
      <c r="C24" s="18">
        <v>13</v>
      </c>
      <c r="D24" s="19">
        <v>13</v>
      </c>
    </row>
    <row r="25" spans="1:4" ht="15.75" customHeight="1" x14ac:dyDescent="0.25">
      <c r="A25" s="13">
        <v>6021</v>
      </c>
      <c r="B25" s="13" t="s">
        <v>44</v>
      </c>
      <c r="C25" s="18">
        <v>13</v>
      </c>
      <c r="D25" s="19">
        <v>13</v>
      </c>
    </row>
    <row r="26" spans="1:4" ht="15.75" customHeight="1" x14ac:dyDescent="0.25">
      <c r="A26" s="13">
        <v>6022</v>
      </c>
      <c r="B26" s="13" t="s">
        <v>67</v>
      </c>
      <c r="C26" s="18">
        <v>13</v>
      </c>
      <c r="D26" s="19">
        <v>13</v>
      </c>
    </row>
    <row r="27" spans="1:4" ht="15.75" customHeight="1" x14ac:dyDescent="0.25">
      <c r="A27" s="13">
        <v>6023</v>
      </c>
      <c r="B27" s="13" t="s">
        <v>70</v>
      </c>
      <c r="C27" s="18">
        <v>14</v>
      </c>
      <c r="D27" s="19">
        <v>14</v>
      </c>
    </row>
    <row r="28" spans="1:4" ht="15.75" customHeight="1" x14ac:dyDescent="0.25">
      <c r="A28" s="13">
        <v>6024</v>
      </c>
      <c r="B28" s="13" t="s">
        <v>71</v>
      </c>
      <c r="C28" s="18">
        <v>13</v>
      </c>
      <c r="D28" s="19">
        <v>13</v>
      </c>
    </row>
    <row r="29" spans="1:4" ht="15.75" customHeight="1" x14ac:dyDescent="0.25">
      <c r="A29" s="20" t="s">
        <v>615</v>
      </c>
      <c r="B29" s="21"/>
      <c r="C29" s="22">
        <v>321</v>
      </c>
      <c r="D29" s="23">
        <v>321</v>
      </c>
    </row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4:E1000">
    <cfRule type="cellIs" dxfId="2" priority="1" operator="lessThan">
      <formula>0</formula>
    </cfRule>
  </conditionalFormatting>
  <conditionalFormatting sqref="E4:E1000">
    <cfRule type="cellIs" dxfId="1" priority="2" operator="greaterThan">
      <formula>0</formula>
    </cfRule>
  </conditionalFormatting>
  <conditionalFormatting sqref="E4:E1000">
    <cfRule type="cellIs" dxfId="0" priority="3" operator="equal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5" x14ac:dyDescent="0.25">
      <c r="A1" s="1" t="s">
        <v>0</v>
      </c>
      <c r="B1" s="1">
        <v>1011</v>
      </c>
      <c r="C1" s="1">
        <v>45</v>
      </c>
      <c r="D1" s="1" t="str">
        <f t="shared" ref="D1:D3" si="0">CONCATENATE(A1,"",B1,"",C1)</f>
        <v>ILAM00101145</v>
      </c>
      <c r="E1" s="1" t="str">
        <f t="shared" ref="E1:E3" si="1">D1</f>
        <v>ILAM00101145</v>
      </c>
    </row>
    <row r="2" spans="1:5" x14ac:dyDescent="0.25">
      <c r="A2" s="1" t="s">
        <v>0</v>
      </c>
      <c r="B2" s="1">
        <v>1011</v>
      </c>
      <c r="C2" s="1">
        <v>51</v>
      </c>
      <c r="D2" s="1" t="str">
        <f t="shared" si="0"/>
        <v>ILAM00101151</v>
      </c>
      <c r="E2" s="1" t="str">
        <f t="shared" si="1"/>
        <v>ILAM00101151</v>
      </c>
    </row>
    <row r="3" spans="1:5" x14ac:dyDescent="0.25">
      <c r="A3" s="1" t="s">
        <v>0</v>
      </c>
      <c r="B3" s="1">
        <v>1011</v>
      </c>
      <c r="C3" s="1">
        <v>57</v>
      </c>
      <c r="D3" s="1" t="str">
        <f t="shared" si="0"/>
        <v>ILAM00101157</v>
      </c>
      <c r="E3" s="1" t="str">
        <f t="shared" si="1"/>
        <v>ILAM00101157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baseColWidth="10" defaultColWidth="14.42578125" defaultRowHeight="15" customHeight="1" x14ac:dyDescent="0.25"/>
  <cols>
    <col min="1" max="6" width="10.7109375" customWidth="1"/>
    <col min="7" max="7" width="19.28515625" customWidth="1"/>
    <col min="8" max="8" width="16.42578125" customWidth="1"/>
    <col min="9" max="9" width="28.28515625" customWidth="1"/>
    <col min="10" max="10" width="30.42578125" customWidth="1"/>
    <col min="11" max="26" width="10.7109375" customWidth="1"/>
  </cols>
  <sheetData>
    <row r="1" spans="1:14" x14ac:dyDescent="0.25">
      <c r="A1" s="4" t="s">
        <v>1</v>
      </c>
      <c r="B1" s="4" t="s">
        <v>4</v>
      </c>
      <c r="C1" s="4" t="s">
        <v>5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18</v>
      </c>
      <c r="N1" s="4" t="s">
        <v>19</v>
      </c>
    </row>
    <row r="2" spans="1:14" x14ac:dyDescent="0.25">
      <c r="A2" s="8">
        <v>6001</v>
      </c>
      <c r="B2" s="8" t="s">
        <v>27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3</v>
      </c>
      <c r="J2" s="8">
        <v>1</v>
      </c>
      <c r="K2" s="8">
        <v>1</v>
      </c>
      <c r="L2" s="8">
        <v>1</v>
      </c>
      <c r="M2" s="8">
        <v>1</v>
      </c>
      <c r="N2" s="8">
        <f t="shared" ref="N2:N46" si="0">SUM(C2:M2)</f>
        <v>13</v>
      </c>
    </row>
    <row r="3" spans="1:14" x14ac:dyDescent="0.25">
      <c r="A3" s="8">
        <v>6002</v>
      </c>
      <c r="B3" s="8" t="s">
        <v>35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2</v>
      </c>
      <c r="J3" s="8">
        <v>1</v>
      </c>
      <c r="K3" s="8">
        <v>1</v>
      </c>
      <c r="L3" s="8">
        <v>1</v>
      </c>
      <c r="M3" s="8">
        <v>1</v>
      </c>
      <c r="N3" s="8">
        <f t="shared" si="0"/>
        <v>12</v>
      </c>
    </row>
    <row r="4" spans="1:14" x14ac:dyDescent="0.25">
      <c r="A4" s="8">
        <v>6003</v>
      </c>
      <c r="B4" s="8" t="s">
        <v>38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7</v>
      </c>
      <c r="J4" s="8">
        <v>1</v>
      </c>
      <c r="K4" s="8">
        <v>1</v>
      </c>
      <c r="L4" s="8">
        <v>1</v>
      </c>
      <c r="M4" s="8">
        <v>1</v>
      </c>
      <c r="N4" s="8">
        <f t="shared" si="0"/>
        <v>17</v>
      </c>
    </row>
    <row r="5" spans="1:14" x14ac:dyDescent="0.25">
      <c r="A5" s="8">
        <v>6004</v>
      </c>
      <c r="B5" s="8" t="s">
        <v>42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2</v>
      </c>
      <c r="J5" s="8">
        <v>1</v>
      </c>
      <c r="K5" s="8">
        <v>1</v>
      </c>
      <c r="L5" s="8">
        <v>1</v>
      </c>
      <c r="M5" s="8">
        <v>1</v>
      </c>
      <c r="N5" s="8">
        <f t="shared" si="0"/>
        <v>12</v>
      </c>
    </row>
    <row r="6" spans="1:14" x14ac:dyDescent="0.25">
      <c r="A6" s="8">
        <v>6005</v>
      </c>
      <c r="B6" s="8" t="s">
        <v>43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3</v>
      </c>
      <c r="J6" s="8">
        <v>1</v>
      </c>
      <c r="K6" s="8">
        <v>1</v>
      </c>
      <c r="L6" s="8">
        <v>1</v>
      </c>
      <c r="M6" s="8">
        <v>1</v>
      </c>
      <c r="N6" s="8">
        <f t="shared" si="0"/>
        <v>13</v>
      </c>
    </row>
    <row r="7" spans="1:14" x14ac:dyDescent="0.25">
      <c r="A7" s="8">
        <v>6006</v>
      </c>
      <c r="B7" s="8" t="s">
        <v>44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3</v>
      </c>
      <c r="J7" s="8">
        <v>1</v>
      </c>
      <c r="K7" s="8">
        <v>1</v>
      </c>
      <c r="L7" s="8">
        <v>1</v>
      </c>
      <c r="M7" s="8">
        <v>1</v>
      </c>
      <c r="N7" s="8">
        <f t="shared" si="0"/>
        <v>13</v>
      </c>
    </row>
    <row r="8" spans="1:14" x14ac:dyDescent="0.25">
      <c r="A8" s="8">
        <v>6007</v>
      </c>
      <c r="B8" s="8" t="s">
        <v>45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5</v>
      </c>
      <c r="J8" s="8">
        <v>1</v>
      </c>
      <c r="K8" s="8">
        <v>1</v>
      </c>
      <c r="L8" s="8">
        <v>1</v>
      </c>
      <c r="M8" s="8">
        <v>1</v>
      </c>
      <c r="N8" s="8">
        <f t="shared" si="0"/>
        <v>15</v>
      </c>
    </row>
    <row r="9" spans="1:14" x14ac:dyDescent="0.25">
      <c r="A9" s="8">
        <v>6008</v>
      </c>
      <c r="B9" s="8" t="s">
        <v>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6</v>
      </c>
      <c r="J9" s="8">
        <v>1</v>
      </c>
      <c r="K9" s="8">
        <v>1</v>
      </c>
      <c r="L9" s="8">
        <v>1</v>
      </c>
      <c r="M9" s="8">
        <v>1</v>
      </c>
      <c r="N9" s="8">
        <f t="shared" si="0"/>
        <v>16</v>
      </c>
    </row>
    <row r="10" spans="1:14" x14ac:dyDescent="0.25">
      <c r="A10" s="8">
        <v>6009</v>
      </c>
      <c r="B10" s="8" t="s">
        <v>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4</v>
      </c>
      <c r="J10" s="8">
        <v>1</v>
      </c>
      <c r="K10" s="8">
        <v>1</v>
      </c>
      <c r="L10" s="8">
        <v>1</v>
      </c>
      <c r="M10" s="8">
        <v>1</v>
      </c>
      <c r="N10" s="8">
        <f t="shared" si="0"/>
        <v>14</v>
      </c>
    </row>
    <row r="11" spans="1:14" x14ac:dyDescent="0.25">
      <c r="A11" s="8">
        <v>6010</v>
      </c>
      <c r="B11" s="8" t="s">
        <v>47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3</v>
      </c>
      <c r="J11" s="8">
        <v>1</v>
      </c>
      <c r="K11" s="8">
        <v>1</v>
      </c>
      <c r="L11" s="8">
        <v>1</v>
      </c>
      <c r="M11" s="8">
        <v>1</v>
      </c>
      <c r="N11" s="8">
        <f t="shared" si="0"/>
        <v>13</v>
      </c>
    </row>
    <row r="12" spans="1:14" x14ac:dyDescent="0.25">
      <c r="A12" s="8">
        <v>6011</v>
      </c>
      <c r="B12" s="8" t="s">
        <v>48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3</v>
      </c>
      <c r="J12" s="8">
        <v>1</v>
      </c>
      <c r="K12" s="8">
        <v>1</v>
      </c>
      <c r="L12" s="8">
        <v>1</v>
      </c>
      <c r="M12" s="8">
        <v>1</v>
      </c>
      <c r="N12" s="8">
        <f t="shared" si="0"/>
        <v>13</v>
      </c>
    </row>
    <row r="13" spans="1:14" x14ac:dyDescent="0.25">
      <c r="A13" s="8">
        <v>6012</v>
      </c>
      <c r="B13" s="8" t="s">
        <v>49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3</v>
      </c>
      <c r="J13" s="8">
        <v>1</v>
      </c>
      <c r="K13" s="8">
        <v>1</v>
      </c>
      <c r="L13" s="8">
        <v>1</v>
      </c>
      <c r="M13" s="8">
        <v>1</v>
      </c>
      <c r="N13" s="8">
        <f t="shared" si="0"/>
        <v>13</v>
      </c>
    </row>
    <row r="14" spans="1:14" x14ac:dyDescent="0.25">
      <c r="A14" s="8">
        <v>6013</v>
      </c>
      <c r="B14" s="8" t="s">
        <v>50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3</v>
      </c>
      <c r="J14" s="8">
        <v>1</v>
      </c>
      <c r="K14" s="8">
        <v>1</v>
      </c>
      <c r="L14" s="8">
        <v>1</v>
      </c>
      <c r="M14" s="8">
        <v>1</v>
      </c>
      <c r="N14" s="8">
        <f t="shared" si="0"/>
        <v>13</v>
      </c>
    </row>
    <row r="15" spans="1:14" x14ac:dyDescent="0.25">
      <c r="A15" s="8">
        <v>6014</v>
      </c>
      <c r="B15" s="8" t="s">
        <v>55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f t="shared" si="0"/>
        <v>11</v>
      </c>
    </row>
    <row r="16" spans="1:14" x14ac:dyDescent="0.25">
      <c r="A16" s="8">
        <v>6015</v>
      </c>
      <c r="B16" s="8" t="s">
        <v>56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3</v>
      </c>
      <c r="J16" s="8">
        <v>1</v>
      </c>
      <c r="K16" s="8">
        <v>1</v>
      </c>
      <c r="L16" s="8">
        <v>1</v>
      </c>
      <c r="M16" s="8">
        <v>1</v>
      </c>
      <c r="N16" s="8">
        <f t="shared" si="0"/>
        <v>13</v>
      </c>
    </row>
    <row r="17" spans="1:14" x14ac:dyDescent="0.25">
      <c r="A17" s="8">
        <v>6016</v>
      </c>
      <c r="B17" s="8" t="s">
        <v>57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4</v>
      </c>
      <c r="J17" s="8">
        <v>1</v>
      </c>
      <c r="K17" s="8">
        <v>1</v>
      </c>
      <c r="L17" s="8">
        <v>1</v>
      </c>
      <c r="M17" s="8">
        <v>1</v>
      </c>
      <c r="N17" s="8">
        <f t="shared" si="0"/>
        <v>14</v>
      </c>
    </row>
    <row r="18" spans="1:14" x14ac:dyDescent="0.25">
      <c r="A18" s="8">
        <v>6017</v>
      </c>
      <c r="B18" s="8" t="s">
        <v>58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4</v>
      </c>
      <c r="J18" s="8">
        <v>1</v>
      </c>
      <c r="K18" s="8">
        <v>1</v>
      </c>
      <c r="L18" s="8">
        <v>1</v>
      </c>
      <c r="M18" s="8">
        <v>1</v>
      </c>
      <c r="N18" s="8">
        <f t="shared" si="0"/>
        <v>14</v>
      </c>
    </row>
    <row r="19" spans="1:14" x14ac:dyDescent="0.25">
      <c r="A19" s="8">
        <v>6018</v>
      </c>
      <c r="B19" s="8" t="s">
        <v>59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2</v>
      </c>
      <c r="J19" s="8">
        <v>1</v>
      </c>
      <c r="K19" s="8">
        <v>1</v>
      </c>
      <c r="L19" s="8">
        <v>1</v>
      </c>
      <c r="M19" s="8">
        <v>1</v>
      </c>
      <c r="N19" s="8">
        <f t="shared" si="0"/>
        <v>12</v>
      </c>
    </row>
    <row r="20" spans="1:14" x14ac:dyDescent="0.25">
      <c r="A20" s="8">
        <v>6019</v>
      </c>
      <c r="B20" s="8" t="s">
        <v>60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4</v>
      </c>
      <c r="J20" s="8">
        <v>1</v>
      </c>
      <c r="K20" s="8">
        <v>1</v>
      </c>
      <c r="L20" s="8">
        <v>1</v>
      </c>
      <c r="M20" s="8">
        <v>1</v>
      </c>
      <c r="N20" s="8">
        <f t="shared" si="0"/>
        <v>14</v>
      </c>
    </row>
    <row r="21" spans="1:14" ht="15.75" customHeight="1" x14ac:dyDescent="0.25">
      <c r="A21" s="8">
        <v>6020</v>
      </c>
      <c r="B21" s="8" t="s">
        <v>65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3</v>
      </c>
      <c r="J21" s="8">
        <v>1</v>
      </c>
      <c r="K21" s="8">
        <v>1</v>
      </c>
      <c r="L21" s="8">
        <v>1</v>
      </c>
      <c r="M21" s="8">
        <v>1</v>
      </c>
      <c r="N21" s="8">
        <f t="shared" si="0"/>
        <v>13</v>
      </c>
    </row>
    <row r="22" spans="1:14" ht="15.75" customHeight="1" x14ac:dyDescent="0.25">
      <c r="A22" s="8">
        <v>6021</v>
      </c>
      <c r="B22" s="8" t="s">
        <v>44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3</v>
      </c>
      <c r="J22" s="8">
        <v>1</v>
      </c>
      <c r="K22" s="8">
        <v>1</v>
      </c>
      <c r="L22" s="8">
        <v>1</v>
      </c>
      <c r="M22" s="8">
        <v>1</v>
      </c>
      <c r="N22" s="8">
        <f t="shared" si="0"/>
        <v>13</v>
      </c>
    </row>
    <row r="23" spans="1:14" ht="15.75" customHeight="1" x14ac:dyDescent="0.25">
      <c r="A23" s="8">
        <v>6022</v>
      </c>
      <c r="B23" s="8" t="s">
        <v>67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3</v>
      </c>
      <c r="J23" s="8">
        <v>1</v>
      </c>
      <c r="K23" s="8">
        <v>1</v>
      </c>
      <c r="L23" s="8">
        <v>1</v>
      </c>
      <c r="M23" s="8">
        <v>1</v>
      </c>
      <c r="N23" s="8">
        <f t="shared" si="0"/>
        <v>13</v>
      </c>
    </row>
    <row r="24" spans="1:14" ht="15.75" customHeight="1" x14ac:dyDescent="0.25">
      <c r="A24" s="8">
        <v>6023</v>
      </c>
      <c r="B24" s="8" t="s">
        <v>70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4</v>
      </c>
      <c r="J24" s="8">
        <v>1</v>
      </c>
      <c r="K24" s="8">
        <v>1</v>
      </c>
      <c r="L24" s="8">
        <v>1</v>
      </c>
      <c r="M24" s="8">
        <v>1</v>
      </c>
      <c r="N24" s="8">
        <f t="shared" si="0"/>
        <v>14</v>
      </c>
    </row>
    <row r="25" spans="1:14" ht="15.75" customHeight="1" x14ac:dyDescent="0.25">
      <c r="A25" s="8">
        <v>6024</v>
      </c>
      <c r="B25" s="8" t="s">
        <v>71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3</v>
      </c>
      <c r="J25" s="8">
        <v>1</v>
      </c>
      <c r="K25" s="8">
        <v>1</v>
      </c>
      <c r="L25" s="8">
        <v>1</v>
      </c>
      <c r="M25" s="8">
        <v>1</v>
      </c>
      <c r="N25" s="8">
        <f t="shared" si="0"/>
        <v>13</v>
      </c>
    </row>
    <row r="26" spans="1:14" ht="15.75" customHeight="1" x14ac:dyDescent="0.25">
      <c r="A26" s="8">
        <v>6025</v>
      </c>
      <c r="B26" s="8" t="s">
        <v>71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3</v>
      </c>
      <c r="J26" s="8">
        <v>1</v>
      </c>
      <c r="K26" s="8">
        <v>1</v>
      </c>
      <c r="L26" s="8">
        <v>1</v>
      </c>
      <c r="M26" s="8">
        <v>1</v>
      </c>
      <c r="N26" s="8">
        <f t="shared" si="0"/>
        <v>13</v>
      </c>
    </row>
    <row r="27" spans="1:14" ht="15.75" customHeight="1" x14ac:dyDescent="0.25">
      <c r="A27" s="1">
        <v>6026</v>
      </c>
      <c r="B27" s="1" t="s">
        <v>75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3</v>
      </c>
      <c r="J27" s="1">
        <v>1</v>
      </c>
      <c r="K27" s="1">
        <v>1</v>
      </c>
      <c r="L27" s="1">
        <v>1</v>
      </c>
      <c r="M27" s="1">
        <v>1</v>
      </c>
      <c r="N27" s="1">
        <f t="shared" si="0"/>
        <v>13</v>
      </c>
    </row>
    <row r="28" spans="1:14" ht="15.75" customHeight="1" x14ac:dyDescent="0.25">
      <c r="A28" s="1">
        <v>6027</v>
      </c>
      <c r="B28" s="1" t="s">
        <v>77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3</v>
      </c>
      <c r="J28" s="1">
        <v>1</v>
      </c>
      <c r="K28" s="1">
        <v>1</v>
      </c>
      <c r="L28" s="1">
        <v>1</v>
      </c>
      <c r="M28" s="1">
        <v>1</v>
      </c>
      <c r="N28" s="1">
        <f t="shared" si="0"/>
        <v>13</v>
      </c>
    </row>
    <row r="29" spans="1:14" ht="15.75" customHeight="1" x14ac:dyDescent="0.25">
      <c r="A29" s="1">
        <v>6028</v>
      </c>
      <c r="B29" s="1" t="s">
        <v>78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2</v>
      </c>
      <c r="J29" s="1">
        <v>1</v>
      </c>
      <c r="K29" s="1">
        <v>1</v>
      </c>
      <c r="L29" s="1">
        <v>1</v>
      </c>
      <c r="M29" s="1">
        <v>1</v>
      </c>
      <c r="N29" s="1">
        <f t="shared" si="0"/>
        <v>12</v>
      </c>
    </row>
    <row r="30" spans="1:14" ht="15.75" customHeight="1" x14ac:dyDescent="0.25">
      <c r="A30" s="1">
        <v>6029</v>
      </c>
      <c r="B30" s="1" t="s">
        <v>79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4</v>
      </c>
      <c r="J30" s="1">
        <v>1</v>
      </c>
      <c r="K30" s="1">
        <v>1</v>
      </c>
      <c r="L30" s="1">
        <v>1</v>
      </c>
      <c r="M30" s="1">
        <v>1</v>
      </c>
      <c r="N30" s="1">
        <f t="shared" si="0"/>
        <v>14</v>
      </c>
    </row>
    <row r="31" spans="1:14" ht="15.75" customHeight="1" x14ac:dyDescent="0.25">
      <c r="A31" s="1">
        <v>6030</v>
      </c>
      <c r="B31" s="1" t="s">
        <v>80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2</v>
      </c>
      <c r="J31" s="1">
        <v>1</v>
      </c>
      <c r="K31" s="1">
        <v>1</v>
      </c>
      <c r="L31" s="1">
        <v>1</v>
      </c>
      <c r="M31" s="1">
        <v>1</v>
      </c>
      <c r="N31" s="1">
        <f t="shared" si="0"/>
        <v>12</v>
      </c>
    </row>
    <row r="32" spans="1:14" ht="15.75" customHeight="1" x14ac:dyDescent="0.25">
      <c r="A32" s="1">
        <v>6031</v>
      </c>
      <c r="B32" s="1" t="s">
        <v>81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7</v>
      </c>
      <c r="J32" s="1">
        <v>1</v>
      </c>
      <c r="K32" s="1">
        <v>1</v>
      </c>
      <c r="L32" s="1">
        <v>1</v>
      </c>
      <c r="M32" s="1">
        <v>1</v>
      </c>
      <c r="N32" s="1">
        <f t="shared" si="0"/>
        <v>17</v>
      </c>
    </row>
    <row r="33" spans="1:14" ht="15.75" customHeight="1" x14ac:dyDescent="0.25">
      <c r="A33" s="1">
        <v>6032</v>
      </c>
      <c r="B33" s="1" t="s">
        <v>80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2</v>
      </c>
      <c r="J33" s="1">
        <v>1</v>
      </c>
      <c r="K33" s="1">
        <v>1</v>
      </c>
      <c r="L33" s="1">
        <v>1</v>
      </c>
      <c r="M33" s="1">
        <v>1</v>
      </c>
      <c r="N33" s="1">
        <f t="shared" si="0"/>
        <v>12</v>
      </c>
    </row>
    <row r="34" spans="1:14" ht="15.75" customHeight="1" x14ac:dyDescent="0.25">
      <c r="A34" s="1">
        <v>6033</v>
      </c>
      <c r="B34" s="1" t="s">
        <v>82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3</v>
      </c>
      <c r="J34" s="1">
        <v>1</v>
      </c>
      <c r="K34" s="1">
        <v>1</v>
      </c>
      <c r="L34" s="1">
        <v>1</v>
      </c>
      <c r="M34" s="1">
        <v>1</v>
      </c>
      <c r="N34" s="1">
        <f t="shared" si="0"/>
        <v>13</v>
      </c>
    </row>
    <row r="35" spans="1:14" ht="15.75" customHeight="1" x14ac:dyDescent="0.25">
      <c r="A35" s="1">
        <v>6034</v>
      </c>
      <c r="B35" s="1" t="s">
        <v>83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3</v>
      </c>
      <c r="J35" s="1">
        <v>1</v>
      </c>
      <c r="K35" s="1">
        <v>1</v>
      </c>
      <c r="L35" s="1">
        <v>1</v>
      </c>
      <c r="M35" s="1">
        <v>1</v>
      </c>
      <c r="N35" s="1">
        <f t="shared" si="0"/>
        <v>13</v>
      </c>
    </row>
    <row r="36" spans="1:14" ht="15.75" customHeight="1" x14ac:dyDescent="0.25">
      <c r="A36" s="1">
        <v>6035</v>
      </c>
      <c r="B36" s="1" t="s">
        <v>84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f t="shared" si="0"/>
        <v>13</v>
      </c>
    </row>
    <row r="37" spans="1:14" ht="15.75" customHeight="1" x14ac:dyDescent="0.25">
      <c r="A37" s="1">
        <v>6036</v>
      </c>
      <c r="B37" s="1" t="s">
        <v>85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3</v>
      </c>
      <c r="J37" s="1">
        <v>1</v>
      </c>
      <c r="K37" s="1">
        <v>1</v>
      </c>
      <c r="L37" s="1">
        <v>1</v>
      </c>
      <c r="M37" s="1">
        <v>1</v>
      </c>
      <c r="N37" s="1">
        <f t="shared" si="0"/>
        <v>13</v>
      </c>
    </row>
    <row r="38" spans="1:14" ht="15.75" customHeight="1" x14ac:dyDescent="0.25">
      <c r="A38" s="1">
        <v>6037</v>
      </c>
      <c r="B38" s="1" t="s">
        <v>59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3</v>
      </c>
      <c r="J38" s="1">
        <v>1</v>
      </c>
      <c r="K38" s="1">
        <v>1</v>
      </c>
      <c r="L38" s="1">
        <v>1</v>
      </c>
      <c r="M38" s="1">
        <v>1</v>
      </c>
      <c r="N38" s="1">
        <f t="shared" si="0"/>
        <v>13</v>
      </c>
    </row>
    <row r="39" spans="1:14" ht="15.75" customHeight="1" x14ac:dyDescent="0.25">
      <c r="A39" s="1">
        <v>6038</v>
      </c>
      <c r="B39" s="1" t="s">
        <v>86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3</v>
      </c>
      <c r="J39" s="1">
        <v>1</v>
      </c>
      <c r="K39" s="1">
        <v>1</v>
      </c>
      <c r="L39" s="1">
        <v>1</v>
      </c>
      <c r="M39" s="1">
        <v>1</v>
      </c>
      <c r="N39" s="1">
        <f t="shared" si="0"/>
        <v>13</v>
      </c>
    </row>
    <row r="40" spans="1:14" ht="15.75" customHeight="1" x14ac:dyDescent="0.25">
      <c r="A40" s="1">
        <v>6039</v>
      </c>
      <c r="B40" s="1" t="s">
        <v>87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3</v>
      </c>
      <c r="J40" s="1">
        <v>1</v>
      </c>
      <c r="K40" s="1">
        <v>1</v>
      </c>
      <c r="L40" s="1">
        <v>1</v>
      </c>
      <c r="M40" s="1">
        <v>1</v>
      </c>
      <c r="N40" s="1">
        <f t="shared" si="0"/>
        <v>13</v>
      </c>
    </row>
    <row r="41" spans="1:14" ht="15.75" customHeight="1" x14ac:dyDescent="0.25">
      <c r="A41" s="1">
        <v>6040</v>
      </c>
      <c r="B41" s="1" t="s">
        <v>89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3</v>
      </c>
      <c r="J41" s="1">
        <v>1</v>
      </c>
      <c r="K41" s="1">
        <v>1</v>
      </c>
      <c r="L41" s="1">
        <v>1</v>
      </c>
      <c r="M41" s="1">
        <v>1</v>
      </c>
      <c r="N41" s="1">
        <f t="shared" si="0"/>
        <v>13</v>
      </c>
    </row>
    <row r="42" spans="1:14" ht="15.75" customHeight="1" x14ac:dyDescent="0.25">
      <c r="A42" s="1">
        <v>6041</v>
      </c>
      <c r="B42" s="1" t="s">
        <v>91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3</v>
      </c>
      <c r="J42" s="1">
        <v>1</v>
      </c>
      <c r="K42" s="1">
        <v>1</v>
      </c>
      <c r="L42" s="1">
        <v>1</v>
      </c>
      <c r="M42" s="1">
        <v>1</v>
      </c>
      <c r="N42" s="1">
        <f t="shared" si="0"/>
        <v>13</v>
      </c>
    </row>
    <row r="43" spans="1:14" ht="15.75" customHeight="1" x14ac:dyDescent="0.25">
      <c r="A43" s="1">
        <v>6042</v>
      </c>
      <c r="B43" s="1" t="s">
        <v>44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3</v>
      </c>
      <c r="J43" s="1">
        <v>1</v>
      </c>
      <c r="K43" s="1">
        <v>1</v>
      </c>
      <c r="L43" s="1">
        <v>1</v>
      </c>
      <c r="M43" s="1">
        <v>1</v>
      </c>
      <c r="N43" s="1">
        <f t="shared" si="0"/>
        <v>13</v>
      </c>
    </row>
    <row r="44" spans="1:14" ht="15.75" customHeight="1" x14ac:dyDescent="0.25">
      <c r="A44" s="1">
        <v>6043</v>
      </c>
      <c r="B44" s="1" t="s">
        <v>75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1</v>
      </c>
      <c r="K44" s="1">
        <v>1</v>
      </c>
      <c r="L44" s="1">
        <v>1</v>
      </c>
      <c r="M44" s="1">
        <v>1</v>
      </c>
      <c r="N44" s="1">
        <f t="shared" si="0"/>
        <v>13</v>
      </c>
    </row>
    <row r="45" spans="1:14" ht="15.75" customHeight="1" x14ac:dyDescent="0.25">
      <c r="A45" s="1">
        <v>6044</v>
      </c>
      <c r="B45" s="1" t="s">
        <v>94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3</v>
      </c>
      <c r="J45" s="1">
        <v>1</v>
      </c>
      <c r="K45" s="1">
        <v>1</v>
      </c>
      <c r="L45" s="1">
        <v>1</v>
      </c>
      <c r="M45" s="1">
        <v>1</v>
      </c>
      <c r="N45" s="1">
        <f t="shared" si="0"/>
        <v>13</v>
      </c>
    </row>
    <row r="46" spans="1:14" ht="15.75" customHeight="1" x14ac:dyDescent="0.25">
      <c r="A46" s="1">
        <v>6045</v>
      </c>
      <c r="B46" s="1" t="s">
        <v>95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3</v>
      </c>
      <c r="J46" s="1">
        <v>1</v>
      </c>
      <c r="K46" s="1">
        <v>1</v>
      </c>
      <c r="L46" s="1">
        <v>1</v>
      </c>
      <c r="M46" s="1">
        <v>1</v>
      </c>
      <c r="N46" s="1">
        <f t="shared" si="0"/>
        <v>13</v>
      </c>
    </row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s="1" t="s">
        <v>1</v>
      </c>
      <c r="B1" s="1" t="s">
        <v>4</v>
      </c>
    </row>
    <row r="2" spans="1:2" x14ac:dyDescent="0.25">
      <c r="A2" s="1">
        <v>6001</v>
      </c>
      <c r="B2" s="1" t="s">
        <v>27</v>
      </c>
    </row>
    <row r="3" spans="1:2" x14ac:dyDescent="0.25">
      <c r="A3" s="1">
        <v>6002</v>
      </c>
      <c r="B3" s="1" t="s">
        <v>35</v>
      </c>
    </row>
    <row r="4" spans="1:2" x14ac:dyDescent="0.25">
      <c r="A4" s="1">
        <v>6003</v>
      </c>
      <c r="B4" s="1" t="s">
        <v>38</v>
      </c>
    </row>
    <row r="5" spans="1:2" x14ac:dyDescent="0.25">
      <c r="A5" s="1">
        <v>6004</v>
      </c>
      <c r="B5" s="1" t="s">
        <v>42</v>
      </c>
    </row>
    <row r="6" spans="1:2" x14ac:dyDescent="0.25">
      <c r="A6" s="1">
        <v>6005</v>
      </c>
      <c r="B6" s="1" t="s">
        <v>43</v>
      </c>
    </row>
    <row r="7" spans="1:2" x14ac:dyDescent="0.25">
      <c r="A7" s="1">
        <v>6006</v>
      </c>
      <c r="B7" s="1" t="s">
        <v>44</v>
      </c>
    </row>
    <row r="8" spans="1:2" x14ac:dyDescent="0.25">
      <c r="A8" s="1">
        <v>6007</v>
      </c>
      <c r="B8" s="1" t="s">
        <v>45</v>
      </c>
    </row>
    <row r="9" spans="1:2" x14ac:dyDescent="0.25">
      <c r="A9" s="1">
        <v>6008</v>
      </c>
      <c r="B9" s="1" t="s">
        <v>44</v>
      </c>
    </row>
    <row r="10" spans="1:2" x14ac:dyDescent="0.25">
      <c r="A10" s="1">
        <v>6009</v>
      </c>
      <c r="B10" s="1" t="s">
        <v>46</v>
      </c>
    </row>
    <row r="11" spans="1:2" x14ac:dyDescent="0.25">
      <c r="A11" s="1">
        <v>6010</v>
      </c>
      <c r="B11" s="1" t="s">
        <v>47</v>
      </c>
    </row>
    <row r="12" spans="1:2" x14ac:dyDescent="0.25">
      <c r="A12" s="1">
        <v>6011</v>
      </c>
      <c r="B12" s="1" t="s">
        <v>48</v>
      </c>
    </row>
    <row r="13" spans="1:2" x14ac:dyDescent="0.25">
      <c r="A13" s="1">
        <v>6012</v>
      </c>
      <c r="B13" s="1" t="s">
        <v>49</v>
      </c>
    </row>
    <row r="14" spans="1:2" x14ac:dyDescent="0.25">
      <c r="A14" s="1">
        <v>6013</v>
      </c>
      <c r="B14" s="1" t="s">
        <v>50</v>
      </c>
    </row>
    <row r="15" spans="1:2" x14ac:dyDescent="0.25">
      <c r="A15" s="1">
        <v>6014</v>
      </c>
      <c r="B15" s="1" t="s">
        <v>55</v>
      </c>
    </row>
    <row r="16" spans="1:2" x14ac:dyDescent="0.25">
      <c r="A16" s="1">
        <v>6015</v>
      </c>
      <c r="B16" s="1" t="s">
        <v>56</v>
      </c>
    </row>
    <row r="17" spans="1:2" x14ac:dyDescent="0.25">
      <c r="A17" s="1">
        <v>6016</v>
      </c>
      <c r="B17" s="1" t="s">
        <v>57</v>
      </c>
    </row>
    <row r="18" spans="1:2" x14ac:dyDescent="0.25">
      <c r="A18" s="1">
        <v>6017</v>
      </c>
      <c r="B18" s="1" t="s">
        <v>58</v>
      </c>
    </row>
    <row r="19" spans="1:2" x14ac:dyDescent="0.25">
      <c r="A19" s="1">
        <v>6018</v>
      </c>
      <c r="B19" s="1" t="s">
        <v>59</v>
      </c>
    </row>
    <row r="20" spans="1:2" x14ac:dyDescent="0.25">
      <c r="A20" s="1">
        <v>6019</v>
      </c>
      <c r="B20" s="1" t="s">
        <v>60</v>
      </c>
    </row>
    <row r="21" spans="1:2" ht="15.75" customHeight="1" x14ac:dyDescent="0.25">
      <c r="A21" s="1">
        <v>6020</v>
      </c>
      <c r="B21" s="1" t="s">
        <v>65</v>
      </c>
    </row>
    <row r="22" spans="1:2" ht="15.75" customHeight="1" x14ac:dyDescent="0.25">
      <c r="A22" s="1">
        <v>6021</v>
      </c>
      <c r="B22" s="1" t="s">
        <v>44</v>
      </c>
    </row>
    <row r="23" spans="1:2" ht="15.75" customHeight="1" x14ac:dyDescent="0.25">
      <c r="A23" s="1">
        <v>6022</v>
      </c>
      <c r="B23" s="1" t="s">
        <v>67</v>
      </c>
    </row>
    <row r="24" spans="1:2" ht="15.75" customHeight="1" x14ac:dyDescent="0.25">
      <c r="A24" s="1">
        <v>6023</v>
      </c>
      <c r="B24" s="1" t="s">
        <v>70</v>
      </c>
    </row>
    <row r="25" spans="1:2" ht="15.75" customHeight="1" x14ac:dyDescent="0.25">
      <c r="A25" s="1">
        <v>6024</v>
      </c>
      <c r="B25" s="1" t="s">
        <v>71</v>
      </c>
    </row>
    <row r="26" spans="1:2" ht="15.75" customHeight="1" x14ac:dyDescent="0.25">
      <c r="A26" s="1">
        <v>6025</v>
      </c>
      <c r="B26" s="1" t="s">
        <v>71</v>
      </c>
    </row>
    <row r="27" spans="1:2" ht="15.75" customHeight="1" x14ac:dyDescent="0.25">
      <c r="A27" s="1">
        <v>6026</v>
      </c>
      <c r="B27" s="1" t="s">
        <v>75</v>
      </c>
    </row>
    <row r="28" spans="1:2" ht="15.75" customHeight="1" x14ac:dyDescent="0.25">
      <c r="A28" s="1">
        <v>6027</v>
      </c>
      <c r="B28" s="1" t="s">
        <v>77</v>
      </c>
    </row>
    <row r="29" spans="1:2" ht="15.75" customHeight="1" x14ac:dyDescent="0.25">
      <c r="A29" s="1">
        <v>6028</v>
      </c>
      <c r="B29" s="1" t="s">
        <v>78</v>
      </c>
    </row>
    <row r="30" spans="1:2" ht="15.75" customHeight="1" x14ac:dyDescent="0.25">
      <c r="A30" s="1">
        <v>6029</v>
      </c>
      <c r="B30" s="1" t="s">
        <v>79</v>
      </c>
    </row>
    <row r="31" spans="1:2" ht="15.75" customHeight="1" x14ac:dyDescent="0.25">
      <c r="A31" s="1">
        <v>6030</v>
      </c>
      <c r="B31" s="1" t="s">
        <v>80</v>
      </c>
    </row>
    <row r="32" spans="1:2" ht="15.75" customHeight="1" x14ac:dyDescent="0.25">
      <c r="A32" s="1">
        <v>6031</v>
      </c>
      <c r="B32" s="1" t="s">
        <v>81</v>
      </c>
    </row>
    <row r="33" spans="1:2" ht="15.75" customHeight="1" x14ac:dyDescent="0.25">
      <c r="A33" s="1">
        <v>6032</v>
      </c>
      <c r="B33" s="1" t="s">
        <v>80</v>
      </c>
    </row>
    <row r="34" spans="1:2" ht="15.75" customHeight="1" x14ac:dyDescent="0.25">
      <c r="A34" s="1">
        <v>6033</v>
      </c>
      <c r="B34" s="1" t="s">
        <v>82</v>
      </c>
    </row>
    <row r="35" spans="1:2" ht="15.75" customHeight="1" x14ac:dyDescent="0.25">
      <c r="A35" s="1">
        <v>6034</v>
      </c>
      <c r="B35" s="1" t="s">
        <v>83</v>
      </c>
    </row>
    <row r="36" spans="1:2" ht="15.75" customHeight="1" x14ac:dyDescent="0.25">
      <c r="A36" s="1">
        <v>6035</v>
      </c>
      <c r="B36" s="1" t="s">
        <v>84</v>
      </c>
    </row>
    <row r="37" spans="1:2" ht="15.75" customHeight="1" x14ac:dyDescent="0.25">
      <c r="A37" s="1">
        <v>6036</v>
      </c>
      <c r="B37" s="1" t="s">
        <v>85</v>
      </c>
    </row>
    <row r="38" spans="1:2" ht="15.75" customHeight="1" x14ac:dyDescent="0.25">
      <c r="A38" s="1">
        <v>6037</v>
      </c>
      <c r="B38" s="1" t="s">
        <v>59</v>
      </c>
    </row>
    <row r="39" spans="1:2" ht="15.75" customHeight="1" x14ac:dyDescent="0.25">
      <c r="A39" s="1">
        <v>6038</v>
      </c>
      <c r="B39" s="1" t="s">
        <v>86</v>
      </c>
    </row>
    <row r="40" spans="1:2" ht="15.75" customHeight="1" x14ac:dyDescent="0.25">
      <c r="A40" s="1">
        <v>6039</v>
      </c>
      <c r="B40" s="1" t="s">
        <v>87</v>
      </c>
    </row>
    <row r="41" spans="1:2" ht="15.75" customHeight="1" x14ac:dyDescent="0.25">
      <c r="A41" s="1">
        <v>6040</v>
      </c>
      <c r="B41" s="1" t="s">
        <v>89</v>
      </c>
    </row>
    <row r="42" spans="1:2" ht="15.75" customHeight="1" x14ac:dyDescent="0.25">
      <c r="A42" s="1">
        <v>6041</v>
      </c>
      <c r="B42" s="1" t="s">
        <v>91</v>
      </c>
    </row>
    <row r="43" spans="1:2" ht="15.75" customHeight="1" x14ac:dyDescent="0.25">
      <c r="A43" s="1">
        <v>6042</v>
      </c>
      <c r="B43" s="1" t="s">
        <v>44</v>
      </c>
    </row>
    <row r="44" spans="1:2" ht="15.75" customHeight="1" x14ac:dyDescent="0.25">
      <c r="A44" s="1">
        <v>6043</v>
      </c>
      <c r="B44" s="1" t="s">
        <v>75</v>
      </c>
    </row>
    <row r="45" spans="1:2" ht="15.75" customHeight="1" x14ac:dyDescent="0.25">
      <c r="A45" s="1">
        <v>6044</v>
      </c>
      <c r="B45" s="1" t="s">
        <v>94</v>
      </c>
    </row>
    <row r="46" spans="1:2" ht="15.75" customHeight="1" x14ac:dyDescent="0.25">
      <c r="A46" s="1">
        <v>6045</v>
      </c>
      <c r="B46" s="1" t="s">
        <v>95</v>
      </c>
    </row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1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46.7109375" customWidth="1"/>
    <col min="4" max="4" width="17.5703125" customWidth="1"/>
    <col min="5" max="5" width="14.7109375" customWidth="1"/>
    <col min="6" max="6" width="9.140625" customWidth="1"/>
    <col min="7" max="7" width="9.28515625" customWidth="1"/>
    <col min="8" max="8" width="5.28515625" customWidth="1"/>
    <col min="9" max="9" width="5" customWidth="1"/>
    <col min="10" max="26" width="10.7109375" customWidth="1"/>
  </cols>
  <sheetData>
    <row r="1" spans="1:9" x14ac:dyDescent="0.25">
      <c r="A1" s="1" t="s">
        <v>17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25">
      <c r="A2" s="1" t="str">
        <f t="shared" ref="A2:A46" si="0">B2&amp;I2</f>
        <v>60281</v>
      </c>
      <c r="B2" s="1">
        <v>6028</v>
      </c>
      <c r="C2" s="1" t="s">
        <v>112</v>
      </c>
      <c r="D2" s="10" t="s">
        <v>113</v>
      </c>
      <c r="E2" s="11" t="s">
        <v>116</v>
      </c>
      <c r="F2" s="1">
        <v>70</v>
      </c>
      <c r="G2" s="1">
        <v>24</v>
      </c>
      <c r="H2" s="1" t="s">
        <v>117</v>
      </c>
      <c r="I2" s="1">
        <v>1</v>
      </c>
    </row>
    <row r="3" spans="1:9" x14ac:dyDescent="0.25">
      <c r="A3" s="1" t="str">
        <f t="shared" si="0"/>
        <v>60401</v>
      </c>
      <c r="B3" s="1">
        <v>6040</v>
      </c>
      <c r="C3" s="1" t="s">
        <v>89</v>
      </c>
      <c r="D3" s="1" t="s">
        <v>118</v>
      </c>
      <c r="E3" s="11" t="s">
        <v>119</v>
      </c>
      <c r="F3" s="1">
        <v>70</v>
      </c>
      <c r="H3" s="1" t="s">
        <v>117</v>
      </c>
      <c r="I3" s="1">
        <v>1</v>
      </c>
    </row>
    <row r="4" spans="1:9" x14ac:dyDescent="0.25">
      <c r="A4" s="1" t="str">
        <f t="shared" si="0"/>
        <v>60032</v>
      </c>
      <c r="B4" s="1">
        <v>6003</v>
      </c>
      <c r="C4" s="1" t="s">
        <v>120</v>
      </c>
      <c r="D4" s="1" t="s">
        <v>121</v>
      </c>
      <c r="E4" s="11" t="s">
        <v>122</v>
      </c>
      <c r="F4" s="1">
        <v>50</v>
      </c>
      <c r="G4" s="1">
        <v>10</v>
      </c>
      <c r="H4" s="1" t="s">
        <v>117</v>
      </c>
      <c r="I4" s="1">
        <v>2</v>
      </c>
    </row>
    <row r="5" spans="1:9" x14ac:dyDescent="0.25">
      <c r="A5" s="1" t="str">
        <f t="shared" si="0"/>
        <v>60053</v>
      </c>
      <c r="B5" s="1">
        <v>6005</v>
      </c>
      <c r="C5" s="1" t="s">
        <v>120</v>
      </c>
      <c r="D5" s="1" t="s">
        <v>123</v>
      </c>
      <c r="E5" s="11" t="s">
        <v>124</v>
      </c>
      <c r="F5" s="1">
        <v>70</v>
      </c>
      <c r="G5" s="1">
        <v>24</v>
      </c>
      <c r="H5" s="1" t="s">
        <v>117</v>
      </c>
      <c r="I5" s="1">
        <v>3</v>
      </c>
    </row>
    <row r="6" spans="1:9" x14ac:dyDescent="0.25">
      <c r="A6" s="1" t="str">
        <f t="shared" si="0"/>
        <v>60314</v>
      </c>
      <c r="B6" s="1">
        <v>6031</v>
      </c>
      <c r="C6" s="1" t="s">
        <v>81</v>
      </c>
      <c r="D6" s="1" t="s">
        <v>123</v>
      </c>
      <c r="E6" s="11" t="s">
        <v>125</v>
      </c>
      <c r="F6" s="1">
        <v>70</v>
      </c>
      <c r="G6" s="1">
        <v>24</v>
      </c>
      <c r="H6" s="1" t="s">
        <v>117</v>
      </c>
      <c r="I6" s="1">
        <v>4</v>
      </c>
    </row>
    <row r="7" spans="1:9" x14ac:dyDescent="0.25">
      <c r="A7" s="1" t="str">
        <f t="shared" si="0"/>
        <v>60414</v>
      </c>
      <c r="B7" s="1">
        <v>6041</v>
      </c>
      <c r="C7" s="1" t="s">
        <v>126</v>
      </c>
      <c r="D7" s="1" t="s">
        <v>127</v>
      </c>
      <c r="E7" s="11" t="s">
        <v>128</v>
      </c>
      <c r="F7" s="1">
        <v>70</v>
      </c>
      <c r="H7" s="1" t="s">
        <v>117</v>
      </c>
      <c r="I7" s="1">
        <v>4</v>
      </c>
    </row>
    <row r="8" spans="1:9" x14ac:dyDescent="0.25">
      <c r="A8" s="1" t="str">
        <f t="shared" si="0"/>
        <v>60325</v>
      </c>
      <c r="B8" s="1">
        <v>6032</v>
      </c>
      <c r="C8" s="1" t="s">
        <v>129</v>
      </c>
      <c r="D8" s="1" t="s">
        <v>130</v>
      </c>
      <c r="E8" s="11" t="s">
        <v>131</v>
      </c>
      <c r="F8" s="1">
        <v>50</v>
      </c>
      <c r="G8" s="1">
        <v>10</v>
      </c>
      <c r="H8" s="1" t="s">
        <v>117</v>
      </c>
      <c r="I8" s="1">
        <v>5</v>
      </c>
    </row>
    <row r="9" spans="1:9" x14ac:dyDescent="0.25">
      <c r="A9" s="1" t="str">
        <f t="shared" si="0"/>
        <v>60306</v>
      </c>
      <c r="B9" s="1">
        <v>6030</v>
      </c>
      <c r="C9" s="1" t="s">
        <v>129</v>
      </c>
      <c r="D9" s="1" t="s">
        <v>132</v>
      </c>
      <c r="E9" s="11" t="s">
        <v>133</v>
      </c>
      <c r="F9" s="1">
        <v>50</v>
      </c>
      <c r="G9" s="1">
        <v>10</v>
      </c>
      <c r="H9" s="1" t="s">
        <v>117</v>
      </c>
      <c r="I9" s="1">
        <v>6</v>
      </c>
    </row>
    <row r="10" spans="1:9" x14ac:dyDescent="0.25">
      <c r="A10" s="1" t="str">
        <f t="shared" si="0"/>
        <v>60067</v>
      </c>
      <c r="B10" s="1">
        <v>6006</v>
      </c>
      <c r="C10" s="1" t="s">
        <v>44</v>
      </c>
      <c r="D10" s="1" t="s">
        <v>113</v>
      </c>
      <c r="E10" s="11" t="s">
        <v>139</v>
      </c>
      <c r="F10" s="1">
        <v>70</v>
      </c>
      <c r="G10" s="1">
        <v>24</v>
      </c>
      <c r="H10" s="1" t="s">
        <v>140</v>
      </c>
      <c r="I10" s="1">
        <v>7</v>
      </c>
    </row>
    <row r="11" spans="1:9" x14ac:dyDescent="0.25">
      <c r="A11" s="1" t="str">
        <f t="shared" si="0"/>
        <v>60218</v>
      </c>
      <c r="B11" s="1">
        <v>6021</v>
      </c>
      <c r="C11" s="1" t="s">
        <v>44</v>
      </c>
      <c r="D11" s="1" t="s">
        <v>141</v>
      </c>
      <c r="E11" s="11" t="s">
        <v>142</v>
      </c>
      <c r="F11" s="1">
        <v>70</v>
      </c>
      <c r="G11" s="1">
        <v>24</v>
      </c>
      <c r="H11" s="1" t="s">
        <v>140</v>
      </c>
      <c r="I11" s="1">
        <v>8</v>
      </c>
    </row>
    <row r="12" spans="1:9" x14ac:dyDescent="0.25">
      <c r="A12" s="1" t="str">
        <f t="shared" si="0"/>
        <v>60209</v>
      </c>
      <c r="B12" s="1">
        <v>6020</v>
      </c>
      <c r="C12" s="1" t="s">
        <v>65</v>
      </c>
      <c r="D12" s="1" t="s">
        <v>121</v>
      </c>
      <c r="E12" s="11" t="s">
        <v>132</v>
      </c>
      <c r="F12" s="1">
        <v>50</v>
      </c>
      <c r="G12" s="1">
        <v>10</v>
      </c>
      <c r="H12" s="1" t="s">
        <v>140</v>
      </c>
      <c r="I12" s="1">
        <v>9</v>
      </c>
    </row>
    <row r="13" spans="1:9" x14ac:dyDescent="0.25">
      <c r="A13" s="1" t="str">
        <f t="shared" si="0"/>
        <v>602610</v>
      </c>
      <c r="B13" s="1">
        <v>6026</v>
      </c>
      <c r="C13" s="1" t="s">
        <v>143</v>
      </c>
      <c r="D13" s="1" t="s">
        <v>123</v>
      </c>
      <c r="E13" s="11" t="s">
        <v>124</v>
      </c>
      <c r="F13" s="1">
        <v>70</v>
      </c>
      <c r="G13" s="1">
        <v>24</v>
      </c>
      <c r="H13" s="1" t="s">
        <v>140</v>
      </c>
      <c r="I13" s="1">
        <v>10</v>
      </c>
    </row>
    <row r="14" spans="1:9" x14ac:dyDescent="0.25">
      <c r="A14" s="1" t="str">
        <f t="shared" si="0"/>
        <v>601211</v>
      </c>
      <c r="B14" s="1">
        <v>6012</v>
      </c>
      <c r="C14" s="1" t="s">
        <v>49</v>
      </c>
      <c r="D14" s="1" t="s">
        <v>127</v>
      </c>
      <c r="E14" s="11" t="s">
        <v>131</v>
      </c>
      <c r="F14" s="1">
        <v>70</v>
      </c>
      <c r="G14" s="1">
        <v>24</v>
      </c>
      <c r="H14" s="1" t="s">
        <v>140</v>
      </c>
      <c r="I14" s="1">
        <v>11</v>
      </c>
    </row>
    <row r="15" spans="1:9" x14ac:dyDescent="0.25">
      <c r="A15" s="1" t="str">
        <f t="shared" si="0"/>
        <v>604311</v>
      </c>
      <c r="B15" s="1">
        <v>6043</v>
      </c>
      <c r="C15" s="1" t="s">
        <v>143</v>
      </c>
      <c r="D15" s="1" t="s">
        <v>142</v>
      </c>
      <c r="E15" s="11" t="s">
        <v>144</v>
      </c>
      <c r="F15" s="1">
        <v>70</v>
      </c>
      <c r="H15" s="1" t="s">
        <v>140</v>
      </c>
      <c r="I15" s="1">
        <v>11</v>
      </c>
    </row>
    <row r="16" spans="1:9" x14ac:dyDescent="0.25">
      <c r="A16" s="1" t="str">
        <f t="shared" si="0"/>
        <v>600212</v>
      </c>
      <c r="B16" s="1">
        <v>6002</v>
      </c>
      <c r="C16" s="1" t="s">
        <v>76</v>
      </c>
      <c r="D16" s="1" t="s">
        <v>132</v>
      </c>
      <c r="E16" s="10" t="s">
        <v>119</v>
      </c>
      <c r="F16" s="1">
        <v>70</v>
      </c>
      <c r="G16" s="1">
        <v>24</v>
      </c>
      <c r="H16" s="1" t="s">
        <v>140</v>
      </c>
      <c r="I16" s="1">
        <v>12</v>
      </c>
    </row>
    <row r="17" spans="1:9" x14ac:dyDescent="0.25">
      <c r="A17" s="1" t="str">
        <f t="shared" si="0"/>
        <v>603413</v>
      </c>
      <c r="B17" s="1">
        <v>6034</v>
      </c>
      <c r="C17" s="1" t="s">
        <v>76</v>
      </c>
      <c r="D17" s="1" t="s">
        <v>148</v>
      </c>
      <c r="E17" s="11" t="s">
        <v>149</v>
      </c>
      <c r="F17" s="1">
        <v>70</v>
      </c>
      <c r="G17" s="1">
        <v>24</v>
      </c>
      <c r="H17" s="1" t="s">
        <v>140</v>
      </c>
      <c r="I17" s="1">
        <v>13</v>
      </c>
    </row>
    <row r="18" spans="1:9" x14ac:dyDescent="0.25">
      <c r="A18" s="1" t="str">
        <f t="shared" si="0"/>
        <v>602214</v>
      </c>
      <c r="B18" s="1">
        <v>6022</v>
      </c>
      <c r="C18" s="1" t="s">
        <v>150</v>
      </c>
      <c r="D18" s="1" t="s">
        <v>113</v>
      </c>
      <c r="E18" s="11" t="s">
        <v>139</v>
      </c>
      <c r="F18" s="1">
        <v>70</v>
      </c>
      <c r="G18" s="1">
        <v>24</v>
      </c>
      <c r="H18" s="1" t="s">
        <v>151</v>
      </c>
      <c r="I18" s="1">
        <v>14</v>
      </c>
    </row>
    <row r="19" spans="1:9" x14ac:dyDescent="0.25">
      <c r="A19" s="1" t="str">
        <f t="shared" si="0"/>
        <v>603315</v>
      </c>
      <c r="B19" s="1">
        <v>6033</v>
      </c>
      <c r="C19" s="1" t="s">
        <v>152</v>
      </c>
      <c r="D19" s="10" t="s">
        <v>153</v>
      </c>
      <c r="E19" s="11" t="s">
        <v>116</v>
      </c>
      <c r="F19" s="1">
        <v>70</v>
      </c>
      <c r="G19" s="1">
        <v>24</v>
      </c>
      <c r="H19" s="1" t="s">
        <v>151</v>
      </c>
      <c r="I19" s="1">
        <v>15</v>
      </c>
    </row>
    <row r="20" spans="1:9" x14ac:dyDescent="0.25">
      <c r="A20" s="1" t="str">
        <f t="shared" si="0"/>
        <v>604216</v>
      </c>
      <c r="B20" s="1">
        <v>6042</v>
      </c>
      <c r="C20" s="1" t="s">
        <v>44</v>
      </c>
      <c r="D20" s="1" t="s">
        <v>154</v>
      </c>
      <c r="E20" s="11" t="s">
        <v>142</v>
      </c>
      <c r="F20" s="1">
        <v>50</v>
      </c>
      <c r="G20" s="1">
        <v>10</v>
      </c>
      <c r="H20" s="1" t="s">
        <v>151</v>
      </c>
      <c r="I20" s="1">
        <v>16</v>
      </c>
    </row>
    <row r="21" spans="1:9" ht="15.75" customHeight="1" x14ac:dyDescent="0.25">
      <c r="A21" s="1" t="str">
        <f t="shared" si="0"/>
        <v>600817</v>
      </c>
      <c r="B21" s="1">
        <v>6008</v>
      </c>
      <c r="C21" s="1" t="s">
        <v>44</v>
      </c>
      <c r="D21" s="1" t="s">
        <v>155</v>
      </c>
      <c r="E21" s="11" t="s">
        <v>124</v>
      </c>
      <c r="F21" s="1">
        <v>50</v>
      </c>
      <c r="G21" s="1">
        <v>10</v>
      </c>
      <c r="H21" s="1" t="s">
        <v>151</v>
      </c>
      <c r="I21" s="1">
        <v>17</v>
      </c>
    </row>
    <row r="22" spans="1:9" ht="15.75" customHeight="1" x14ac:dyDescent="0.25">
      <c r="A22" s="1" t="str">
        <f t="shared" si="0"/>
        <v>601518</v>
      </c>
      <c r="B22" s="1">
        <v>6015</v>
      </c>
      <c r="C22" s="1" t="s">
        <v>156</v>
      </c>
      <c r="D22" s="1" t="s">
        <v>139</v>
      </c>
      <c r="E22" s="11" t="s">
        <v>132</v>
      </c>
      <c r="F22" s="1">
        <v>70</v>
      </c>
      <c r="G22" s="1">
        <v>24</v>
      </c>
      <c r="H22" s="1" t="s">
        <v>151</v>
      </c>
      <c r="I22" s="1">
        <v>18</v>
      </c>
    </row>
    <row r="23" spans="1:9" ht="15.75" customHeight="1" x14ac:dyDescent="0.25">
      <c r="A23" s="1" t="str">
        <f t="shared" si="0"/>
        <v>604518</v>
      </c>
      <c r="B23" s="1">
        <v>6045</v>
      </c>
      <c r="C23" s="1" t="s">
        <v>157</v>
      </c>
      <c r="D23" s="11" t="s">
        <v>116</v>
      </c>
      <c r="E23" s="11" t="s">
        <v>125</v>
      </c>
      <c r="F23" s="1">
        <v>70</v>
      </c>
      <c r="H23" s="1" t="s">
        <v>151</v>
      </c>
      <c r="I23" s="1">
        <v>18</v>
      </c>
    </row>
    <row r="24" spans="1:9" ht="15.75" customHeight="1" x14ac:dyDescent="0.25">
      <c r="A24" s="1" t="str">
        <f t="shared" si="0"/>
        <v>603619</v>
      </c>
      <c r="B24" s="1">
        <v>6036</v>
      </c>
      <c r="C24" s="1" t="s">
        <v>158</v>
      </c>
      <c r="D24" s="1" t="s">
        <v>122</v>
      </c>
      <c r="E24" s="11" t="s">
        <v>161</v>
      </c>
      <c r="F24" s="1">
        <v>70</v>
      </c>
      <c r="G24" s="1">
        <v>24</v>
      </c>
      <c r="H24" s="1" t="s">
        <v>151</v>
      </c>
      <c r="I24" s="1">
        <v>19</v>
      </c>
    </row>
    <row r="25" spans="1:9" ht="15.75" customHeight="1" x14ac:dyDescent="0.25">
      <c r="A25" s="1" t="str">
        <f t="shared" si="0"/>
        <v>603519</v>
      </c>
      <c r="B25" s="1">
        <v>6035</v>
      </c>
      <c r="C25" s="1" t="s">
        <v>84</v>
      </c>
      <c r="D25" s="1" t="s">
        <v>124</v>
      </c>
      <c r="E25" s="11" t="s">
        <v>144</v>
      </c>
      <c r="F25" s="1">
        <v>70</v>
      </c>
      <c r="H25" s="1" t="s">
        <v>151</v>
      </c>
      <c r="I25" s="1">
        <v>19</v>
      </c>
    </row>
    <row r="26" spans="1:9" ht="15.75" customHeight="1" x14ac:dyDescent="0.25">
      <c r="A26" s="1" t="str">
        <f t="shared" si="0"/>
        <v>602322</v>
      </c>
      <c r="B26" s="1">
        <v>6023</v>
      </c>
      <c r="C26" s="1" t="s">
        <v>70</v>
      </c>
      <c r="D26" s="1" t="s">
        <v>113</v>
      </c>
      <c r="E26" s="11" t="s">
        <v>127</v>
      </c>
      <c r="F26" s="1">
        <v>70</v>
      </c>
      <c r="G26" s="1">
        <v>24</v>
      </c>
      <c r="H26" s="1" t="s">
        <v>164</v>
      </c>
      <c r="I26" s="1">
        <v>22</v>
      </c>
    </row>
    <row r="27" spans="1:9" ht="15.75" customHeight="1" x14ac:dyDescent="0.25">
      <c r="A27" s="1" t="str">
        <f t="shared" si="0"/>
        <v>603922</v>
      </c>
      <c r="B27" s="1">
        <v>6039</v>
      </c>
      <c r="C27" s="1" t="s">
        <v>87</v>
      </c>
      <c r="D27" s="1" t="s">
        <v>153</v>
      </c>
      <c r="E27" s="11" t="s">
        <v>116</v>
      </c>
      <c r="F27" s="1">
        <v>70</v>
      </c>
      <c r="H27" s="1" t="s">
        <v>164</v>
      </c>
      <c r="I27" s="1">
        <v>22</v>
      </c>
    </row>
    <row r="28" spans="1:9" ht="15.75" customHeight="1" x14ac:dyDescent="0.25">
      <c r="A28" s="1" t="str">
        <f t="shared" si="0"/>
        <v>603720</v>
      </c>
      <c r="B28" s="1">
        <v>6037</v>
      </c>
      <c r="C28" s="1" t="s">
        <v>165</v>
      </c>
      <c r="D28" s="1" t="s">
        <v>154</v>
      </c>
      <c r="E28" s="11" t="s">
        <v>142</v>
      </c>
      <c r="F28" s="1">
        <v>70</v>
      </c>
      <c r="G28" s="1">
        <v>24</v>
      </c>
      <c r="H28" s="1" t="s">
        <v>164</v>
      </c>
      <c r="I28" s="1">
        <v>20</v>
      </c>
    </row>
    <row r="29" spans="1:9" ht="15.75" customHeight="1" x14ac:dyDescent="0.25">
      <c r="A29" s="1" t="str">
        <f t="shared" si="0"/>
        <v>601821</v>
      </c>
      <c r="B29" s="1">
        <v>6018</v>
      </c>
      <c r="C29" s="1" t="s">
        <v>165</v>
      </c>
      <c r="D29" s="1" t="s">
        <v>155</v>
      </c>
      <c r="E29" s="11" t="s">
        <v>132</v>
      </c>
      <c r="F29" s="1">
        <v>70</v>
      </c>
      <c r="G29" s="1">
        <v>24</v>
      </c>
      <c r="H29" s="1" t="s">
        <v>164</v>
      </c>
      <c r="I29" s="1">
        <v>21</v>
      </c>
    </row>
    <row r="30" spans="1:9" ht="15.75" customHeight="1" x14ac:dyDescent="0.25">
      <c r="A30" s="1" t="str">
        <f t="shared" si="0"/>
        <v>601423</v>
      </c>
      <c r="B30" s="1">
        <v>6014</v>
      </c>
      <c r="C30" s="1" t="s">
        <v>166</v>
      </c>
      <c r="D30" s="1" t="s">
        <v>139</v>
      </c>
      <c r="E30" s="11" t="s">
        <v>125</v>
      </c>
      <c r="F30" s="1">
        <v>70</v>
      </c>
      <c r="G30" s="1">
        <v>24</v>
      </c>
      <c r="H30" s="1" t="s">
        <v>164</v>
      </c>
      <c r="I30" s="1">
        <v>23</v>
      </c>
    </row>
    <row r="31" spans="1:9" ht="15.75" customHeight="1" x14ac:dyDescent="0.25">
      <c r="A31" s="1" t="str">
        <f t="shared" si="0"/>
        <v>601323</v>
      </c>
      <c r="B31" s="1">
        <v>6013</v>
      </c>
      <c r="C31" s="1" t="s">
        <v>50</v>
      </c>
      <c r="D31" s="1" t="s">
        <v>116</v>
      </c>
      <c r="E31" s="1" t="s">
        <v>149</v>
      </c>
      <c r="F31" s="1">
        <v>70</v>
      </c>
      <c r="H31" s="1" t="s">
        <v>164</v>
      </c>
      <c r="I31" s="1">
        <v>23</v>
      </c>
    </row>
    <row r="32" spans="1:9" ht="15.75" customHeight="1" x14ac:dyDescent="0.25">
      <c r="A32" s="1" t="str">
        <f t="shared" si="0"/>
        <v>600424</v>
      </c>
      <c r="B32" s="1">
        <v>6004</v>
      </c>
      <c r="C32" s="1" t="s">
        <v>42</v>
      </c>
      <c r="D32" s="1" t="s">
        <v>122</v>
      </c>
      <c r="E32" s="11" t="s">
        <v>131</v>
      </c>
      <c r="F32" s="1">
        <v>70</v>
      </c>
      <c r="G32" s="1">
        <v>24</v>
      </c>
      <c r="H32" s="1" t="s">
        <v>164</v>
      </c>
      <c r="I32" s="1">
        <v>24</v>
      </c>
    </row>
    <row r="33" spans="1:9" ht="15.75" customHeight="1" x14ac:dyDescent="0.25">
      <c r="A33" s="1" t="str">
        <f t="shared" si="0"/>
        <v>601724</v>
      </c>
      <c r="B33" s="1">
        <v>6017</v>
      </c>
      <c r="C33" s="1" t="s">
        <v>167</v>
      </c>
      <c r="D33" s="1" t="s">
        <v>124</v>
      </c>
      <c r="E33" s="11" t="s">
        <v>168</v>
      </c>
      <c r="F33" s="1">
        <v>70</v>
      </c>
      <c r="H33" s="1" t="s">
        <v>164</v>
      </c>
      <c r="I33" s="1">
        <v>24</v>
      </c>
    </row>
    <row r="34" spans="1:9" ht="15.75" customHeight="1" x14ac:dyDescent="0.25">
      <c r="A34" s="1" t="str">
        <f t="shared" si="0"/>
        <v>600125</v>
      </c>
      <c r="B34" s="1">
        <v>6001</v>
      </c>
      <c r="C34" s="1" t="s">
        <v>169</v>
      </c>
      <c r="D34" s="11" t="s">
        <v>113</v>
      </c>
      <c r="E34" s="11" t="s">
        <v>139</v>
      </c>
      <c r="F34" s="1">
        <v>70</v>
      </c>
      <c r="G34" s="1">
        <v>24</v>
      </c>
      <c r="H34" s="1" t="s">
        <v>170</v>
      </c>
      <c r="I34" s="1">
        <v>25</v>
      </c>
    </row>
    <row r="35" spans="1:9" ht="15.75" customHeight="1" x14ac:dyDescent="0.25">
      <c r="A35" s="1" t="str">
        <f t="shared" si="0"/>
        <v>602726</v>
      </c>
      <c r="B35" s="1">
        <v>6027</v>
      </c>
      <c r="C35" s="1" t="s">
        <v>77</v>
      </c>
      <c r="D35" s="11" t="s">
        <v>153</v>
      </c>
      <c r="E35" s="11" t="s">
        <v>116</v>
      </c>
      <c r="F35" s="1">
        <v>50</v>
      </c>
      <c r="G35" s="1">
        <v>10</v>
      </c>
      <c r="H35" s="1" t="s">
        <v>170</v>
      </c>
      <c r="I35" s="1">
        <v>26</v>
      </c>
    </row>
    <row r="36" spans="1:9" ht="15.75" customHeight="1" x14ac:dyDescent="0.25">
      <c r="A36" s="1" t="str">
        <f t="shared" si="0"/>
        <v>604427</v>
      </c>
      <c r="B36" s="1">
        <v>6044</v>
      </c>
      <c r="C36" s="1" t="s">
        <v>172</v>
      </c>
      <c r="D36" s="1" t="s">
        <v>154</v>
      </c>
      <c r="E36" s="11" t="s">
        <v>142</v>
      </c>
      <c r="F36" s="1">
        <v>50</v>
      </c>
      <c r="G36" s="1">
        <v>10</v>
      </c>
      <c r="H36" s="1" t="s">
        <v>170</v>
      </c>
      <c r="I36" s="1">
        <v>27</v>
      </c>
    </row>
    <row r="37" spans="1:9" ht="15.75" customHeight="1" x14ac:dyDescent="0.25">
      <c r="A37" s="1" t="str">
        <f t="shared" si="0"/>
        <v>601628</v>
      </c>
      <c r="B37" s="1">
        <v>6016</v>
      </c>
      <c r="C37" s="1" t="s">
        <v>173</v>
      </c>
      <c r="D37" s="1" t="s">
        <v>155</v>
      </c>
      <c r="E37" s="11" t="s">
        <v>148</v>
      </c>
      <c r="F37" s="1">
        <v>70</v>
      </c>
      <c r="G37" s="1">
        <v>24</v>
      </c>
      <c r="H37" s="1" t="s">
        <v>170</v>
      </c>
      <c r="I37" s="1">
        <v>28</v>
      </c>
    </row>
    <row r="38" spans="1:9" ht="15.75" customHeight="1" x14ac:dyDescent="0.25">
      <c r="A38" s="1" t="str">
        <f t="shared" si="0"/>
        <v>601928</v>
      </c>
      <c r="B38" s="1">
        <v>6019</v>
      </c>
      <c r="C38" s="1" t="s">
        <v>174</v>
      </c>
      <c r="D38" s="1" t="s">
        <v>139</v>
      </c>
      <c r="E38" s="11" t="s">
        <v>131</v>
      </c>
      <c r="F38" s="1">
        <v>70</v>
      </c>
      <c r="H38" s="1" t="s">
        <v>170</v>
      </c>
      <c r="I38" s="1">
        <v>28</v>
      </c>
    </row>
    <row r="39" spans="1:9" ht="15.75" customHeight="1" x14ac:dyDescent="0.25">
      <c r="A39" s="1" t="str">
        <f t="shared" si="0"/>
        <v>601029</v>
      </c>
      <c r="B39" s="1">
        <v>6010</v>
      </c>
      <c r="C39" s="1" t="s">
        <v>47</v>
      </c>
      <c r="D39" s="1" t="s">
        <v>116</v>
      </c>
      <c r="E39" s="11" t="s">
        <v>119</v>
      </c>
      <c r="F39" s="1">
        <v>50</v>
      </c>
      <c r="G39" s="1">
        <v>10</v>
      </c>
      <c r="H39" s="1" t="s">
        <v>170</v>
      </c>
      <c r="I39" s="1">
        <v>29</v>
      </c>
    </row>
    <row r="40" spans="1:9" ht="15.75" customHeight="1" x14ac:dyDescent="0.25">
      <c r="A40" s="1" t="str">
        <f t="shared" si="0"/>
        <v>600930</v>
      </c>
      <c r="B40" s="1">
        <v>6009</v>
      </c>
      <c r="C40" s="1" t="s">
        <v>46</v>
      </c>
      <c r="D40" s="1" t="s">
        <v>122</v>
      </c>
      <c r="E40" s="11" t="s">
        <v>131</v>
      </c>
      <c r="F40" s="1">
        <v>50</v>
      </c>
      <c r="G40" s="1">
        <v>10</v>
      </c>
      <c r="H40" s="1" t="s">
        <v>170</v>
      </c>
      <c r="I40" s="1">
        <v>30</v>
      </c>
    </row>
    <row r="41" spans="1:9" ht="15.75" customHeight="1" x14ac:dyDescent="0.25">
      <c r="A41" s="1" t="str">
        <f t="shared" si="0"/>
        <v>600731</v>
      </c>
      <c r="B41" s="1">
        <v>6007</v>
      </c>
      <c r="C41" s="1" t="s">
        <v>45</v>
      </c>
      <c r="D41" s="1" t="s">
        <v>124</v>
      </c>
      <c r="E41" s="11" t="s">
        <v>168</v>
      </c>
      <c r="F41" s="1">
        <v>70</v>
      </c>
      <c r="G41" s="1">
        <v>24</v>
      </c>
      <c r="H41" s="1" t="s">
        <v>170</v>
      </c>
      <c r="I41" s="1">
        <v>31</v>
      </c>
    </row>
    <row r="42" spans="1:9" ht="15.75" customHeight="1" x14ac:dyDescent="0.25">
      <c r="A42" s="1" t="str">
        <f t="shared" si="0"/>
        <v>602931</v>
      </c>
      <c r="B42" s="1">
        <v>6029</v>
      </c>
      <c r="C42" s="1" t="s">
        <v>175</v>
      </c>
      <c r="D42" s="10" t="s">
        <v>125</v>
      </c>
      <c r="E42" s="11" t="s">
        <v>176</v>
      </c>
      <c r="F42" s="1">
        <v>70</v>
      </c>
      <c r="H42" s="1" t="s">
        <v>170</v>
      </c>
      <c r="I42" s="1">
        <v>31</v>
      </c>
    </row>
    <row r="43" spans="1:9" ht="15.75" customHeight="1" x14ac:dyDescent="0.25">
      <c r="A43" s="1" t="str">
        <f t="shared" si="0"/>
        <v>602532</v>
      </c>
      <c r="B43" s="1">
        <v>6025</v>
      </c>
      <c r="C43" s="1" t="s">
        <v>177</v>
      </c>
      <c r="D43" s="1" t="s">
        <v>113</v>
      </c>
      <c r="E43" s="11" t="s">
        <v>139</v>
      </c>
      <c r="F43" s="1">
        <v>70</v>
      </c>
      <c r="G43" s="1">
        <v>24</v>
      </c>
      <c r="H43" s="1" t="s">
        <v>178</v>
      </c>
      <c r="I43" s="1">
        <v>32</v>
      </c>
    </row>
    <row r="44" spans="1:9" ht="15.75" customHeight="1" x14ac:dyDescent="0.25">
      <c r="A44" s="1" t="str">
        <f t="shared" si="0"/>
        <v>602433</v>
      </c>
      <c r="B44" s="1">
        <v>6024</v>
      </c>
      <c r="C44" s="1" t="s">
        <v>177</v>
      </c>
      <c r="D44" s="1" t="s">
        <v>153</v>
      </c>
      <c r="E44" s="1" t="s">
        <v>116</v>
      </c>
      <c r="F44" s="1">
        <v>70</v>
      </c>
      <c r="G44" s="1">
        <v>24</v>
      </c>
      <c r="H44" s="1" t="s">
        <v>178</v>
      </c>
      <c r="I44" s="1">
        <v>33</v>
      </c>
    </row>
    <row r="45" spans="1:9" ht="15.75" customHeight="1" x14ac:dyDescent="0.25">
      <c r="A45" s="1" t="str">
        <f t="shared" si="0"/>
        <v>603834</v>
      </c>
      <c r="B45" s="1">
        <v>6038</v>
      </c>
      <c r="C45" s="1" t="s">
        <v>180</v>
      </c>
      <c r="D45" s="1" t="s">
        <v>154</v>
      </c>
      <c r="E45" s="11" t="s">
        <v>124</v>
      </c>
      <c r="F45" s="1">
        <v>70</v>
      </c>
      <c r="G45" s="1">
        <v>24</v>
      </c>
      <c r="H45" s="1" t="s">
        <v>178</v>
      </c>
      <c r="I45" s="1">
        <v>34</v>
      </c>
    </row>
    <row r="46" spans="1:9" ht="15.75" customHeight="1" x14ac:dyDescent="0.25">
      <c r="A46" s="1" t="str">
        <f t="shared" si="0"/>
        <v>601134</v>
      </c>
      <c r="B46" s="1">
        <v>6011</v>
      </c>
      <c r="C46" s="1" t="s">
        <v>181</v>
      </c>
      <c r="D46" s="1" t="s">
        <v>155</v>
      </c>
      <c r="E46" s="11" t="s">
        <v>131</v>
      </c>
      <c r="F46" s="1">
        <v>70</v>
      </c>
      <c r="H46" s="1" t="s">
        <v>178</v>
      </c>
      <c r="I46" s="1">
        <v>34</v>
      </c>
    </row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BD</vt:lpstr>
      <vt:lpstr>CAJAS</vt:lpstr>
      <vt:lpstr>RUTAS</vt:lpstr>
      <vt:lpstr>ST</vt:lpstr>
      <vt:lpstr>CONCAT</vt:lpstr>
      <vt:lpstr>BESE TOTAL CAJA</vt:lpstr>
      <vt:lpstr>BASE</vt:lpstr>
      <vt:lpstr>HORARIOS</vt:lpstr>
      <vt:lpstr>RUTAS!Área_de_impresión</vt:lpstr>
      <vt:lpstr>RUTAS!Títulos_a_imprimir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2026-10-26T16:36:12Z</dcterms:created>
  <dcterms:modified xsi:type="dcterms:W3CDTF">2026-10-28T22:09:25Z</dcterms:modified>
</cp:coreProperties>
</file>